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wnloads\NOVITECH LEARNING (DEMO PROJECTS)\Excel\"/>
    </mc:Choice>
  </mc:AlternateContent>
  <xr:revisionPtr revIDLastSave="0" documentId="13_ncr:1_{379CD176-153C-41A6-9D78-7F08F5DE9966}" xr6:coauthVersionLast="36" xr6:coauthVersionMax="36" xr10:uidLastSave="{00000000-0000-0000-0000-000000000000}"/>
  <bookViews>
    <workbookView xWindow="0" yWindow="0" windowWidth="23040" windowHeight="8940" xr2:uid="{1D5E61F9-2536-4317-8C8F-23168495D21A}"/>
  </bookViews>
  <sheets>
    <sheet name="Financial Dataset" sheetId="1" r:id="rId1"/>
    <sheet name="Pivot Analysis" sheetId="2" r:id="rId2"/>
    <sheet name="Dashboard Creation" sheetId="3" r:id="rId3"/>
  </sheets>
  <definedNames>
    <definedName name="_xlchart.v2.0" hidden="1">'Pivot Analysis'!$L$5:$L$9</definedName>
    <definedName name="_xlchart.v2.1" hidden="1">'Pivot Analysis'!$M$4</definedName>
    <definedName name="_xlchart.v2.2" hidden="1">'Pivot Analysis'!$M$5:$M$9</definedName>
    <definedName name="Slicer_Customer_Segment">#N/A</definedName>
    <definedName name="Slicer_Order_Date">#N/A</definedName>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7" i="2" l="1"/>
  <c r="K26" i="2"/>
  <c r="K25" i="2"/>
  <c r="K24" i="2"/>
  <c r="K23" i="2"/>
  <c r="K22" i="2"/>
  <c r="L9" i="2"/>
  <c r="L8" i="2"/>
  <c r="L7" i="2"/>
  <c r="L6" i="2"/>
  <c r="L5" i="2"/>
  <c r="F4" i="2"/>
  <c r="F5" i="2"/>
  <c r="F6" i="2"/>
  <c r="F7" i="2"/>
  <c r="F8" i="2"/>
  <c r="F9" i="2"/>
  <c r="F10" i="2"/>
  <c r="F11" i="2"/>
  <c r="F12" i="2"/>
  <c r="F13" i="2"/>
  <c r="F14" i="2"/>
  <c r="F15" i="2"/>
  <c r="F16" i="2"/>
  <c r="F17" i="2"/>
  <c r="F3" i="2"/>
  <c r="L26" i="2"/>
  <c r="L24" i="2"/>
  <c r="L25" i="2"/>
  <c r="L23" i="2"/>
  <c r="L27" i="2"/>
  <c r="L22" i="2"/>
  <c r="M8" i="2"/>
  <c r="M7" i="2"/>
  <c r="M6" i="2"/>
  <c r="M9" i="2"/>
  <c r="M5" i="2"/>
  <c r="G5" i="2"/>
  <c r="G13" i="2"/>
  <c r="G6" i="2"/>
  <c r="G14" i="2"/>
  <c r="G7" i="2"/>
  <c r="G8" i="2"/>
  <c r="G16" i="2"/>
  <c r="G9" i="2"/>
  <c r="G17" i="2"/>
  <c r="G10" i="2"/>
  <c r="G11" i="2"/>
  <c r="G12" i="2"/>
  <c r="G15" i="2"/>
  <c r="G4" i="2"/>
  <c r="G3" i="2"/>
  <c r="N2001" i="1" l="1"/>
  <c r="M2001" i="1"/>
  <c r="L2001" i="1"/>
  <c r="K2001" i="1"/>
  <c r="J2001" i="1"/>
  <c r="N2000" i="1"/>
  <c r="M2000" i="1"/>
  <c r="L2000" i="1"/>
  <c r="K2000" i="1"/>
  <c r="J2000" i="1"/>
  <c r="N1999" i="1"/>
  <c r="M1999" i="1"/>
  <c r="L1999" i="1"/>
  <c r="K1999" i="1"/>
  <c r="J1999" i="1"/>
  <c r="N1998" i="1"/>
  <c r="M1998" i="1"/>
  <c r="L1998" i="1"/>
  <c r="K1998" i="1"/>
  <c r="J1998" i="1"/>
  <c r="N1997" i="1"/>
  <c r="M1997" i="1"/>
  <c r="L1997" i="1"/>
  <c r="K1997" i="1"/>
  <c r="J1997" i="1"/>
  <c r="N1996" i="1"/>
  <c r="M1996" i="1"/>
  <c r="L1996" i="1"/>
  <c r="K1996" i="1"/>
  <c r="J1996" i="1"/>
  <c r="N1995" i="1"/>
  <c r="M1995" i="1"/>
  <c r="L1995" i="1"/>
  <c r="K1995" i="1"/>
  <c r="J1995" i="1"/>
  <c r="N1994" i="1"/>
  <c r="M1994" i="1"/>
  <c r="L1994" i="1"/>
  <c r="K1994" i="1"/>
  <c r="J1994" i="1"/>
  <c r="N1993" i="1"/>
  <c r="M1993" i="1"/>
  <c r="L1993" i="1"/>
  <c r="K1993" i="1"/>
  <c r="J1993" i="1"/>
  <c r="N1992" i="1"/>
  <c r="M1992" i="1"/>
  <c r="L1992" i="1"/>
  <c r="K1992" i="1"/>
  <c r="J1992" i="1"/>
  <c r="N1991" i="1"/>
  <c r="M1991" i="1"/>
  <c r="L1991" i="1"/>
  <c r="K1991" i="1"/>
  <c r="J1991" i="1"/>
  <c r="N1990" i="1"/>
  <c r="M1990" i="1"/>
  <c r="L1990" i="1"/>
  <c r="K1990" i="1"/>
  <c r="J1990" i="1"/>
  <c r="N1989" i="1"/>
  <c r="M1989" i="1"/>
  <c r="L1989" i="1"/>
  <c r="K1989" i="1"/>
  <c r="J1989" i="1"/>
  <c r="N1988" i="1"/>
  <c r="M1988" i="1"/>
  <c r="L1988" i="1"/>
  <c r="K1988" i="1"/>
  <c r="J1988" i="1"/>
  <c r="N1987" i="1"/>
  <c r="M1987" i="1"/>
  <c r="L1987" i="1"/>
  <c r="K1987" i="1"/>
  <c r="J1987" i="1"/>
  <c r="N1986" i="1"/>
  <c r="M1986" i="1"/>
  <c r="L1986" i="1"/>
  <c r="K1986" i="1"/>
  <c r="J1986" i="1"/>
  <c r="N1985" i="1"/>
  <c r="M1985" i="1"/>
  <c r="L1985" i="1"/>
  <c r="K1985" i="1"/>
  <c r="J1985" i="1"/>
  <c r="N1984" i="1"/>
  <c r="M1984" i="1"/>
  <c r="L1984" i="1"/>
  <c r="K1984" i="1"/>
  <c r="J1984" i="1"/>
  <c r="N1983" i="1"/>
  <c r="M1983" i="1"/>
  <c r="L1983" i="1"/>
  <c r="K1983" i="1"/>
  <c r="J1983" i="1"/>
  <c r="N1982" i="1"/>
  <c r="M1982" i="1"/>
  <c r="L1982" i="1"/>
  <c r="K1982" i="1"/>
  <c r="J1982" i="1"/>
  <c r="N1981" i="1"/>
  <c r="M1981" i="1"/>
  <c r="L1981" i="1"/>
  <c r="K1981" i="1"/>
  <c r="J1981" i="1"/>
  <c r="N1980" i="1"/>
  <c r="M1980" i="1"/>
  <c r="L1980" i="1"/>
  <c r="K1980" i="1"/>
  <c r="J1980" i="1"/>
  <c r="N1979" i="1"/>
  <c r="M1979" i="1"/>
  <c r="L1979" i="1"/>
  <c r="K1979" i="1"/>
  <c r="J1979" i="1"/>
  <c r="N1978" i="1"/>
  <c r="M1978" i="1"/>
  <c r="L1978" i="1"/>
  <c r="K1978" i="1"/>
  <c r="J1978" i="1"/>
  <c r="N1977" i="1"/>
  <c r="M1977" i="1"/>
  <c r="L1977" i="1"/>
  <c r="K1977" i="1"/>
  <c r="J1977" i="1"/>
  <c r="N1976" i="1"/>
  <c r="M1976" i="1"/>
  <c r="L1976" i="1"/>
  <c r="K1976" i="1"/>
  <c r="J1976" i="1"/>
  <c r="N1975" i="1"/>
  <c r="M1975" i="1"/>
  <c r="L1975" i="1"/>
  <c r="K1975" i="1"/>
  <c r="J1975" i="1"/>
  <c r="N1974" i="1"/>
  <c r="M1974" i="1"/>
  <c r="L1974" i="1"/>
  <c r="K1974" i="1"/>
  <c r="J1974" i="1"/>
  <c r="N1973" i="1"/>
  <c r="M1973" i="1"/>
  <c r="L1973" i="1"/>
  <c r="K1973" i="1"/>
  <c r="J1973" i="1"/>
  <c r="N1972" i="1"/>
  <c r="M1972" i="1"/>
  <c r="L1972" i="1"/>
  <c r="K1972" i="1"/>
  <c r="J1972" i="1"/>
  <c r="N1971" i="1"/>
  <c r="M1971" i="1"/>
  <c r="L1971" i="1"/>
  <c r="K1971" i="1"/>
  <c r="J1971" i="1"/>
  <c r="N1970" i="1"/>
  <c r="M1970" i="1"/>
  <c r="L1970" i="1"/>
  <c r="K1970" i="1"/>
  <c r="J1970" i="1"/>
  <c r="N1969" i="1"/>
  <c r="M1969" i="1"/>
  <c r="L1969" i="1"/>
  <c r="K1969" i="1"/>
  <c r="J1969" i="1"/>
  <c r="N1968" i="1"/>
  <c r="M1968" i="1"/>
  <c r="L1968" i="1"/>
  <c r="K1968" i="1"/>
  <c r="J1968" i="1"/>
  <c r="N1967" i="1"/>
  <c r="M1967" i="1"/>
  <c r="L1967" i="1"/>
  <c r="K1967" i="1"/>
  <c r="J1967" i="1"/>
  <c r="N1966" i="1"/>
  <c r="M1966" i="1"/>
  <c r="L1966" i="1"/>
  <c r="K1966" i="1"/>
  <c r="J1966" i="1"/>
  <c r="N1965" i="1"/>
  <c r="M1965" i="1"/>
  <c r="L1965" i="1"/>
  <c r="K1965" i="1"/>
  <c r="J1965" i="1"/>
  <c r="N1964" i="1"/>
  <c r="M1964" i="1"/>
  <c r="L1964" i="1"/>
  <c r="K1964" i="1"/>
  <c r="J1964" i="1"/>
  <c r="N1963" i="1"/>
  <c r="M1963" i="1"/>
  <c r="L1963" i="1"/>
  <c r="K1963" i="1"/>
  <c r="J1963" i="1"/>
  <c r="N1962" i="1"/>
  <c r="M1962" i="1"/>
  <c r="L1962" i="1"/>
  <c r="K1962" i="1"/>
  <c r="J1962" i="1"/>
  <c r="N1961" i="1"/>
  <c r="M1961" i="1"/>
  <c r="L1961" i="1"/>
  <c r="K1961" i="1"/>
  <c r="J1961" i="1"/>
  <c r="N1960" i="1"/>
  <c r="M1960" i="1"/>
  <c r="L1960" i="1"/>
  <c r="K1960" i="1"/>
  <c r="J1960" i="1"/>
  <c r="N1959" i="1"/>
  <c r="M1959" i="1"/>
  <c r="L1959" i="1"/>
  <c r="K1959" i="1"/>
  <c r="J1959" i="1"/>
  <c r="N1958" i="1"/>
  <c r="M1958" i="1"/>
  <c r="L1958" i="1"/>
  <c r="K1958" i="1"/>
  <c r="J1958" i="1"/>
  <c r="N1957" i="1"/>
  <c r="M1957" i="1"/>
  <c r="L1957" i="1"/>
  <c r="K1957" i="1"/>
  <c r="J1957" i="1"/>
  <c r="N1956" i="1"/>
  <c r="M1956" i="1"/>
  <c r="L1956" i="1"/>
  <c r="K1956" i="1"/>
  <c r="J1956" i="1"/>
  <c r="N1955" i="1"/>
  <c r="M1955" i="1"/>
  <c r="L1955" i="1"/>
  <c r="K1955" i="1"/>
  <c r="J1955" i="1"/>
  <c r="N1954" i="1"/>
  <c r="M1954" i="1"/>
  <c r="L1954" i="1"/>
  <c r="K1954" i="1"/>
  <c r="J1954" i="1"/>
  <c r="N1953" i="1"/>
  <c r="M1953" i="1"/>
  <c r="L1953" i="1"/>
  <c r="K1953" i="1"/>
  <c r="J1953" i="1"/>
  <c r="N1952" i="1"/>
  <c r="M1952" i="1"/>
  <c r="L1952" i="1"/>
  <c r="K1952" i="1"/>
  <c r="J1952" i="1"/>
  <c r="N1951" i="1"/>
  <c r="M1951" i="1"/>
  <c r="L1951" i="1"/>
  <c r="K1951" i="1"/>
  <c r="J1951" i="1"/>
  <c r="N1950" i="1"/>
  <c r="M1950" i="1"/>
  <c r="L1950" i="1"/>
  <c r="K1950" i="1"/>
  <c r="J1950" i="1"/>
  <c r="N1949" i="1"/>
  <c r="M1949" i="1"/>
  <c r="L1949" i="1"/>
  <c r="K1949" i="1"/>
  <c r="J1949" i="1"/>
  <c r="N1948" i="1"/>
  <c r="M1948" i="1"/>
  <c r="L1948" i="1"/>
  <c r="K1948" i="1"/>
  <c r="J1948" i="1"/>
  <c r="N1947" i="1"/>
  <c r="M1947" i="1"/>
  <c r="L1947" i="1"/>
  <c r="K1947" i="1"/>
  <c r="J1947" i="1"/>
  <c r="N1946" i="1"/>
  <c r="M1946" i="1"/>
  <c r="L1946" i="1"/>
  <c r="K1946" i="1"/>
  <c r="J1946" i="1"/>
  <c r="N1945" i="1"/>
  <c r="M1945" i="1"/>
  <c r="L1945" i="1"/>
  <c r="K1945" i="1"/>
  <c r="J1945" i="1"/>
  <c r="N1944" i="1"/>
  <c r="M1944" i="1"/>
  <c r="L1944" i="1"/>
  <c r="K1944" i="1"/>
  <c r="J1944" i="1"/>
  <c r="N1943" i="1"/>
  <c r="M1943" i="1"/>
  <c r="L1943" i="1"/>
  <c r="K1943" i="1"/>
  <c r="J1943" i="1"/>
  <c r="N1942" i="1"/>
  <c r="M1942" i="1"/>
  <c r="L1942" i="1"/>
  <c r="K1942" i="1"/>
  <c r="J1942" i="1"/>
  <c r="N1941" i="1"/>
  <c r="M1941" i="1"/>
  <c r="L1941" i="1"/>
  <c r="K1941" i="1"/>
  <c r="J1941" i="1"/>
  <c r="N1940" i="1"/>
  <c r="M1940" i="1"/>
  <c r="L1940" i="1"/>
  <c r="K1940" i="1"/>
  <c r="J1940" i="1"/>
  <c r="N1939" i="1"/>
  <c r="M1939" i="1"/>
  <c r="L1939" i="1"/>
  <c r="K1939" i="1"/>
  <c r="J1939" i="1"/>
  <c r="N1938" i="1"/>
  <c r="M1938" i="1"/>
  <c r="L1938" i="1"/>
  <c r="K1938" i="1"/>
  <c r="J1938" i="1"/>
  <c r="N1937" i="1"/>
  <c r="M1937" i="1"/>
  <c r="L1937" i="1"/>
  <c r="K1937" i="1"/>
  <c r="J1937" i="1"/>
  <c r="N1936" i="1"/>
  <c r="M1936" i="1"/>
  <c r="L1936" i="1"/>
  <c r="K1936" i="1"/>
  <c r="J1936" i="1"/>
  <c r="N1935" i="1"/>
  <c r="M1935" i="1"/>
  <c r="L1935" i="1"/>
  <c r="K1935" i="1"/>
  <c r="J1935" i="1"/>
  <c r="N1934" i="1"/>
  <c r="M1934" i="1"/>
  <c r="L1934" i="1"/>
  <c r="K1934" i="1"/>
  <c r="J1934" i="1"/>
  <c r="N1933" i="1"/>
  <c r="M1933" i="1"/>
  <c r="L1933" i="1"/>
  <c r="K1933" i="1"/>
  <c r="J1933" i="1"/>
  <c r="N1932" i="1"/>
  <c r="M1932" i="1"/>
  <c r="L1932" i="1"/>
  <c r="K1932" i="1"/>
  <c r="J1932" i="1"/>
  <c r="N1931" i="1"/>
  <c r="M1931" i="1"/>
  <c r="L1931" i="1"/>
  <c r="K1931" i="1"/>
  <c r="J1931" i="1"/>
  <c r="N1930" i="1"/>
  <c r="M1930" i="1"/>
  <c r="L1930" i="1"/>
  <c r="K1930" i="1"/>
  <c r="J1930" i="1"/>
  <c r="N1929" i="1"/>
  <c r="M1929" i="1"/>
  <c r="L1929" i="1"/>
  <c r="K1929" i="1"/>
  <c r="J1929" i="1"/>
  <c r="N1928" i="1"/>
  <c r="M1928" i="1"/>
  <c r="L1928" i="1"/>
  <c r="K1928" i="1"/>
  <c r="J1928" i="1"/>
  <c r="N1927" i="1"/>
  <c r="M1927" i="1"/>
  <c r="L1927" i="1"/>
  <c r="K1927" i="1"/>
  <c r="J1927" i="1"/>
  <c r="N1926" i="1"/>
  <c r="M1926" i="1"/>
  <c r="L1926" i="1"/>
  <c r="K1926" i="1"/>
  <c r="J1926" i="1"/>
  <c r="N1925" i="1"/>
  <c r="M1925" i="1"/>
  <c r="L1925" i="1"/>
  <c r="K1925" i="1"/>
  <c r="J1925" i="1"/>
  <c r="N1924" i="1"/>
  <c r="M1924" i="1"/>
  <c r="L1924" i="1"/>
  <c r="K1924" i="1"/>
  <c r="J1924" i="1"/>
  <c r="N1923" i="1"/>
  <c r="M1923" i="1"/>
  <c r="L1923" i="1"/>
  <c r="K1923" i="1"/>
  <c r="J1923" i="1"/>
  <c r="N1922" i="1"/>
  <c r="M1922" i="1"/>
  <c r="L1922" i="1"/>
  <c r="K1922" i="1"/>
  <c r="J1922" i="1"/>
  <c r="N1921" i="1"/>
  <c r="M1921" i="1"/>
  <c r="L1921" i="1"/>
  <c r="K1921" i="1"/>
  <c r="J1921" i="1"/>
  <c r="N1920" i="1"/>
  <c r="M1920" i="1"/>
  <c r="L1920" i="1"/>
  <c r="K1920" i="1"/>
  <c r="J1920" i="1"/>
  <c r="N1919" i="1"/>
  <c r="M1919" i="1"/>
  <c r="L1919" i="1"/>
  <c r="K1919" i="1"/>
  <c r="J1919" i="1"/>
  <c r="N1918" i="1"/>
  <c r="M1918" i="1"/>
  <c r="L1918" i="1"/>
  <c r="K1918" i="1"/>
  <c r="J1918" i="1"/>
  <c r="N1917" i="1"/>
  <c r="M1917" i="1"/>
  <c r="L1917" i="1"/>
  <c r="K1917" i="1"/>
  <c r="J1917" i="1"/>
  <c r="N1916" i="1"/>
  <c r="M1916" i="1"/>
  <c r="L1916" i="1"/>
  <c r="K1916" i="1"/>
  <c r="J1916" i="1"/>
  <c r="N1915" i="1"/>
  <c r="M1915" i="1"/>
  <c r="L1915" i="1"/>
  <c r="K1915" i="1"/>
  <c r="J1915" i="1"/>
  <c r="N1914" i="1"/>
  <c r="M1914" i="1"/>
  <c r="L1914" i="1"/>
  <c r="K1914" i="1"/>
  <c r="J1914" i="1"/>
  <c r="N1913" i="1"/>
  <c r="M1913" i="1"/>
  <c r="L1913" i="1"/>
  <c r="K1913" i="1"/>
  <c r="J1913" i="1"/>
  <c r="N1912" i="1"/>
  <c r="M1912" i="1"/>
  <c r="L1912" i="1"/>
  <c r="K1912" i="1"/>
  <c r="J1912" i="1"/>
  <c r="N1911" i="1"/>
  <c r="M1911" i="1"/>
  <c r="L1911" i="1"/>
  <c r="K1911" i="1"/>
  <c r="J1911" i="1"/>
  <c r="N1910" i="1"/>
  <c r="M1910" i="1"/>
  <c r="L1910" i="1"/>
  <c r="K1910" i="1"/>
  <c r="J1910" i="1"/>
  <c r="N1909" i="1"/>
  <c r="M1909" i="1"/>
  <c r="L1909" i="1"/>
  <c r="K1909" i="1"/>
  <c r="J1909" i="1"/>
  <c r="N1908" i="1"/>
  <c r="M1908" i="1"/>
  <c r="L1908" i="1"/>
  <c r="K1908" i="1"/>
  <c r="J1908" i="1"/>
  <c r="N1907" i="1"/>
  <c r="M1907" i="1"/>
  <c r="L1907" i="1"/>
  <c r="K1907" i="1"/>
  <c r="J1907" i="1"/>
  <c r="N1906" i="1"/>
  <c r="M1906" i="1"/>
  <c r="L1906" i="1"/>
  <c r="K1906" i="1"/>
  <c r="J1906" i="1"/>
  <c r="N1905" i="1"/>
  <c r="M1905" i="1"/>
  <c r="L1905" i="1"/>
  <c r="K1905" i="1"/>
  <c r="J1905" i="1"/>
  <c r="N1904" i="1"/>
  <c r="M1904" i="1"/>
  <c r="L1904" i="1"/>
  <c r="K1904" i="1"/>
  <c r="J1904" i="1"/>
  <c r="N1903" i="1"/>
  <c r="M1903" i="1"/>
  <c r="L1903" i="1"/>
  <c r="K1903" i="1"/>
  <c r="J1903" i="1"/>
  <c r="N1902" i="1"/>
  <c r="M1902" i="1"/>
  <c r="L1902" i="1"/>
  <c r="K1902" i="1"/>
  <c r="J1902" i="1"/>
  <c r="N1901" i="1"/>
  <c r="M1901" i="1"/>
  <c r="L1901" i="1"/>
  <c r="K1901" i="1"/>
  <c r="J1901" i="1"/>
  <c r="N1900" i="1"/>
  <c r="M1900" i="1"/>
  <c r="L1900" i="1"/>
  <c r="K1900" i="1"/>
  <c r="J1900" i="1"/>
  <c r="N1899" i="1"/>
  <c r="M1899" i="1"/>
  <c r="L1899" i="1"/>
  <c r="K1899" i="1"/>
  <c r="J1899" i="1"/>
  <c r="N1898" i="1"/>
  <c r="M1898" i="1"/>
  <c r="L1898" i="1"/>
  <c r="K1898" i="1"/>
  <c r="J1898" i="1"/>
  <c r="N1897" i="1"/>
  <c r="M1897" i="1"/>
  <c r="L1897" i="1"/>
  <c r="K1897" i="1"/>
  <c r="J1897" i="1"/>
  <c r="N1896" i="1"/>
  <c r="M1896" i="1"/>
  <c r="L1896" i="1"/>
  <c r="K1896" i="1"/>
  <c r="J1896" i="1"/>
  <c r="N1895" i="1"/>
  <c r="M1895" i="1"/>
  <c r="L1895" i="1"/>
  <c r="K1895" i="1"/>
  <c r="J1895" i="1"/>
  <c r="N1894" i="1"/>
  <c r="M1894" i="1"/>
  <c r="L1894" i="1"/>
  <c r="K1894" i="1"/>
  <c r="J1894" i="1"/>
  <c r="N1893" i="1"/>
  <c r="M1893" i="1"/>
  <c r="L1893" i="1"/>
  <c r="K1893" i="1"/>
  <c r="J1893" i="1"/>
  <c r="N1892" i="1"/>
  <c r="M1892" i="1"/>
  <c r="L1892" i="1"/>
  <c r="K1892" i="1"/>
  <c r="J1892" i="1"/>
  <c r="N1891" i="1"/>
  <c r="M1891" i="1"/>
  <c r="L1891" i="1"/>
  <c r="K1891" i="1"/>
  <c r="J1891" i="1"/>
  <c r="N1890" i="1"/>
  <c r="M1890" i="1"/>
  <c r="L1890" i="1"/>
  <c r="K1890" i="1"/>
  <c r="J1890" i="1"/>
  <c r="N1889" i="1"/>
  <c r="M1889" i="1"/>
  <c r="L1889" i="1"/>
  <c r="K1889" i="1"/>
  <c r="J1889" i="1"/>
  <c r="N1888" i="1"/>
  <c r="M1888" i="1"/>
  <c r="L1888" i="1"/>
  <c r="K1888" i="1"/>
  <c r="J1888" i="1"/>
  <c r="N1887" i="1"/>
  <c r="M1887" i="1"/>
  <c r="L1887" i="1"/>
  <c r="K1887" i="1"/>
  <c r="J1887" i="1"/>
  <c r="N1886" i="1"/>
  <c r="M1886" i="1"/>
  <c r="L1886" i="1"/>
  <c r="K1886" i="1"/>
  <c r="J1886" i="1"/>
  <c r="N1885" i="1"/>
  <c r="M1885" i="1"/>
  <c r="L1885" i="1"/>
  <c r="K1885" i="1"/>
  <c r="J1885" i="1"/>
  <c r="N1884" i="1"/>
  <c r="M1884" i="1"/>
  <c r="L1884" i="1"/>
  <c r="K1884" i="1"/>
  <c r="J1884" i="1"/>
  <c r="N1883" i="1"/>
  <c r="M1883" i="1"/>
  <c r="L1883" i="1"/>
  <c r="K1883" i="1"/>
  <c r="J1883" i="1"/>
  <c r="N1882" i="1"/>
  <c r="M1882" i="1"/>
  <c r="L1882" i="1"/>
  <c r="K1882" i="1"/>
  <c r="J1882" i="1"/>
  <c r="N1881" i="1"/>
  <c r="M1881" i="1"/>
  <c r="L1881" i="1"/>
  <c r="K1881" i="1"/>
  <c r="J1881" i="1"/>
  <c r="N1880" i="1"/>
  <c r="M1880" i="1"/>
  <c r="L1880" i="1"/>
  <c r="K1880" i="1"/>
  <c r="J1880" i="1"/>
  <c r="N1879" i="1"/>
  <c r="M1879" i="1"/>
  <c r="L1879" i="1"/>
  <c r="K1879" i="1"/>
  <c r="J1879" i="1"/>
  <c r="N1878" i="1"/>
  <c r="M1878" i="1"/>
  <c r="L1878" i="1"/>
  <c r="K1878" i="1"/>
  <c r="J1878" i="1"/>
  <c r="N1877" i="1"/>
  <c r="M1877" i="1"/>
  <c r="L1877" i="1"/>
  <c r="K1877" i="1"/>
  <c r="J1877" i="1"/>
  <c r="N1876" i="1"/>
  <c r="M1876" i="1"/>
  <c r="L1876" i="1"/>
  <c r="K1876" i="1"/>
  <c r="J1876" i="1"/>
  <c r="N1875" i="1"/>
  <c r="M1875" i="1"/>
  <c r="L1875" i="1"/>
  <c r="K1875" i="1"/>
  <c r="J1875" i="1"/>
  <c r="N1874" i="1"/>
  <c r="M1874" i="1"/>
  <c r="L1874" i="1"/>
  <c r="K1874" i="1"/>
  <c r="J1874" i="1"/>
  <c r="N1873" i="1"/>
  <c r="M1873" i="1"/>
  <c r="L1873" i="1"/>
  <c r="K1873" i="1"/>
  <c r="J1873" i="1"/>
  <c r="N1872" i="1"/>
  <c r="M1872" i="1"/>
  <c r="L1872" i="1"/>
  <c r="K1872" i="1"/>
  <c r="J1872" i="1"/>
  <c r="N1871" i="1"/>
  <c r="M1871" i="1"/>
  <c r="L1871" i="1"/>
  <c r="K1871" i="1"/>
  <c r="J1871" i="1"/>
  <c r="N1870" i="1"/>
  <c r="M1870" i="1"/>
  <c r="L1870" i="1"/>
  <c r="K1870" i="1"/>
  <c r="J1870" i="1"/>
  <c r="N1869" i="1"/>
  <c r="M1869" i="1"/>
  <c r="L1869" i="1"/>
  <c r="K1869" i="1"/>
  <c r="J1869" i="1"/>
  <c r="N1868" i="1"/>
  <c r="M1868" i="1"/>
  <c r="L1868" i="1"/>
  <c r="K1868" i="1"/>
  <c r="J1868" i="1"/>
  <c r="N1867" i="1"/>
  <c r="M1867" i="1"/>
  <c r="L1867" i="1"/>
  <c r="K1867" i="1"/>
  <c r="J1867" i="1"/>
  <c r="N1866" i="1"/>
  <c r="M1866" i="1"/>
  <c r="L1866" i="1"/>
  <c r="K1866" i="1"/>
  <c r="J1866" i="1"/>
  <c r="N1865" i="1"/>
  <c r="M1865" i="1"/>
  <c r="L1865" i="1"/>
  <c r="K1865" i="1"/>
  <c r="J1865" i="1"/>
  <c r="N1864" i="1"/>
  <c r="M1864" i="1"/>
  <c r="L1864" i="1"/>
  <c r="K1864" i="1"/>
  <c r="J1864" i="1"/>
  <c r="N1863" i="1"/>
  <c r="M1863" i="1"/>
  <c r="L1863" i="1"/>
  <c r="K1863" i="1"/>
  <c r="J1863" i="1"/>
  <c r="N1862" i="1"/>
  <c r="M1862" i="1"/>
  <c r="L1862" i="1"/>
  <c r="K1862" i="1"/>
  <c r="J1862" i="1"/>
  <c r="N1861" i="1"/>
  <c r="M1861" i="1"/>
  <c r="L1861" i="1"/>
  <c r="K1861" i="1"/>
  <c r="J1861" i="1"/>
  <c r="N1860" i="1"/>
  <c r="M1860" i="1"/>
  <c r="L1860" i="1"/>
  <c r="K1860" i="1"/>
  <c r="J1860" i="1"/>
  <c r="N1859" i="1"/>
  <c r="M1859" i="1"/>
  <c r="L1859" i="1"/>
  <c r="K1859" i="1"/>
  <c r="J1859" i="1"/>
  <c r="N1858" i="1"/>
  <c r="M1858" i="1"/>
  <c r="L1858" i="1"/>
  <c r="K1858" i="1"/>
  <c r="J1858" i="1"/>
  <c r="N1857" i="1"/>
  <c r="M1857" i="1"/>
  <c r="L1857" i="1"/>
  <c r="K1857" i="1"/>
  <c r="J1857" i="1"/>
  <c r="N1856" i="1"/>
  <c r="M1856" i="1"/>
  <c r="L1856" i="1"/>
  <c r="K1856" i="1"/>
  <c r="J1856" i="1"/>
  <c r="N1855" i="1"/>
  <c r="M1855" i="1"/>
  <c r="L1855" i="1"/>
  <c r="K1855" i="1"/>
  <c r="J1855" i="1"/>
  <c r="N1854" i="1"/>
  <c r="M1854" i="1"/>
  <c r="L1854" i="1"/>
  <c r="K1854" i="1"/>
  <c r="J1854" i="1"/>
  <c r="N1853" i="1"/>
  <c r="M1853" i="1"/>
  <c r="L1853" i="1"/>
  <c r="K1853" i="1"/>
  <c r="J1853" i="1"/>
  <c r="N1852" i="1"/>
  <c r="M1852" i="1"/>
  <c r="L1852" i="1"/>
  <c r="K1852" i="1"/>
  <c r="J1852" i="1"/>
  <c r="N1851" i="1"/>
  <c r="M1851" i="1"/>
  <c r="L1851" i="1"/>
  <c r="K1851" i="1"/>
  <c r="J1851" i="1"/>
  <c r="N1850" i="1"/>
  <c r="M1850" i="1"/>
  <c r="L1850" i="1"/>
  <c r="K1850" i="1"/>
  <c r="J1850" i="1"/>
  <c r="N1849" i="1"/>
  <c r="M1849" i="1"/>
  <c r="L1849" i="1"/>
  <c r="K1849" i="1"/>
  <c r="J1849" i="1"/>
  <c r="N1848" i="1"/>
  <c r="M1848" i="1"/>
  <c r="L1848" i="1"/>
  <c r="K1848" i="1"/>
  <c r="J1848" i="1"/>
  <c r="N1847" i="1"/>
  <c r="M1847" i="1"/>
  <c r="L1847" i="1"/>
  <c r="K1847" i="1"/>
  <c r="J1847" i="1"/>
  <c r="N1846" i="1"/>
  <c r="M1846" i="1"/>
  <c r="L1846" i="1"/>
  <c r="K1846" i="1"/>
  <c r="J1846" i="1"/>
  <c r="N1845" i="1"/>
  <c r="M1845" i="1"/>
  <c r="L1845" i="1"/>
  <c r="K1845" i="1"/>
  <c r="J1845" i="1"/>
  <c r="N1844" i="1"/>
  <c r="M1844" i="1"/>
  <c r="L1844" i="1"/>
  <c r="K1844" i="1"/>
  <c r="J1844" i="1"/>
  <c r="N1843" i="1"/>
  <c r="M1843" i="1"/>
  <c r="L1843" i="1"/>
  <c r="K1843" i="1"/>
  <c r="J1843" i="1"/>
  <c r="N1842" i="1"/>
  <c r="M1842" i="1"/>
  <c r="L1842" i="1"/>
  <c r="K1842" i="1"/>
  <c r="J1842" i="1"/>
  <c r="N1841" i="1"/>
  <c r="M1841" i="1"/>
  <c r="L1841" i="1"/>
  <c r="K1841" i="1"/>
  <c r="J1841" i="1"/>
  <c r="N1840" i="1"/>
  <c r="M1840" i="1"/>
  <c r="L1840" i="1"/>
  <c r="K1840" i="1"/>
  <c r="J1840" i="1"/>
  <c r="N1839" i="1"/>
  <c r="M1839" i="1"/>
  <c r="L1839" i="1"/>
  <c r="K1839" i="1"/>
  <c r="J1839" i="1"/>
  <c r="N1838" i="1"/>
  <c r="M1838" i="1"/>
  <c r="L1838" i="1"/>
  <c r="K1838" i="1"/>
  <c r="J1838" i="1"/>
  <c r="N1837" i="1"/>
  <c r="M1837" i="1"/>
  <c r="L1837" i="1"/>
  <c r="K1837" i="1"/>
  <c r="J1837" i="1"/>
  <c r="N1836" i="1"/>
  <c r="M1836" i="1"/>
  <c r="L1836" i="1"/>
  <c r="K1836" i="1"/>
  <c r="J1836" i="1"/>
  <c r="N1835" i="1"/>
  <c r="M1835" i="1"/>
  <c r="L1835" i="1"/>
  <c r="K1835" i="1"/>
  <c r="J1835" i="1"/>
  <c r="N1834" i="1"/>
  <c r="M1834" i="1"/>
  <c r="L1834" i="1"/>
  <c r="K1834" i="1"/>
  <c r="J1834" i="1"/>
  <c r="N1833" i="1"/>
  <c r="M1833" i="1"/>
  <c r="L1833" i="1"/>
  <c r="K1833" i="1"/>
  <c r="J1833" i="1"/>
  <c r="N1832" i="1"/>
  <c r="M1832" i="1"/>
  <c r="L1832" i="1"/>
  <c r="K1832" i="1"/>
  <c r="J1832" i="1"/>
  <c r="N1831" i="1"/>
  <c r="M1831" i="1"/>
  <c r="L1831" i="1"/>
  <c r="K1831" i="1"/>
  <c r="J1831" i="1"/>
  <c r="N1830" i="1"/>
  <c r="M1830" i="1"/>
  <c r="L1830" i="1"/>
  <c r="K1830" i="1"/>
  <c r="J1830" i="1"/>
  <c r="N1829" i="1"/>
  <c r="M1829" i="1"/>
  <c r="L1829" i="1"/>
  <c r="K1829" i="1"/>
  <c r="J1829" i="1"/>
  <c r="N1828" i="1"/>
  <c r="M1828" i="1"/>
  <c r="L1828" i="1"/>
  <c r="K1828" i="1"/>
  <c r="J1828" i="1"/>
  <c r="N1827" i="1"/>
  <c r="M1827" i="1"/>
  <c r="L1827" i="1"/>
  <c r="K1827" i="1"/>
  <c r="J1827" i="1"/>
  <c r="N1826" i="1"/>
  <c r="M1826" i="1"/>
  <c r="L1826" i="1"/>
  <c r="K1826" i="1"/>
  <c r="J1826" i="1"/>
  <c r="N1825" i="1"/>
  <c r="M1825" i="1"/>
  <c r="L1825" i="1"/>
  <c r="K1825" i="1"/>
  <c r="J1825" i="1"/>
  <c r="N1824" i="1"/>
  <c r="M1824" i="1"/>
  <c r="L1824" i="1"/>
  <c r="K1824" i="1"/>
  <c r="J1824" i="1"/>
  <c r="N1823" i="1"/>
  <c r="M1823" i="1"/>
  <c r="L1823" i="1"/>
  <c r="K1823" i="1"/>
  <c r="J1823" i="1"/>
  <c r="N1822" i="1"/>
  <c r="M1822" i="1"/>
  <c r="L1822" i="1"/>
  <c r="K1822" i="1"/>
  <c r="J1822" i="1"/>
  <c r="N1821" i="1"/>
  <c r="M1821" i="1"/>
  <c r="L1821" i="1"/>
  <c r="K1821" i="1"/>
  <c r="J1821" i="1"/>
  <c r="N1820" i="1"/>
  <c r="M1820" i="1"/>
  <c r="L1820" i="1"/>
  <c r="K1820" i="1"/>
  <c r="J1820" i="1"/>
  <c r="N1819" i="1"/>
  <c r="M1819" i="1"/>
  <c r="L1819" i="1"/>
  <c r="K1819" i="1"/>
  <c r="J1819" i="1"/>
  <c r="N1818" i="1"/>
  <c r="M1818" i="1"/>
  <c r="L1818" i="1"/>
  <c r="K1818" i="1"/>
  <c r="J1818" i="1"/>
  <c r="N1817" i="1"/>
  <c r="M1817" i="1"/>
  <c r="L1817" i="1"/>
  <c r="K1817" i="1"/>
  <c r="J1817" i="1"/>
  <c r="N1816" i="1"/>
  <c r="M1816" i="1"/>
  <c r="L1816" i="1"/>
  <c r="K1816" i="1"/>
  <c r="J1816" i="1"/>
  <c r="N1815" i="1"/>
  <c r="M1815" i="1"/>
  <c r="L1815" i="1"/>
  <c r="K1815" i="1"/>
  <c r="J1815" i="1"/>
  <c r="N1814" i="1"/>
  <c r="M1814" i="1"/>
  <c r="L1814" i="1"/>
  <c r="K1814" i="1"/>
  <c r="J1814" i="1"/>
  <c r="N1813" i="1"/>
  <c r="M1813" i="1"/>
  <c r="L1813" i="1"/>
  <c r="K1813" i="1"/>
  <c r="J1813" i="1"/>
  <c r="N1812" i="1"/>
  <c r="M1812" i="1"/>
  <c r="L1812" i="1"/>
  <c r="K1812" i="1"/>
  <c r="J1812" i="1"/>
  <c r="N1811" i="1"/>
  <c r="M1811" i="1"/>
  <c r="L1811" i="1"/>
  <c r="K1811" i="1"/>
  <c r="J1811" i="1"/>
  <c r="N1810" i="1"/>
  <c r="M1810" i="1"/>
  <c r="L1810" i="1"/>
  <c r="K1810" i="1"/>
  <c r="J1810" i="1"/>
  <c r="N1809" i="1"/>
  <c r="M1809" i="1"/>
  <c r="L1809" i="1"/>
  <c r="K1809" i="1"/>
  <c r="J1809" i="1"/>
  <c r="N1808" i="1"/>
  <c r="M1808" i="1"/>
  <c r="L1808" i="1"/>
  <c r="K1808" i="1"/>
  <c r="J1808" i="1"/>
  <c r="N1807" i="1"/>
  <c r="M1807" i="1"/>
  <c r="L1807" i="1"/>
  <c r="K1807" i="1"/>
  <c r="J1807" i="1"/>
  <c r="N1806" i="1"/>
  <c r="M1806" i="1"/>
  <c r="L1806" i="1"/>
  <c r="K1806" i="1"/>
  <c r="J1806" i="1"/>
  <c r="N1805" i="1"/>
  <c r="M1805" i="1"/>
  <c r="L1805" i="1"/>
  <c r="K1805" i="1"/>
  <c r="J1805" i="1"/>
  <c r="N1804" i="1"/>
  <c r="M1804" i="1"/>
  <c r="L1804" i="1"/>
  <c r="K1804" i="1"/>
  <c r="J1804" i="1"/>
  <c r="N1803" i="1"/>
  <c r="M1803" i="1"/>
  <c r="L1803" i="1"/>
  <c r="K1803" i="1"/>
  <c r="J1803" i="1"/>
  <c r="N1802" i="1"/>
  <c r="M1802" i="1"/>
  <c r="L1802" i="1"/>
  <c r="K1802" i="1"/>
  <c r="J1802" i="1"/>
  <c r="N1801" i="1"/>
  <c r="M1801" i="1"/>
  <c r="L1801" i="1"/>
  <c r="K1801" i="1"/>
  <c r="J1801" i="1"/>
  <c r="N1800" i="1"/>
  <c r="M1800" i="1"/>
  <c r="L1800" i="1"/>
  <c r="K1800" i="1"/>
  <c r="J1800" i="1"/>
  <c r="N1799" i="1"/>
  <c r="M1799" i="1"/>
  <c r="L1799" i="1"/>
  <c r="K1799" i="1"/>
  <c r="J1799" i="1"/>
  <c r="N1798" i="1"/>
  <c r="M1798" i="1"/>
  <c r="L1798" i="1"/>
  <c r="K1798" i="1"/>
  <c r="J1798" i="1"/>
  <c r="N1797" i="1"/>
  <c r="M1797" i="1"/>
  <c r="L1797" i="1"/>
  <c r="K1797" i="1"/>
  <c r="J1797" i="1"/>
  <c r="N1796" i="1"/>
  <c r="M1796" i="1"/>
  <c r="L1796" i="1"/>
  <c r="K1796" i="1"/>
  <c r="J1796" i="1"/>
  <c r="N1795" i="1"/>
  <c r="M1795" i="1"/>
  <c r="L1795" i="1"/>
  <c r="K1795" i="1"/>
  <c r="J1795" i="1"/>
  <c r="N1794" i="1"/>
  <c r="M1794" i="1"/>
  <c r="L1794" i="1"/>
  <c r="K1794" i="1"/>
  <c r="J1794" i="1"/>
  <c r="N1793" i="1"/>
  <c r="M1793" i="1"/>
  <c r="L1793" i="1"/>
  <c r="K1793" i="1"/>
  <c r="J1793" i="1"/>
  <c r="N1792" i="1"/>
  <c r="M1792" i="1"/>
  <c r="L1792" i="1"/>
  <c r="K1792" i="1"/>
  <c r="J1792" i="1"/>
  <c r="N1791" i="1"/>
  <c r="M1791" i="1"/>
  <c r="L1791" i="1"/>
  <c r="K1791" i="1"/>
  <c r="J1791" i="1"/>
  <c r="N1790" i="1"/>
  <c r="M1790" i="1"/>
  <c r="L1790" i="1"/>
  <c r="K1790" i="1"/>
  <c r="J1790" i="1"/>
  <c r="N1789" i="1"/>
  <c r="M1789" i="1"/>
  <c r="L1789" i="1"/>
  <c r="K1789" i="1"/>
  <c r="J1789" i="1"/>
  <c r="N1788" i="1"/>
  <c r="M1788" i="1"/>
  <c r="L1788" i="1"/>
  <c r="K1788" i="1"/>
  <c r="J1788" i="1"/>
  <c r="N1787" i="1"/>
  <c r="M1787" i="1"/>
  <c r="L1787" i="1"/>
  <c r="K1787" i="1"/>
  <c r="J1787" i="1"/>
  <c r="N1786" i="1"/>
  <c r="M1786" i="1"/>
  <c r="L1786" i="1"/>
  <c r="K1786" i="1"/>
  <c r="J1786" i="1"/>
  <c r="N1785" i="1"/>
  <c r="M1785" i="1"/>
  <c r="L1785" i="1"/>
  <c r="K1785" i="1"/>
  <c r="J1785" i="1"/>
  <c r="N1784" i="1"/>
  <c r="M1784" i="1"/>
  <c r="L1784" i="1"/>
  <c r="K1784" i="1"/>
  <c r="J1784" i="1"/>
  <c r="N1783" i="1"/>
  <c r="M1783" i="1"/>
  <c r="L1783" i="1"/>
  <c r="K1783" i="1"/>
  <c r="J1783" i="1"/>
  <c r="N1782" i="1"/>
  <c r="M1782" i="1"/>
  <c r="L1782" i="1"/>
  <c r="K1782" i="1"/>
  <c r="J1782" i="1"/>
  <c r="N1781" i="1"/>
  <c r="M1781" i="1"/>
  <c r="L1781" i="1"/>
  <c r="K1781" i="1"/>
  <c r="J1781" i="1"/>
  <c r="N1780" i="1"/>
  <c r="M1780" i="1"/>
  <c r="L1780" i="1"/>
  <c r="K1780" i="1"/>
  <c r="J1780" i="1"/>
  <c r="N1779" i="1"/>
  <c r="M1779" i="1"/>
  <c r="L1779" i="1"/>
  <c r="K1779" i="1"/>
  <c r="J1779" i="1"/>
  <c r="N1778" i="1"/>
  <c r="M1778" i="1"/>
  <c r="L1778" i="1"/>
  <c r="K1778" i="1"/>
  <c r="J1778" i="1"/>
  <c r="N1777" i="1"/>
  <c r="M1777" i="1"/>
  <c r="L1777" i="1"/>
  <c r="K1777" i="1"/>
  <c r="J1777" i="1"/>
  <c r="N1776" i="1"/>
  <c r="M1776" i="1"/>
  <c r="L1776" i="1"/>
  <c r="K1776" i="1"/>
  <c r="J1776" i="1"/>
  <c r="N1775" i="1"/>
  <c r="M1775" i="1"/>
  <c r="L1775" i="1"/>
  <c r="K1775" i="1"/>
  <c r="J1775" i="1"/>
  <c r="N1774" i="1"/>
  <c r="M1774" i="1"/>
  <c r="L1774" i="1"/>
  <c r="K1774" i="1"/>
  <c r="J1774" i="1"/>
  <c r="N1773" i="1"/>
  <c r="M1773" i="1"/>
  <c r="L1773" i="1"/>
  <c r="K1773" i="1"/>
  <c r="J1773" i="1"/>
  <c r="N1772" i="1"/>
  <c r="M1772" i="1"/>
  <c r="L1772" i="1"/>
  <c r="K1772" i="1"/>
  <c r="J1772" i="1"/>
  <c r="N1771" i="1"/>
  <c r="M1771" i="1"/>
  <c r="L1771" i="1"/>
  <c r="K1771" i="1"/>
  <c r="J1771" i="1"/>
  <c r="N1770" i="1"/>
  <c r="M1770" i="1"/>
  <c r="L1770" i="1"/>
  <c r="K1770" i="1"/>
  <c r="J1770" i="1"/>
  <c r="N1769" i="1"/>
  <c r="M1769" i="1"/>
  <c r="L1769" i="1"/>
  <c r="K1769" i="1"/>
  <c r="J1769" i="1"/>
  <c r="N1768" i="1"/>
  <c r="M1768" i="1"/>
  <c r="L1768" i="1"/>
  <c r="K1768" i="1"/>
  <c r="J1768" i="1"/>
  <c r="N1767" i="1"/>
  <c r="M1767" i="1"/>
  <c r="L1767" i="1"/>
  <c r="K1767" i="1"/>
  <c r="J1767" i="1"/>
  <c r="N1766" i="1"/>
  <c r="M1766" i="1"/>
  <c r="L1766" i="1"/>
  <c r="K1766" i="1"/>
  <c r="J1766" i="1"/>
  <c r="N1765" i="1"/>
  <c r="M1765" i="1"/>
  <c r="L1765" i="1"/>
  <c r="K1765" i="1"/>
  <c r="J1765" i="1"/>
  <c r="N1764" i="1"/>
  <c r="M1764" i="1"/>
  <c r="L1764" i="1"/>
  <c r="K1764" i="1"/>
  <c r="J1764" i="1"/>
  <c r="N1763" i="1"/>
  <c r="M1763" i="1"/>
  <c r="L1763" i="1"/>
  <c r="K1763" i="1"/>
  <c r="J1763" i="1"/>
  <c r="N1762" i="1"/>
  <c r="M1762" i="1"/>
  <c r="L1762" i="1"/>
  <c r="K1762" i="1"/>
  <c r="J1762" i="1"/>
  <c r="N1761" i="1"/>
  <c r="M1761" i="1"/>
  <c r="L1761" i="1"/>
  <c r="K1761" i="1"/>
  <c r="J1761" i="1"/>
  <c r="N1760" i="1"/>
  <c r="M1760" i="1"/>
  <c r="L1760" i="1"/>
  <c r="K1760" i="1"/>
  <c r="J1760" i="1"/>
  <c r="N1759" i="1"/>
  <c r="M1759" i="1"/>
  <c r="L1759" i="1"/>
  <c r="K1759" i="1"/>
  <c r="J1759" i="1"/>
  <c r="N1758" i="1"/>
  <c r="M1758" i="1"/>
  <c r="L1758" i="1"/>
  <c r="K1758" i="1"/>
  <c r="J1758" i="1"/>
  <c r="N1757" i="1"/>
  <c r="M1757" i="1"/>
  <c r="L1757" i="1"/>
  <c r="K1757" i="1"/>
  <c r="J1757" i="1"/>
  <c r="N1756" i="1"/>
  <c r="M1756" i="1"/>
  <c r="L1756" i="1"/>
  <c r="K1756" i="1"/>
  <c r="J1756" i="1"/>
  <c r="N1755" i="1"/>
  <c r="M1755" i="1"/>
  <c r="L1755" i="1"/>
  <c r="K1755" i="1"/>
  <c r="J1755" i="1"/>
  <c r="N1754" i="1"/>
  <c r="M1754" i="1"/>
  <c r="L1754" i="1"/>
  <c r="K1754" i="1"/>
  <c r="J1754" i="1"/>
  <c r="N1753" i="1"/>
  <c r="M1753" i="1"/>
  <c r="L1753" i="1"/>
  <c r="K1753" i="1"/>
  <c r="J1753" i="1"/>
  <c r="N1752" i="1"/>
  <c r="M1752" i="1"/>
  <c r="L1752" i="1"/>
  <c r="K1752" i="1"/>
  <c r="J1752" i="1"/>
  <c r="N1751" i="1"/>
  <c r="M1751" i="1"/>
  <c r="L1751" i="1"/>
  <c r="K1751" i="1"/>
  <c r="J1751" i="1"/>
  <c r="N1750" i="1"/>
  <c r="M1750" i="1"/>
  <c r="L1750" i="1"/>
  <c r="K1750" i="1"/>
  <c r="J1750" i="1"/>
  <c r="N1749" i="1"/>
  <c r="M1749" i="1"/>
  <c r="L1749" i="1"/>
  <c r="K1749" i="1"/>
  <c r="J1749" i="1"/>
  <c r="N1748" i="1"/>
  <c r="M1748" i="1"/>
  <c r="L1748" i="1"/>
  <c r="K1748" i="1"/>
  <c r="J1748" i="1"/>
  <c r="N1747" i="1"/>
  <c r="M1747" i="1"/>
  <c r="L1747" i="1"/>
  <c r="K1747" i="1"/>
  <c r="J1747" i="1"/>
  <c r="N1746" i="1"/>
  <c r="M1746" i="1"/>
  <c r="L1746" i="1"/>
  <c r="K1746" i="1"/>
  <c r="J1746" i="1"/>
  <c r="N1745" i="1"/>
  <c r="M1745" i="1"/>
  <c r="L1745" i="1"/>
  <c r="K1745" i="1"/>
  <c r="J1745" i="1"/>
  <c r="N1744" i="1"/>
  <c r="M1744" i="1"/>
  <c r="L1744" i="1"/>
  <c r="K1744" i="1"/>
  <c r="J1744" i="1"/>
  <c r="N1743" i="1"/>
  <c r="M1743" i="1"/>
  <c r="L1743" i="1"/>
  <c r="K1743" i="1"/>
  <c r="J1743" i="1"/>
  <c r="N1742" i="1"/>
  <c r="M1742" i="1"/>
  <c r="L1742" i="1"/>
  <c r="K1742" i="1"/>
  <c r="J1742" i="1"/>
  <c r="N1741" i="1"/>
  <c r="M1741" i="1"/>
  <c r="L1741" i="1"/>
  <c r="K1741" i="1"/>
  <c r="J1741" i="1"/>
  <c r="N1740" i="1"/>
  <c r="M1740" i="1"/>
  <c r="L1740" i="1"/>
  <c r="K1740" i="1"/>
  <c r="J1740" i="1"/>
  <c r="N1739" i="1"/>
  <c r="M1739" i="1"/>
  <c r="L1739" i="1"/>
  <c r="K1739" i="1"/>
  <c r="J1739" i="1"/>
  <c r="N1738" i="1"/>
  <c r="M1738" i="1"/>
  <c r="L1738" i="1"/>
  <c r="K1738" i="1"/>
  <c r="J1738" i="1"/>
  <c r="N1737" i="1"/>
  <c r="M1737" i="1"/>
  <c r="L1737" i="1"/>
  <c r="K1737" i="1"/>
  <c r="J1737" i="1"/>
  <c r="N1736" i="1"/>
  <c r="M1736" i="1"/>
  <c r="L1736" i="1"/>
  <c r="K1736" i="1"/>
  <c r="J1736" i="1"/>
  <c r="N1735" i="1"/>
  <c r="M1735" i="1"/>
  <c r="L1735" i="1"/>
  <c r="K1735" i="1"/>
  <c r="J1735" i="1"/>
  <c r="N1734" i="1"/>
  <c r="M1734" i="1"/>
  <c r="L1734" i="1"/>
  <c r="K1734" i="1"/>
  <c r="J1734" i="1"/>
  <c r="N1733" i="1"/>
  <c r="M1733" i="1"/>
  <c r="L1733" i="1"/>
  <c r="K1733" i="1"/>
  <c r="J1733" i="1"/>
  <c r="N1732" i="1"/>
  <c r="M1732" i="1"/>
  <c r="L1732" i="1"/>
  <c r="K1732" i="1"/>
  <c r="J1732" i="1"/>
  <c r="N1731" i="1"/>
  <c r="M1731" i="1"/>
  <c r="L1731" i="1"/>
  <c r="K1731" i="1"/>
  <c r="J1731" i="1"/>
  <c r="N1730" i="1"/>
  <c r="M1730" i="1"/>
  <c r="L1730" i="1"/>
  <c r="K1730" i="1"/>
  <c r="J1730" i="1"/>
  <c r="N1729" i="1"/>
  <c r="M1729" i="1"/>
  <c r="L1729" i="1"/>
  <c r="K1729" i="1"/>
  <c r="J1729" i="1"/>
  <c r="N1728" i="1"/>
  <c r="M1728" i="1"/>
  <c r="L1728" i="1"/>
  <c r="K1728" i="1"/>
  <c r="J1728" i="1"/>
  <c r="N1727" i="1"/>
  <c r="M1727" i="1"/>
  <c r="L1727" i="1"/>
  <c r="K1727" i="1"/>
  <c r="J1727" i="1"/>
  <c r="N1726" i="1"/>
  <c r="M1726" i="1"/>
  <c r="L1726" i="1"/>
  <c r="K1726" i="1"/>
  <c r="J1726" i="1"/>
  <c r="N1725" i="1"/>
  <c r="M1725" i="1"/>
  <c r="L1725" i="1"/>
  <c r="K1725" i="1"/>
  <c r="J1725" i="1"/>
  <c r="N1724" i="1"/>
  <c r="M1724" i="1"/>
  <c r="L1724" i="1"/>
  <c r="K1724" i="1"/>
  <c r="J1724" i="1"/>
  <c r="N1723" i="1"/>
  <c r="M1723" i="1"/>
  <c r="L1723" i="1"/>
  <c r="K1723" i="1"/>
  <c r="J1723" i="1"/>
  <c r="N1722" i="1"/>
  <c r="M1722" i="1"/>
  <c r="L1722" i="1"/>
  <c r="K1722" i="1"/>
  <c r="J1722" i="1"/>
  <c r="N1721" i="1"/>
  <c r="M1721" i="1"/>
  <c r="L1721" i="1"/>
  <c r="K1721" i="1"/>
  <c r="J1721" i="1"/>
  <c r="N1720" i="1"/>
  <c r="M1720" i="1"/>
  <c r="L1720" i="1"/>
  <c r="K1720" i="1"/>
  <c r="J1720" i="1"/>
  <c r="N1719" i="1"/>
  <c r="M1719" i="1"/>
  <c r="L1719" i="1"/>
  <c r="K1719" i="1"/>
  <c r="J1719" i="1"/>
  <c r="N1718" i="1"/>
  <c r="M1718" i="1"/>
  <c r="L1718" i="1"/>
  <c r="K1718" i="1"/>
  <c r="J1718" i="1"/>
  <c r="N1717" i="1"/>
  <c r="M1717" i="1"/>
  <c r="L1717" i="1"/>
  <c r="K1717" i="1"/>
  <c r="J1717" i="1"/>
  <c r="N1716" i="1"/>
  <c r="M1716" i="1"/>
  <c r="L1716" i="1"/>
  <c r="K1716" i="1"/>
  <c r="J1716" i="1"/>
  <c r="N1715" i="1"/>
  <c r="M1715" i="1"/>
  <c r="L1715" i="1"/>
  <c r="K1715" i="1"/>
  <c r="J1715" i="1"/>
  <c r="N1714" i="1"/>
  <c r="M1714" i="1"/>
  <c r="L1714" i="1"/>
  <c r="K1714" i="1"/>
  <c r="J1714" i="1"/>
  <c r="N1713" i="1"/>
  <c r="M1713" i="1"/>
  <c r="L1713" i="1"/>
  <c r="K1713" i="1"/>
  <c r="J1713" i="1"/>
  <c r="N1712" i="1"/>
  <c r="M1712" i="1"/>
  <c r="L1712" i="1"/>
  <c r="K1712" i="1"/>
  <c r="J1712" i="1"/>
  <c r="N1711" i="1"/>
  <c r="M1711" i="1"/>
  <c r="L1711" i="1"/>
  <c r="K1711" i="1"/>
  <c r="J1711" i="1"/>
  <c r="N1710" i="1"/>
  <c r="M1710" i="1"/>
  <c r="L1710" i="1"/>
  <c r="K1710" i="1"/>
  <c r="J1710" i="1"/>
  <c r="N1709" i="1"/>
  <c r="M1709" i="1"/>
  <c r="L1709" i="1"/>
  <c r="K1709" i="1"/>
  <c r="J1709" i="1"/>
  <c r="N1708" i="1"/>
  <c r="M1708" i="1"/>
  <c r="L1708" i="1"/>
  <c r="K1708" i="1"/>
  <c r="J1708" i="1"/>
  <c r="N1707" i="1"/>
  <c r="M1707" i="1"/>
  <c r="L1707" i="1"/>
  <c r="K1707" i="1"/>
  <c r="J1707" i="1"/>
  <c r="N1706" i="1"/>
  <c r="M1706" i="1"/>
  <c r="L1706" i="1"/>
  <c r="K1706" i="1"/>
  <c r="J1706" i="1"/>
  <c r="N1705" i="1"/>
  <c r="M1705" i="1"/>
  <c r="L1705" i="1"/>
  <c r="K1705" i="1"/>
  <c r="J1705" i="1"/>
  <c r="N1704" i="1"/>
  <c r="M1704" i="1"/>
  <c r="L1704" i="1"/>
  <c r="K1704" i="1"/>
  <c r="J1704" i="1"/>
  <c r="N1703" i="1"/>
  <c r="M1703" i="1"/>
  <c r="L1703" i="1"/>
  <c r="K1703" i="1"/>
  <c r="J1703" i="1"/>
  <c r="N1702" i="1"/>
  <c r="M1702" i="1"/>
  <c r="L1702" i="1"/>
  <c r="K1702" i="1"/>
  <c r="J1702" i="1"/>
  <c r="N1701" i="1"/>
  <c r="M1701" i="1"/>
  <c r="L1701" i="1"/>
  <c r="K1701" i="1"/>
  <c r="J1701" i="1"/>
  <c r="N1700" i="1"/>
  <c r="M1700" i="1"/>
  <c r="L1700" i="1"/>
  <c r="K1700" i="1"/>
  <c r="J1700" i="1"/>
  <c r="N1699" i="1"/>
  <c r="M1699" i="1"/>
  <c r="L1699" i="1"/>
  <c r="K1699" i="1"/>
  <c r="J1699" i="1"/>
  <c r="N1698" i="1"/>
  <c r="M1698" i="1"/>
  <c r="L1698" i="1"/>
  <c r="K1698" i="1"/>
  <c r="J1698" i="1"/>
  <c r="N1697" i="1"/>
  <c r="M1697" i="1"/>
  <c r="L1697" i="1"/>
  <c r="K1697" i="1"/>
  <c r="J1697" i="1"/>
  <c r="N1696" i="1"/>
  <c r="M1696" i="1"/>
  <c r="L1696" i="1"/>
  <c r="K1696" i="1"/>
  <c r="J1696" i="1"/>
  <c r="N1695" i="1"/>
  <c r="M1695" i="1"/>
  <c r="L1695" i="1"/>
  <c r="K1695" i="1"/>
  <c r="J1695" i="1"/>
  <c r="N1694" i="1"/>
  <c r="M1694" i="1"/>
  <c r="L1694" i="1"/>
  <c r="K1694" i="1"/>
  <c r="J1694" i="1"/>
  <c r="N1693" i="1"/>
  <c r="M1693" i="1"/>
  <c r="L1693" i="1"/>
  <c r="K1693" i="1"/>
  <c r="J1693" i="1"/>
  <c r="N1692" i="1"/>
  <c r="M1692" i="1"/>
  <c r="L1692" i="1"/>
  <c r="K1692" i="1"/>
  <c r="J1692" i="1"/>
  <c r="N1691" i="1"/>
  <c r="M1691" i="1"/>
  <c r="L1691" i="1"/>
  <c r="K1691" i="1"/>
  <c r="J1691" i="1"/>
  <c r="N1690" i="1"/>
  <c r="M1690" i="1"/>
  <c r="L1690" i="1"/>
  <c r="K1690" i="1"/>
  <c r="J1690" i="1"/>
  <c r="N1689" i="1"/>
  <c r="M1689" i="1"/>
  <c r="L1689" i="1"/>
  <c r="K1689" i="1"/>
  <c r="J1689" i="1"/>
  <c r="N1688" i="1"/>
  <c r="M1688" i="1"/>
  <c r="L1688" i="1"/>
  <c r="K1688" i="1"/>
  <c r="J1688" i="1"/>
  <c r="N1687" i="1"/>
  <c r="M1687" i="1"/>
  <c r="L1687" i="1"/>
  <c r="K1687" i="1"/>
  <c r="J1687" i="1"/>
  <c r="N1686" i="1"/>
  <c r="M1686" i="1"/>
  <c r="L1686" i="1"/>
  <c r="K1686" i="1"/>
  <c r="J1686" i="1"/>
  <c r="N1685" i="1"/>
  <c r="M1685" i="1"/>
  <c r="L1685" i="1"/>
  <c r="K1685" i="1"/>
  <c r="J1685" i="1"/>
  <c r="N1684" i="1"/>
  <c r="M1684" i="1"/>
  <c r="L1684" i="1"/>
  <c r="K1684" i="1"/>
  <c r="J1684" i="1"/>
  <c r="N1683" i="1"/>
  <c r="M1683" i="1"/>
  <c r="L1683" i="1"/>
  <c r="K1683" i="1"/>
  <c r="J1683" i="1"/>
  <c r="N1682" i="1"/>
  <c r="M1682" i="1"/>
  <c r="L1682" i="1"/>
  <c r="K1682" i="1"/>
  <c r="J1682" i="1"/>
  <c r="N1681" i="1"/>
  <c r="M1681" i="1"/>
  <c r="L1681" i="1"/>
  <c r="K1681" i="1"/>
  <c r="J1681" i="1"/>
  <c r="N1680" i="1"/>
  <c r="M1680" i="1"/>
  <c r="L1680" i="1"/>
  <c r="K1680" i="1"/>
  <c r="J1680" i="1"/>
  <c r="N1679" i="1"/>
  <c r="M1679" i="1"/>
  <c r="L1679" i="1"/>
  <c r="K1679" i="1"/>
  <c r="J1679" i="1"/>
  <c r="N1678" i="1"/>
  <c r="M1678" i="1"/>
  <c r="L1678" i="1"/>
  <c r="K1678" i="1"/>
  <c r="J1678" i="1"/>
  <c r="N1677" i="1"/>
  <c r="M1677" i="1"/>
  <c r="L1677" i="1"/>
  <c r="K1677" i="1"/>
  <c r="J1677" i="1"/>
  <c r="N1676" i="1"/>
  <c r="M1676" i="1"/>
  <c r="L1676" i="1"/>
  <c r="K1676" i="1"/>
  <c r="J1676" i="1"/>
  <c r="N1675" i="1"/>
  <c r="M1675" i="1"/>
  <c r="L1675" i="1"/>
  <c r="K1675" i="1"/>
  <c r="J1675" i="1"/>
  <c r="N1674" i="1"/>
  <c r="M1674" i="1"/>
  <c r="L1674" i="1"/>
  <c r="K1674" i="1"/>
  <c r="J1674" i="1"/>
  <c r="N1673" i="1"/>
  <c r="M1673" i="1"/>
  <c r="L1673" i="1"/>
  <c r="K1673" i="1"/>
  <c r="J1673" i="1"/>
  <c r="N1672" i="1"/>
  <c r="M1672" i="1"/>
  <c r="L1672" i="1"/>
  <c r="K1672" i="1"/>
  <c r="J1672" i="1"/>
  <c r="N1671" i="1"/>
  <c r="M1671" i="1"/>
  <c r="L1671" i="1"/>
  <c r="K1671" i="1"/>
  <c r="J1671" i="1"/>
  <c r="N1670" i="1"/>
  <c r="M1670" i="1"/>
  <c r="L1670" i="1"/>
  <c r="K1670" i="1"/>
  <c r="J1670" i="1"/>
  <c r="N1669" i="1"/>
  <c r="M1669" i="1"/>
  <c r="L1669" i="1"/>
  <c r="K1669" i="1"/>
  <c r="J1669" i="1"/>
  <c r="N1668" i="1"/>
  <c r="M1668" i="1"/>
  <c r="L1668" i="1"/>
  <c r="K1668" i="1"/>
  <c r="J1668" i="1"/>
  <c r="N1667" i="1"/>
  <c r="M1667" i="1"/>
  <c r="L1667" i="1"/>
  <c r="K1667" i="1"/>
  <c r="J1667" i="1"/>
  <c r="N1666" i="1"/>
  <c r="M1666" i="1"/>
  <c r="L1666" i="1"/>
  <c r="K1666" i="1"/>
  <c r="J1666" i="1"/>
  <c r="N1665" i="1"/>
  <c r="M1665" i="1"/>
  <c r="L1665" i="1"/>
  <c r="K1665" i="1"/>
  <c r="J1665" i="1"/>
  <c r="N1664" i="1"/>
  <c r="M1664" i="1"/>
  <c r="L1664" i="1"/>
  <c r="K1664" i="1"/>
  <c r="J1664" i="1"/>
  <c r="N1663" i="1"/>
  <c r="M1663" i="1"/>
  <c r="L1663" i="1"/>
  <c r="K1663" i="1"/>
  <c r="J1663" i="1"/>
  <c r="N1662" i="1"/>
  <c r="M1662" i="1"/>
  <c r="L1662" i="1"/>
  <c r="K1662" i="1"/>
  <c r="J1662" i="1"/>
  <c r="N1661" i="1"/>
  <c r="M1661" i="1"/>
  <c r="L1661" i="1"/>
  <c r="K1661" i="1"/>
  <c r="J1661" i="1"/>
  <c r="N1660" i="1"/>
  <c r="M1660" i="1"/>
  <c r="L1660" i="1"/>
  <c r="K1660" i="1"/>
  <c r="J1660" i="1"/>
  <c r="N1659" i="1"/>
  <c r="M1659" i="1"/>
  <c r="L1659" i="1"/>
  <c r="K1659" i="1"/>
  <c r="J1659" i="1"/>
  <c r="N1658" i="1"/>
  <c r="M1658" i="1"/>
  <c r="L1658" i="1"/>
  <c r="K1658" i="1"/>
  <c r="J1658" i="1"/>
  <c r="N1657" i="1"/>
  <c r="M1657" i="1"/>
  <c r="L1657" i="1"/>
  <c r="K1657" i="1"/>
  <c r="J1657" i="1"/>
  <c r="N1656" i="1"/>
  <c r="M1656" i="1"/>
  <c r="L1656" i="1"/>
  <c r="K1656" i="1"/>
  <c r="J1656" i="1"/>
  <c r="N1655" i="1"/>
  <c r="M1655" i="1"/>
  <c r="L1655" i="1"/>
  <c r="K1655" i="1"/>
  <c r="J1655" i="1"/>
  <c r="N1654" i="1"/>
  <c r="M1654" i="1"/>
  <c r="L1654" i="1"/>
  <c r="K1654" i="1"/>
  <c r="J1654" i="1"/>
  <c r="N1653" i="1"/>
  <c r="M1653" i="1"/>
  <c r="L1653" i="1"/>
  <c r="K1653" i="1"/>
  <c r="J1653" i="1"/>
  <c r="N1652" i="1"/>
  <c r="M1652" i="1"/>
  <c r="L1652" i="1"/>
  <c r="K1652" i="1"/>
  <c r="J1652" i="1"/>
  <c r="N1651" i="1"/>
  <c r="M1651" i="1"/>
  <c r="L1651" i="1"/>
  <c r="K1651" i="1"/>
  <c r="J1651" i="1"/>
  <c r="N1650" i="1"/>
  <c r="M1650" i="1"/>
  <c r="L1650" i="1"/>
  <c r="K1650" i="1"/>
  <c r="J1650" i="1"/>
  <c r="N1649" i="1"/>
  <c r="M1649" i="1"/>
  <c r="L1649" i="1"/>
  <c r="K1649" i="1"/>
  <c r="J1649" i="1"/>
  <c r="N1648" i="1"/>
  <c r="M1648" i="1"/>
  <c r="L1648" i="1"/>
  <c r="K1648" i="1"/>
  <c r="J1648" i="1"/>
  <c r="N1647" i="1"/>
  <c r="M1647" i="1"/>
  <c r="L1647" i="1"/>
  <c r="K1647" i="1"/>
  <c r="J1647" i="1"/>
  <c r="N1646" i="1"/>
  <c r="M1646" i="1"/>
  <c r="L1646" i="1"/>
  <c r="K1646" i="1"/>
  <c r="J1646" i="1"/>
  <c r="N1645" i="1"/>
  <c r="M1645" i="1"/>
  <c r="L1645" i="1"/>
  <c r="K1645" i="1"/>
  <c r="J1645" i="1"/>
  <c r="N1644" i="1"/>
  <c r="M1644" i="1"/>
  <c r="L1644" i="1"/>
  <c r="K1644" i="1"/>
  <c r="J1644" i="1"/>
  <c r="N1643" i="1"/>
  <c r="M1643" i="1"/>
  <c r="L1643" i="1"/>
  <c r="K1643" i="1"/>
  <c r="J1643" i="1"/>
  <c r="N1642" i="1"/>
  <c r="M1642" i="1"/>
  <c r="L1642" i="1"/>
  <c r="K1642" i="1"/>
  <c r="J1642" i="1"/>
  <c r="N1641" i="1"/>
  <c r="M1641" i="1"/>
  <c r="L1641" i="1"/>
  <c r="K1641" i="1"/>
  <c r="J1641" i="1"/>
  <c r="N1640" i="1"/>
  <c r="M1640" i="1"/>
  <c r="L1640" i="1"/>
  <c r="K1640" i="1"/>
  <c r="J1640" i="1"/>
  <c r="N1639" i="1"/>
  <c r="M1639" i="1"/>
  <c r="L1639" i="1"/>
  <c r="K1639" i="1"/>
  <c r="J1639" i="1"/>
  <c r="N1638" i="1"/>
  <c r="M1638" i="1"/>
  <c r="L1638" i="1"/>
  <c r="K1638" i="1"/>
  <c r="J1638" i="1"/>
  <c r="N1637" i="1"/>
  <c r="M1637" i="1"/>
  <c r="L1637" i="1"/>
  <c r="K1637" i="1"/>
  <c r="J1637" i="1"/>
  <c r="N1636" i="1"/>
  <c r="M1636" i="1"/>
  <c r="L1636" i="1"/>
  <c r="K1636" i="1"/>
  <c r="J1636" i="1"/>
  <c r="N1635" i="1"/>
  <c r="M1635" i="1"/>
  <c r="L1635" i="1"/>
  <c r="K1635" i="1"/>
  <c r="J1635" i="1"/>
  <c r="N1634" i="1"/>
  <c r="M1634" i="1"/>
  <c r="L1634" i="1"/>
  <c r="K1634" i="1"/>
  <c r="J1634" i="1"/>
  <c r="N1633" i="1"/>
  <c r="M1633" i="1"/>
  <c r="L1633" i="1"/>
  <c r="K1633" i="1"/>
  <c r="J1633" i="1"/>
  <c r="N1632" i="1"/>
  <c r="M1632" i="1"/>
  <c r="L1632" i="1"/>
  <c r="K1632" i="1"/>
  <c r="J1632" i="1"/>
  <c r="N1631" i="1"/>
  <c r="M1631" i="1"/>
  <c r="L1631" i="1"/>
  <c r="K1631" i="1"/>
  <c r="J1631" i="1"/>
  <c r="N1630" i="1"/>
  <c r="M1630" i="1"/>
  <c r="L1630" i="1"/>
  <c r="K1630" i="1"/>
  <c r="J1630" i="1"/>
  <c r="N1629" i="1"/>
  <c r="M1629" i="1"/>
  <c r="L1629" i="1"/>
  <c r="K1629" i="1"/>
  <c r="J1629" i="1"/>
  <c r="N1628" i="1"/>
  <c r="M1628" i="1"/>
  <c r="L1628" i="1"/>
  <c r="K1628" i="1"/>
  <c r="J1628" i="1"/>
  <c r="N1627" i="1"/>
  <c r="M1627" i="1"/>
  <c r="L1627" i="1"/>
  <c r="K1627" i="1"/>
  <c r="J1627" i="1"/>
  <c r="N1626" i="1"/>
  <c r="M1626" i="1"/>
  <c r="L1626" i="1"/>
  <c r="K1626" i="1"/>
  <c r="J1626" i="1"/>
  <c r="N1625" i="1"/>
  <c r="M1625" i="1"/>
  <c r="L1625" i="1"/>
  <c r="K1625" i="1"/>
  <c r="J1625" i="1"/>
  <c r="N1624" i="1"/>
  <c r="M1624" i="1"/>
  <c r="L1624" i="1"/>
  <c r="K1624" i="1"/>
  <c r="J1624" i="1"/>
  <c r="N1623" i="1"/>
  <c r="M1623" i="1"/>
  <c r="L1623" i="1"/>
  <c r="K1623" i="1"/>
  <c r="J1623" i="1"/>
  <c r="N1622" i="1"/>
  <c r="M1622" i="1"/>
  <c r="L1622" i="1"/>
  <c r="K1622" i="1"/>
  <c r="J1622" i="1"/>
  <c r="N1621" i="1"/>
  <c r="M1621" i="1"/>
  <c r="L1621" i="1"/>
  <c r="K1621" i="1"/>
  <c r="J1621" i="1"/>
  <c r="N1620" i="1"/>
  <c r="M1620" i="1"/>
  <c r="L1620" i="1"/>
  <c r="K1620" i="1"/>
  <c r="J1620" i="1"/>
  <c r="N1619" i="1"/>
  <c r="M1619" i="1"/>
  <c r="L1619" i="1"/>
  <c r="K1619" i="1"/>
  <c r="J1619" i="1"/>
  <c r="N1618" i="1"/>
  <c r="M1618" i="1"/>
  <c r="L1618" i="1"/>
  <c r="K1618" i="1"/>
  <c r="J1618" i="1"/>
  <c r="N1617" i="1"/>
  <c r="M1617" i="1"/>
  <c r="L1617" i="1"/>
  <c r="K1617" i="1"/>
  <c r="J1617" i="1"/>
  <c r="N1616" i="1"/>
  <c r="M1616" i="1"/>
  <c r="L1616" i="1"/>
  <c r="K1616" i="1"/>
  <c r="J1616" i="1"/>
  <c r="N1615" i="1"/>
  <c r="M1615" i="1"/>
  <c r="L1615" i="1"/>
  <c r="K1615" i="1"/>
  <c r="J1615" i="1"/>
  <c r="N1614" i="1"/>
  <c r="M1614" i="1"/>
  <c r="L1614" i="1"/>
  <c r="K1614" i="1"/>
  <c r="J1614" i="1"/>
  <c r="N1613" i="1"/>
  <c r="M1613" i="1"/>
  <c r="L1613" i="1"/>
  <c r="K1613" i="1"/>
  <c r="J1613" i="1"/>
  <c r="N1612" i="1"/>
  <c r="M1612" i="1"/>
  <c r="L1612" i="1"/>
  <c r="K1612" i="1"/>
  <c r="J1612" i="1"/>
  <c r="N1611" i="1"/>
  <c r="M1611" i="1"/>
  <c r="L1611" i="1"/>
  <c r="K1611" i="1"/>
  <c r="J1611" i="1"/>
  <c r="N1610" i="1"/>
  <c r="M1610" i="1"/>
  <c r="L1610" i="1"/>
  <c r="K1610" i="1"/>
  <c r="J1610" i="1"/>
  <c r="N1609" i="1"/>
  <c r="M1609" i="1"/>
  <c r="L1609" i="1"/>
  <c r="K1609" i="1"/>
  <c r="J1609" i="1"/>
  <c r="N1608" i="1"/>
  <c r="M1608" i="1"/>
  <c r="L1608" i="1"/>
  <c r="K1608" i="1"/>
  <c r="J1608" i="1"/>
  <c r="N1607" i="1"/>
  <c r="M1607" i="1"/>
  <c r="L1607" i="1"/>
  <c r="K1607" i="1"/>
  <c r="J1607" i="1"/>
  <c r="N1606" i="1"/>
  <c r="M1606" i="1"/>
  <c r="L1606" i="1"/>
  <c r="K1606" i="1"/>
  <c r="J1606" i="1"/>
  <c r="N1605" i="1"/>
  <c r="M1605" i="1"/>
  <c r="L1605" i="1"/>
  <c r="K1605" i="1"/>
  <c r="J1605" i="1"/>
  <c r="N1604" i="1"/>
  <c r="M1604" i="1"/>
  <c r="L1604" i="1"/>
  <c r="K1604" i="1"/>
  <c r="J1604" i="1"/>
  <c r="N1603" i="1"/>
  <c r="M1603" i="1"/>
  <c r="L1603" i="1"/>
  <c r="K1603" i="1"/>
  <c r="J1603" i="1"/>
  <c r="N1602" i="1"/>
  <c r="M1602" i="1"/>
  <c r="L1602" i="1"/>
  <c r="K1602" i="1"/>
  <c r="J1602" i="1"/>
  <c r="N1601" i="1"/>
  <c r="M1601" i="1"/>
  <c r="L1601" i="1"/>
  <c r="K1601" i="1"/>
  <c r="J1601" i="1"/>
  <c r="N1600" i="1"/>
  <c r="M1600" i="1"/>
  <c r="L1600" i="1"/>
  <c r="K1600" i="1"/>
  <c r="J1600" i="1"/>
  <c r="N1599" i="1"/>
  <c r="M1599" i="1"/>
  <c r="L1599" i="1"/>
  <c r="K1599" i="1"/>
  <c r="J1599" i="1"/>
  <c r="N1598" i="1"/>
  <c r="M1598" i="1"/>
  <c r="L1598" i="1"/>
  <c r="K1598" i="1"/>
  <c r="J1598" i="1"/>
  <c r="N1597" i="1"/>
  <c r="M1597" i="1"/>
  <c r="L1597" i="1"/>
  <c r="K1597" i="1"/>
  <c r="J1597" i="1"/>
  <c r="N1596" i="1"/>
  <c r="M1596" i="1"/>
  <c r="L1596" i="1"/>
  <c r="K1596" i="1"/>
  <c r="J1596" i="1"/>
  <c r="N1595" i="1"/>
  <c r="M1595" i="1"/>
  <c r="L1595" i="1"/>
  <c r="K1595" i="1"/>
  <c r="J1595" i="1"/>
  <c r="N1594" i="1"/>
  <c r="M1594" i="1"/>
  <c r="L1594" i="1"/>
  <c r="K1594" i="1"/>
  <c r="J1594" i="1"/>
  <c r="N1593" i="1"/>
  <c r="M1593" i="1"/>
  <c r="L1593" i="1"/>
  <c r="K1593" i="1"/>
  <c r="J1593" i="1"/>
  <c r="N1592" i="1"/>
  <c r="M1592" i="1"/>
  <c r="L1592" i="1"/>
  <c r="K1592" i="1"/>
  <c r="J1592" i="1"/>
  <c r="N1591" i="1"/>
  <c r="M1591" i="1"/>
  <c r="L1591" i="1"/>
  <c r="K1591" i="1"/>
  <c r="J1591" i="1"/>
  <c r="N1590" i="1"/>
  <c r="M1590" i="1"/>
  <c r="L1590" i="1"/>
  <c r="K1590" i="1"/>
  <c r="J1590" i="1"/>
  <c r="N1589" i="1"/>
  <c r="M1589" i="1"/>
  <c r="L1589" i="1"/>
  <c r="K1589" i="1"/>
  <c r="J1589" i="1"/>
  <c r="N1588" i="1"/>
  <c r="M1588" i="1"/>
  <c r="L1588" i="1"/>
  <c r="K1588" i="1"/>
  <c r="J1588" i="1"/>
  <c r="N1587" i="1"/>
  <c r="M1587" i="1"/>
  <c r="L1587" i="1"/>
  <c r="K1587" i="1"/>
  <c r="J1587" i="1"/>
  <c r="N1586" i="1"/>
  <c r="M1586" i="1"/>
  <c r="L1586" i="1"/>
  <c r="K1586" i="1"/>
  <c r="J1586" i="1"/>
  <c r="N1585" i="1"/>
  <c r="M1585" i="1"/>
  <c r="L1585" i="1"/>
  <c r="K1585" i="1"/>
  <c r="J1585" i="1"/>
  <c r="N1584" i="1"/>
  <c r="M1584" i="1"/>
  <c r="L1584" i="1"/>
  <c r="K1584" i="1"/>
  <c r="J1584" i="1"/>
  <c r="N1583" i="1"/>
  <c r="M1583" i="1"/>
  <c r="L1583" i="1"/>
  <c r="K1583" i="1"/>
  <c r="J1583" i="1"/>
  <c r="N1582" i="1"/>
  <c r="M1582" i="1"/>
  <c r="L1582" i="1"/>
  <c r="K1582" i="1"/>
  <c r="J1582" i="1"/>
  <c r="N1581" i="1"/>
  <c r="M1581" i="1"/>
  <c r="L1581" i="1"/>
  <c r="K1581" i="1"/>
  <c r="J1581" i="1"/>
  <c r="N1580" i="1"/>
  <c r="M1580" i="1"/>
  <c r="L1580" i="1"/>
  <c r="K1580" i="1"/>
  <c r="J1580" i="1"/>
  <c r="N1579" i="1"/>
  <c r="M1579" i="1"/>
  <c r="L1579" i="1"/>
  <c r="K1579" i="1"/>
  <c r="J1579" i="1"/>
  <c r="N1578" i="1"/>
  <c r="M1578" i="1"/>
  <c r="L1578" i="1"/>
  <c r="K1578" i="1"/>
  <c r="J1578" i="1"/>
  <c r="N1577" i="1"/>
  <c r="M1577" i="1"/>
  <c r="L1577" i="1"/>
  <c r="K1577" i="1"/>
  <c r="J1577" i="1"/>
  <c r="N1576" i="1"/>
  <c r="M1576" i="1"/>
  <c r="L1576" i="1"/>
  <c r="K1576" i="1"/>
  <c r="J1576" i="1"/>
  <c r="N1575" i="1"/>
  <c r="M1575" i="1"/>
  <c r="L1575" i="1"/>
  <c r="K1575" i="1"/>
  <c r="J1575" i="1"/>
  <c r="N1574" i="1"/>
  <c r="M1574" i="1"/>
  <c r="L1574" i="1"/>
  <c r="K1574" i="1"/>
  <c r="J1574" i="1"/>
  <c r="N1573" i="1"/>
  <c r="M1573" i="1"/>
  <c r="L1573" i="1"/>
  <c r="K1573" i="1"/>
  <c r="J1573" i="1"/>
  <c r="N1572" i="1"/>
  <c r="M1572" i="1"/>
  <c r="L1572" i="1"/>
  <c r="K1572" i="1"/>
  <c r="J1572" i="1"/>
  <c r="N1571" i="1"/>
  <c r="M1571" i="1"/>
  <c r="L1571" i="1"/>
  <c r="K1571" i="1"/>
  <c r="J1571" i="1"/>
  <c r="N1570" i="1"/>
  <c r="M1570" i="1"/>
  <c r="L1570" i="1"/>
  <c r="K1570" i="1"/>
  <c r="J1570" i="1"/>
  <c r="N1569" i="1"/>
  <c r="M1569" i="1"/>
  <c r="L1569" i="1"/>
  <c r="K1569" i="1"/>
  <c r="J1569" i="1"/>
  <c r="N1568" i="1"/>
  <c r="M1568" i="1"/>
  <c r="L1568" i="1"/>
  <c r="K1568" i="1"/>
  <c r="J1568" i="1"/>
  <c r="N1567" i="1"/>
  <c r="M1567" i="1"/>
  <c r="L1567" i="1"/>
  <c r="K1567" i="1"/>
  <c r="J1567" i="1"/>
  <c r="N1566" i="1"/>
  <c r="M1566" i="1"/>
  <c r="L1566" i="1"/>
  <c r="K1566" i="1"/>
  <c r="J1566" i="1"/>
  <c r="N1565" i="1"/>
  <c r="M1565" i="1"/>
  <c r="L1565" i="1"/>
  <c r="K1565" i="1"/>
  <c r="J1565" i="1"/>
  <c r="N1564" i="1"/>
  <c r="M1564" i="1"/>
  <c r="L1564" i="1"/>
  <c r="K1564" i="1"/>
  <c r="J1564" i="1"/>
  <c r="N1563" i="1"/>
  <c r="M1563" i="1"/>
  <c r="L1563" i="1"/>
  <c r="K1563" i="1"/>
  <c r="J1563" i="1"/>
  <c r="N1562" i="1"/>
  <c r="M1562" i="1"/>
  <c r="L1562" i="1"/>
  <c r="K1562" i="1"/>
  <c r="J1562" i="1"/>
  <c r="N1561" i="1"/>
  <c r="M1561" i="1"/>
  <c r="L1561" i="1"/>
  <c r="K1561" i="1"/>
  <c r="J1561" i="1"/>
  <c r="N1560" i="1"/>
  <c r="M1560" i="1"/>
  <c r="L1560" i="1"/>
  <c r="K1560" i="1"/>
  <c r="J1560" i="1"/>
  <c r="N1559" i="1"/>
  <c r="M1559" i="1"/>
  <c r="L1559" i="1"/>
  <c r="K1559" i="1"/>
  <c r="J1559" i="1"/>
  <c r="N1558" i="1"/>
  <c r="M1558" i="1"/>
  <c r="L1558" i="1"/>
  <c r="K1558" i="1"/>
  <c r="J1558" i="1"/>
  <c r="N1557" i="1"/>
  <c r="M1557" i="1"/>
  <c r="L1557" i="1"/>
  <c r="K1557" i="1"/>
  <c r="J1557" i="1"/>
  <c r="N1556" i="1"/>
  <c r="M1556" i="1"/>
  <c r="L1556" i="1"/>
  <c r="K1556" i="1"/>
  <c r="J1556" i="1"/>
  <c r="N1555" i="1"/>
  <c r="M1555" i="1"/>
  <c r="L1555" i="1"/>
  <c r="K1555" i="1"/>
  <c r="J1555" i="1"/>
  <c r="N1554" i="1"/>
  <c r="M1554" i="1"/>
  <c r="L1554" i="1"/>
  <c r="K1554" i="1"/>
  <c r="J1554" i="1"/>
  <c r="N1553" i="1"/>
  <c r="M1553" i="1"/>
  <c r="L1553" i="1"/>
  <c r="K1553" i="1"/>
  <c r="J1553" i="1"/>
  <c r="N1552" i="1"/>
  <c r="M1552" i="1"/>
  <c r="L1552" i="1"/>
  <c r="K1552" i="1"/>
  <c r="J1552" i="1"/>
  <c r="N1551" i="1"/>
  <c r="M1551" i="1"/>
  <c r="L1551" i="1"/>
  <c r="K1551" i="1"/>
  <c r="J1551" i="1"/>
  <c r="N1550" i="1"/>
  <c r="M1550" i="1"/>
  <c r="L1550" i="1"/>
  <c r="K1550" i="1"/>
  <c r="J1550" i="1"/>
  <c r="N1549" i="1"/>
  <c r="M1549" i="1"/>
  <c r="L1549" i="1"/>
  <c r="K1549" i="1"/>
  <c r="J1549" i="1"/>
  <c r="N1548" i="1"/>
  <c r="M1548" i="1"/>
  <c r="L1548" i="1"/>
  <c r="K1548" i="1"/>
  <c r="J1548" i="1"/>
  <c r="N1547" i="1"/>
  <c r="M1547" i="1"/>
  <c r="L1547" i="1"/>
  <c r="K1547" i="1"/>
  <c r="J1547" i="1"/>
  <c r="N1546" i="1"/>
  <c r="M1546" i="1"/>
  <c r="L1546" i="1"/>
  <c r="K1546" i="1"/>
  <c r="J1546" i="1"/>
  <c r="N1545" i="1"/>
  <c r="M1545" i="1"/>
  <c r="L1545" i="1"/>
  <c r="K1545" i="1"/>
  <c r="J1545" i="1"/>
  <c r="N1544" i="1"/>
  <c r="M1544" i="1"/>
  <c r="L1544" i="1"/>
  <c r="K1544" i="1"/>
  <c r="J1544" i="1"/>
  <c r="N1543" i="1"/>
  <c r="M1543" i="1"/>
  <c r="L1543" i="1"/>
  <c r="K1543" i="1"/>
  <c r="J1543" i="1"/>
  <c r="N1542" i="1"/>
  <c r="M1542" i="1"/>
  <c r="L1542" i="1"/>
  <c r="K1542" i="1"/>
  <c r="J1542" i="1"/>
  <c r="N1541" i="1"/>
  <c r="M1541" i="1"/>
  <c r="L1541" i="1"/>
  <c r="K1541" i="1"/>
  <c r="J1541" i="1"/>
  <c r="N1540" i="1"/>
  <c r="M1540" i="1"/>
  <c r="L1540" i="1"/>
  <c r="K1540" i="1"/>
  <c r="J1540" i="1"/>
  <c r="N1539" i="1"/>
  <c r="M1539" i="1"/>
  <c r="L1539" i="1"/>
  <c r="K1539" i="1"/>
  <c r="J1539" i="1"/>
  <c r="N1538" i="1"/>
  <c r="M1538" i="1"/>
  <c r="L1538" i="1"/>
  <c r="K1538" i="1"/>
  <c r="J1538" i="1"/>
  <c r="N1537" i="1"/>
  <c r="M1537" i="1"/>
  <c r="L1537" i="1"/>
  <c r="K1537" i="1"/>
  <c r="J1537" i="1"/>
  <c r="N1536" i="1"/>
  <c r="M1536" i="1"/>
  <c r="L1536" i="1"/>
  <c r="K1536" i="1"/>
  <c r="J1536" i="1"/>
  <c r="N1535" i="1"/>
  <c r="M1535" i="1"/>
  <c r="L1535" i="1"/>
  <c r="K1535" i="1"/>
  <c r="J1535" i="1"/>
  <c r="N1534" i="1"/>
  <c r="M1534" i="1"/>
  <c r="L1534" i="1"/>
  <c r="K1534" i="1"/>
  <c r="J1534" i="1"/>
  <c r="N1533" i="1"/>
  <c r="M1533" i="1"/>
  <c r="L1533" i="1"/>
  <c r="K1533" i="1"/>
  <c r="J1533" i="1"/>
  <c r="N1532" i="1"/>
  <c r="M1532" i="1"/>
  <c r="L1532" i="1"/>
  <c r="K1532" i="1"/>
  <c r="J1532" i="1"/>
  <c r="N1531" i="1"/>
  <c r="M1531" i="1"/>
  <c r="L1531" i="1"/>
  <c r="K1531" i="1"/>
  <c r="J1531" i="1"/>
  <c r="N1530" i="1"/>
  <c r="M1530" i="1"/>
  <c r="L1530" i="1"/>
  <c r="K1530" i="1"/>
  <c r="J1530" i="1"/>
  <c r="N1529" i="1"/>
  <c r="M1529" i="1"/>
  <c r="L1529" i="1"/>
  <c r="K1529" i="1"/>
  <c r="J1529" i="1"/>
  <c r="N1528" i="1"/>
  <c r="M1528" i="1"/>
  <c r="L1528" i="1"/>
  <c r="K1528" i="1"/>
  <c r="J1528" i="1"/>
  <c r="N1527" i="1"/>
  <c r="M1527" i="1"/>
  <c r="L1527" i="1"/>
  <c r="K1527" i="1"/>
  <c r="J1527" i="1"/>
  <c r="N1526" i="1"/>
  <c r="M1526" i="1"/>
  <c r="L1526" i="1"/>
  <c r="K1526" i="1"/>
  <c r="J1526" i="1"/>
  <c r="N1525" i="1"/>
  <c r="M1525" i="1"/>
  <c r="L1525" i="1"/>
  <c r="K1525" i="1"/>
  <c r="J1525" i="1"/>
  <c r="N1524" i="1"/>
  <c r="M1524" i="1"/>
  <c r="L1524" i="1"/>
  <c r="K1524" i="1"/>
  <c r="J1524" i="1"/>
  <c r="N1523" i="1"/>
  <c r="M1523" i="1"/>
  <c r="L1523" i="1"/>
  <c r="K1523" i="1"/>
  <c r="J1523" i="1"/>
  <c r="N1522" i="1"/>
  <c r="M1522" i="1"/>
  <c r="L1522" i="1"/>
  <c r="K1522" i="1"/>
  <c r="J1522" i="1"/>
  <c r="N1521" i="1"/>
  <c r="M1521" i="1"/>
  <c r="L1521" i="1"/>
  <c r="K1521" i="1"/>
  <c r="J1521" i="1"/>
  <c r="N1520" i="1"/>
  <c r="M1520" i="1"/>
  <c r="L1520" i="1"/>
  <c r="K1520" i="1"/>
  <c r="J1520" i="1"/>
  <c r="N1519" i="1"/>
  <c r="M1519" i="1"/>
  <c r="L1519" i="1"/>
  <c r="K1519" i="1"/>
  <c r="J1519" i="1"/>
  <c r="N1518" i="1"/>
  <c r="M1518" i="1"/>
  <c r="L1518" i="1"/>
  <c r="K1518" i="1"/>
  <c r="J1518" i="1"/>
  <c r="N1517" i="1"/>
  <c r="M1517" i="1"/>
  <c r="L1517" i="1"/>
  <c r="K1517" i="1"/>
  <c r="J1517" i="1"/>
  <c r="N1516" i="1"/>
  <c r="M1516" i="1"/>
  <c r="L1516" i="1"/>
  <c r="K1516" i="1"/>
  <c r="J1516" i="1"/>
  <c r="N1515" i="1"/>
  <c r="M1515" i="1"/>
  <c r="L1515" i="1"/>
  <c r="K1515" i="1"/>
  <c r="J1515" i="1"/>
  <c r="N1514" i="1"/>
  <c r="M1514" i="1"/>
  <c r="L1514" i="1"/>
  <c r="K1514" i="1"/>
  <c r="J1514" i="1"/>
  <c r="N1513" i="1"/>
  <c r="M1513" i="1"/>
  <c r="L1513" i="1"/>
  <c r="K1513" i="1"/>
  <c r="J1513" i="1"/>
  <c r="N1512" i="1"/>
  <c r="M1512" i="1"/>
  <c r="L1512" i="1"/>
  <c r="K1512" i="1"/>
  <c r="J1512" i="1"/>
  <c r="N1511" i="1"/>
  <c r="M1511" i="1"/>
  <c r="L1511" i="1"/>
  <c r="K1511" i="1"/>
  <c r="J1511" i="1"/>
  <c r="N1510" i="1"/>
  <c r="M1510" i="1"/>
  <c r="L1510" i="1"/>
  <c r="K1510" i="1"/>
  <c r="J1510" i="1"/>
  <c r="N1509" i="1"/>
  <c r="M1509" i="1"/>
  <c r="L1509" i="1"/>
  <c r="K1509" i="1"/>
  <c r="J1509" i="1"/>
  <c r="N1508" i="1"/>
  <c r="M1508" i="1"/>
  <c r="L1508" i="1"/>
  <c r="K1508" i="1"/>
  <c r="J1508" i="1"/>
  <c r="N1507" i="1"/>
  <c r="M1507" i="1"/>
  <c r="L1507" i="1"/>
  <c r="K1507" i="1"/>
  <c r="J1507" i="1"/>
  <c r="N1506" i="1"/>
  <c r="M1506" i="1"/>
  <c r="L1506" i="1"/>
  <c r="K1506" i="1"/>
  <c r="J1506" i="1"/>
  <c r="N1505" i="1"/>
  <c r="M1505" i="1"/>
  <c r="L1505" i="1"/>
  <c r="K1505" i="1"/>
  <c r="J1505" i="1"/>
  <c r="N1504" i="1"/>
  <c r="M1504" i="1"/>
  <c r="L1504" i="1"/>
  <c r="K1504" i="1"/>
  <c r="J1504" i="1"/>
  <c r="N1503" i="1"/>
  <c r="M1503" i="1"/>
  <c r="L1503" i="1"/>
  <c r="K1503" i="1"/>
  <c r="J1503" i="1"/>
  <c r="N1502" i="1"/>
  <c r="M1502" i="1"/>
  <c r="L1502" i="1"/>
  <c r="K1502" i="1"/>
  <c r="J1502" i="1"/>
  <c r="N1501" i="1"/>
  <c r="M1501" i="1"/>
  <c r="L1501" i="1"/>
  <c r="K1501" i="1"/>
  <c r="J1501" i="1"/>
  <c r="N1500" i="1"/>
  <c r="M1500" i="1"/>
  <c r="L1500" i="1"/>
  <c r="K1500" i="1"/>
  <c r="J1500" i="1"/>
  <c r="N1499" i="1"/>
  <c r="M1499" i="1"/>
  <c r="L1499" i="1"/>
  <c r="K1499" i="1"/>
  <c r="J1499" i="1"/>
  <c r="N1498" i="1"/>
  <c r="M1498" i="1"/>
  <c r="L1498" i="1"/>
  <c r="K1498" i="1"/>
  <c r="J1498" i="1"/>
  <c r="N1497" i="1"/>
  <c r="M1497" i="1"/>
  <c r="L1497" i="1"/>
  <c r="K1497" i="1"/>
  <c r="J1497" i="1"/>
  <c r="N1496" i="1"/>
  <c r="M1496" i="1"/>
  <c r="L1496" i="1"/>
  <c r="K1496" i="1"/>
  <c r="J1496" i="1"/>
  <c r="N1495" i="1"/>
  <c r="M1495" i="1"/>
  <c r="L1495" i="1"/>
  <c r="K1495" i="1"/>
  <c r="J1495" i="1"/>
  <c r="N1494" i="1"/>
  <c r="M1494" i="1"/>
  <c r="L1494" i="1"/>
  <c r="K1494" i="1"/>
  <c r="J1494" i="1"/>
  <c r="N1493" i="1"/>
  <c r="M1493" i="1"/>
  <c r="L1493" i="1"/>
  <c r="K1493" i="1"/>
  <c r="J1493" i="1"/>
  <c r="N1492" i="1"/>
  <c r="M1492" i="1"/>
  <c r="L1492" i="1"/>
  <c r="K1492" i="1"/>
  <c r="J1492" i="1"/>
  <c r="N1491" i="1"/>
  <c r="M1491" i="1"/>
  <c r="L1491" i="1"/>
  <c r="K1491" i="1"/>
  <c r="J1491" i="1"/>
  <c r="N1490" i="1"/>
  <c r="M1490" i="1"/>
  <c r="L1490" i="1"/>
  <c r="K1490" i="1"/>
  <c r="J1490" i="1"/>
  <c r="N1489" i="1"/>
  <c r="M1489" i="1"/>
  <c r="L1489" i="1"/>
  <c r="K1489" i="1"/>
  <c r="J1489" i="1"/>
  <c r="N1488" i="1"/>
  <c r="M1488" i="1"/>
  <c r="L1488" i="1"/>
  <c r="K1488" i="1"/>
  <c r="J1488" i="1"/>
  <c r="N1487" i="1"/>
  <c r="M1487" i="1"/>
  <c r="L1487" i="1"/>
  <c r="K1487" i="1"/>
  <c r="J1487" i="1"/>
  <c r="N1486" i="1"/>
  <c r="M1486" i="1"/>
  <c r="L1486" i="1"/>
  <c r="K1486" i="1"/>
  <c r="J1486" i="1"/>
  <c r="N1485" i="1"/>
  <c r="M1485" i="1"/>
  <c r="L1485" i="1"/>
  <c r="K1485" i="1"/>
  <c r="J1485" i="1"/>
  <c r="N1484" i="1"/>
  <c r="M1484" i="1"/>
  <c r="L1484" i="1"/>
  <c r="K1484" i="1"/>
  <c r="J1484" i="1"/>
  <c r="N1483" i="1"/>
  <c r="M1483" i="1"/>
  <c r="L1483" i="1"/>
  <c r="K1483" i="1"/>
  <c r="J1483" i="1"/>
  <c r="N1482" i="1"/>
  <c r="M1482" i="1"/>
  <c r="L1482" i="1"/>
  <c r="K1482" i="1"/>
  <c r="J1482" i="1"/>
  <c r="N1481" i="1"/>
  <c r="M1481" i="1"/>
  <c r="L1481" i="1"/>
  <c r="K1481" i="1"/>
  <c r="J1481" i="1"/>
  <c r="N1480" i="1"/>
  <c r="M1480" i="1"/>
  <c r="L1480" i="1"/>
  <c r="K1480" i="1"/>
  <c r="J1480" i="1"/>
  <c r="N1479" i="1"/>
  <c r="M1479" i="1"/>
  <c r="L1479" i="1"/>
  <c r="K1479" i="1"/>
  <c r="J1479" i="1"/>
  <c r="N1478" i="1"/>
  <c r="M1478" i="1"/>
  <c r="L1478" i="1"/>
  <c r="K1478" i="1"/>
  <c r="J1478" i="1"/>
  <c r="N1477" i="1"/>
  <c r="M1477" i="1"/>
  <c r="L1477" i="1"/>
  <c r="K1477" i="1"/>
  <c r="J1477" i="1"/>
  <c r="N1476" i="1"/>
  <c r="M1476" i="1"/>
  <c r="L1476" i="1"/>
  <c r="K1476" i="1"/>
  <c r="J1476" i="1"/>
  <c r="N1475" i="1"/>
  <c r="M1475" i="1"/>
  <c r="L1475" i="1"/>
  <c r="K1475" i="1"/>
  <c r="J1475" i="1"/>
  <c r="N1474" i="1"/>
  <c r="M1474" i="1"/>
  <c r="L1474" i="1"/>
  <c r="K1474" i="1"/>
  <c r="J1474" i="1"/>
  <c r="N1473" i="1"/>
  <c r="M1473" i="1"/>
  <c r="L1473" i="1"/>
  <c r="K1473" i="1"/>
  <c r="J1473" i="1"/>
  <c r="N1472" i="1"/>
  <c r="M1472" i="1"/>
  <c r="L1472" i="1"/>
  <c r="K1472" i="1"/>
  <c r="J1472" i="1"/>
  <c r="N1471" i="1"/>
  <c r="M1471" i="1"/>
  <c r="L1471" i="1"/>
  <c r="K1471" i="1"/>
  <c r="J1471" i="1"/>
  <c r="N1470" i="1"/>
  <c r="M1470" i="1"/>
  <c r="L1470" i="1"/>
  <c r="K1470" i="1"/>
  <c r="J1470" i="1"/>
  <c r="N1469" i="1"/>
  <c r="M1469" i="1"/>
  <c r="L1469" i="1"/>
  <c r="K1469" i="1"/>
  <c r="J1469" i="1"/>
  <c r="N1468" i="1"/>
  <c r="M1468" i="1"/>
  <c r="L1468" i="1"/>
  <c r="K1468" i="1"/>
  <c r="J1468" i="1"/>
  <c r="N1467" i="1"/>
  <c r="M1467" i="1"/>
  <c r="L1467" i="1"/>
  <c r="K1467" i="1"/>
  <c r="J1467" i="1"/>
  <c r="N1466" i="1"/>
  <c r="M1466" i="1"/>
  <c r="L1466" i="1"/>
  <c r="K1466" i="1"/>
  <c r="J1466" i="1"/>
  <c r="N1465" i="1"/>
  <c r="M1465" i="1"/>
  <c r="L1465" i="1"/>
  <c r="K1465" i="1"/>
  <c r="J1465" i="1"/>
  <c r="N1464" i="1"/>
  <c r="M1464" i="1"/>
  <c r="L1464" i="1"/>
  <c r="K1464" i="1"/>
  <c r="J1464" i="1"/>
  <c r="N1463" i="1"/>
  <c r="M1463" i="1"/>
  <c r="L1463" i="1"/>
  <c r="K1463" i="1"/>
  <c r="J1463" i="1"/>
  <c r="N1462" i="1"/>
  <c r="M1462" i="1"/>
  <c r="L1462" i="1"/>
  <c r="K1462" i="1"/>
  <c r="J1462" i="1"/>
  <c r="N1461" i="1"/>
  <c r="M1461" i="1"/>
  <c r="L1461" i="1"/>
  <c r="K1461" i="1"/>
  <c r="J1461" i="1"/>
  <c r="N1460" i="1"/>
  <c r="M1460" i="1"/>
  <c r="L1460" i="1"/>
  <c r="K1460" i="1"/>
  <c r="J1460" i="1"/>
  <c r="N1459" i="1"/>
  <c r="M1459" i="1"/>
  <c r="L1459" i="1"/>
  <c r="K1459" i="1"/>
  <c r="J1459" i="1"/>
  <c r="N1458" i="1"/>
  <c r="M1458" i="1"/>
  <c r="L1458" i="1"/>
  <c r="K1458" i="1"/>
  <c r="J1458" i="1"/>
  <c r="N1457" i="1"/>
  <c r="M1457" i="1"/>
  <c r="L1457" i="1"/>
  <c r="K1457" i="1"/>
  <c r="J1457" i="1"/>
  <c r="N1456" i="1"/>
  <c r="M1456" i="1"/>
  <c r="L1456" i="1"/>
  <c r="K1456" i="1"/>
  <c r="J1456" i="1"/>
  <c r="N1455" i="1"/>
  <c r="M1455" i="1"/>
  <c r="L1455" i="1"/>
  <c r="K1455" i="1"/>
  <c r="J1455" i="1"/>
  <c r="N1454" i="1"/>
  <c r="M1454" i="1"/>
  <c r="L1454" i="1"/>
  <c r="K1454" i="1"/>
  <c r="J1454" i="1"/>
  <c r="N1453" i="1"/>
  <c r="M1453" i="1"/>
  <c r="L1453" i="1"/>
  <c r="K1453" i="1"/>
  <c r="J1453" i="1"/>
  <c r="N1452" i="1"/>
  <c r="M1452" i="1"/>
  <c r="L1452" i="1"/>
  <c r="K1452" i="1"/>
  <c r="J1452" i="1"/>
  <c r="N1451" i="1"/>
  <c r="M1451" i="1"/>
  <c r="L1451" i="1"/>
  <c r="K1451" i="1"/>
  <c r="J1451" i="1"/>
  <c r="N1450" i="1"/>
  <c r="M1450" i="1"/>
  <c r="L1450" i="1"/>
  <c r="K1450" i="1"/>
  <c r="J1450" i="1"/>
  <c r="N1449" i="1"/>
  <c r="M1449" i="1"/>
  <c r="L1449" i="1"/>
  <c r="K1449" i="1"/>
  <c r="J1449" i="1"/>
  <c r="N1448" i="1"/>
  <c r="M1448" i="1"/>
  <c r="L1448" i="1"/>
  <c r="K1448" i="1"/>
  <c r="J1448" i="1"/>
  <c r="N1447" i="1"/>
  <c r="M1447" i="1"/>
  <c r="L1447" i="1"/>
  <c r="K1447" i="1"/>
  <c r="J1447" i="1"/>
  <c r="N1446" i="1"/>
  <c r="M1446" i="1"/>
  <c r="L1446" i="1"/>
  <c r="K1446" i="1"/>
  <c r="J1446" i="1"/>
  <c r="N1445" i="1"/>
  <c r="M1445" i="1"/>
  <c r="L1445" i="1"/>
  <c r="K1445" i="1"/>
  <c r="J1445" i="1"/>
  <c r="N1444" i="1"/>
  <c r="M1444" i="1"/>
  <c r="L1444" i="1"/>
  <c r="K1444" i="1"/>
  <c r="J1444" i="1"/>
  <c r="N1443" i="1"/>
  <c r="M1443" i="1"/>
  <c r="L1443" i="1"/>
  <c r="K1443" i="1"/>
  <c r="J1443" i="1"/>
  <c r="N1442" i="1"/>
  <c r="M1442" i="1"/>
  <c r="L1442" i="1"/>
  <c r="K1442" i="1"/>
  <c r="J1442" i="1"/>
  <c r="N1441" i="1"/>
  <c r="M1441" i="1"/>
  <c r="L1441" i="1"/>
  <c r="K1441" i="1"/>
  <c r="J1441" i="1"/>
  <c r="N1440" i="1"/>
  <c r="M1440" i="1"/>
  <c r="L1440" i="1"/>
  <c r="K1440" i="1"/>
  <c r="J1440" i="1"/>
  <c r="N1439" i="1"/>
  <c r="M1439" i="1"/>
  <c r="L1439" i="1"/>
  <c r="K1439" i="1"/>
  <c r="J1439" i="1"/>
  <c r="N1438" i="1"/>
  <c r="M1438" i="1"/>
  <c r="L1438" i="1"/>
  <c r="K1438" i="1"/>
  <c r="J1438" i="1"/>
  <c r="N1437" i="1"/>
  <c r="M1437" i="1"/>
  <c r="L1437" i="1"/>
  <c r="K1437" i="1"/>
  <c r="J1437" i="1"/>
  <c r="N1436" i="1"/>
  <c r="M1436" i="1"/>
  <c r="L1436" i="1"/>
  <c r="K1436" i="1"/>
  <c r="J1436" i="1"/>
  <c r="N1435" i="1"/>
  <c r="M1435" i="1"/>
  <c r="L1435" i="1"/>
  <c r="K1435" i="1"/>
  <c r="J1435" i="1"/>
  <c r="N1434" i="1"/>
  <c r="M1434" i="1"/>
  <c r="L1434" i="1"/>
  <c r="K1434" i="1"/>
  <c r="J1434" i="1"/>
  <c r="N1433" i="1"/>
  <c r="M1433" i="1"/>
  <c r="L1433" i="1"/>
  <c r="K1433" i="1"/>
  <c r="J1433" i="1"/>
  <c r="N1432" i="1"/>
  <c r="M1432" i="1"/>
  <c r="L1432" i="1"/>
  <c r="K1432" i="1"/>
  <c r="J1432" i="1"/>
  <c r="N1431" i="1"/>
  <c r="M1431" i="1"/>
  <c r="L1431" i="1"/>
  <c r="K1431" i="1"/>
  <c r="J1431" i="1"/>
  <c r="N1430" i="1"/>
  <c r="M1430" i="1"/>
  <c r="L1430" i="1"/>
  <c r="K1430" i="1"/>
  <c r="J1430" i="1"/>
  <c r="N1429" i="1"/>
  <c r="M1429" i="1"/>
  <c r="L1429" i="1"/>
  <c r="K1429" i="1"/>
  <c r="J1429" i="1"/>
  <c r="N1428" i="1"/>
  <c r="M1428" i="1"/>
  <c r="L1428" i="1"/>
  <c r="K1428" i="1"/>
  <c r="J1428" i="1"/>
  <c r="N1427" i="1"/>
  <c r="M1427" i="1"/>
  <c r="L1427" i="1"/>
  <c r="K1427" i="1"/>
  <c r="J1427" i="1"/>
  <c r="N1426" i="1"/>
  <c r="M1426" i="1"/>
  <c r="L1426" i="1"/>
  <c r="K1426" i="1"/>
  <c r="J1426" i="1"/>
  <c r="N1425" i="1"/>
  <c r="M1425" i="1"/>
  <c r="L1425" i="1"/>
  <c r="K1425" i="1"/>
  <c r="J1425" i="1"/>
  <c r="N1424" i="1"/>
  <c r="M1424" i="1"/>
  <c r="L1424" i="1"/>
  <c r="K1424" i="1"/>
  <c r="J1424" i="1"/>
  <c r="N1423" i="1"/>
  <c r="M1423" i="1"/>
  <c r="L1423" i="1"/>
  <c r="K1423" i="1"/>
  <c r="J1423" i="1"/>
  <c r="N1422" i="1"/>
  <c r="M1422" i="1"/>
  <c r="L1422" i="1"/>
  <c r="K1422" i="1"/>
  <c r="J1422" i="1"/>
  <c r="N1421" i="1"/>
  <c r="M1421" i="1"/>
  <c r="L1421" i="1"/>
  <c r="K1421" i="1"/>
  <c r="J1421" i="1"/>
  <c r="N1420" i="1"/>
  <c r="M1420" i="1"/>
  <c r="L1420" i="1"/>
  <c r="K1420" i="1"/>
  <c r="J1420" i="1"/>
  <c r="N1419" i="1"/>
  <c r="M1419" i="1"/>
  <c r="L1419" i="1"/>
  <c r="K1419" i="1"/>
  <c r="J1419" i="1"/>
  <c r="N1418" i="1"/>
  <c r="M1418" i="1"/>
  <c r="L1418" i="1"/>
  <c r="K1418" i="1"/>
  <c r="J1418" i="1"/>
  <c r="N1417" i="1"/>
  <c r="M1417" i="1"/>
  <c r="L1417" i="1"/>
  <c r="K1417" i="1"/>
  <c r="J1417" i="1"/>
  <c r="N1416" i="1"/>
  <c r="M1416" i="1"/>
  <c r="L1416" i="1"/>
  <c r="K1416" i="1"/>
  <c r="J1416" i="1"/>
  <c r="N1415" i="1"/>
  <c r="M1415" i="1"/>
  <c r="L1415" i="1"/>
  <c r="K1415" i="1"/>
  <c r="J1415" i="1"/>
  <c r="N1414" i="1"/>
  <c r="M1414" i="1"/>
  <c r="L1414" i="1"/>
  <c r="K1414" i="1"/>
  <c r="J1414" i="1"/>
  <c r="N1413" i="1"/>
  <c r="M1413" i="1"/>
  <c r="L1413" i="1"/>
  <c r="K1413" i="1"/>
  <c r="J1413" i="1"/>
  <c r="N1412" i="1"/>
  <c r="M1412" i="1"/>
  <c r="L1412" i="1"/>
  <c r="K1412" i="1"/>
  <c r="J1412" i="1"/>
  <c r="N1411" i="1"/>
  <c r="M1411" i="1"/>
  <c r="L1411" i="1"/>
  <c r="K1411" i="1"/>
  <c r="J1411" i="1"/>
  <c r="N1410" i="1"/>
  <c r="M1410" i="1"/>
  <c r="L1410" i="1"/>
  <c r="K1410" i="1"/>
  <c r="J1410" i="1"/>
  <c r="N1409" i="1"/>
  <c r="M1409" i="1"/>
  <c r="L1409" i="1"/>
  <c r="K1409" i="1"/>
  <c r="J1409" i="1"/>
  <c r="N1408" i="1"/>
  <c r="M1408" i="1"/>
  <c r="L1408" i="1"/>
  <c r="K1408" i="1"/>
  <c r="J1408" i="1"/>
  <c r="N1407" i="1"/>
  <c r="M1407" i="1"/>
  <c r="L1407" i="1"/>
  <c r="K1407" i="1"/>
  <c r="J1407" i="1"/>
  <c r="N1406" i="1"/>
  <c r="M1406" i="1"/>
  <c r="L1406" i="1"/>
  <c r="K1406" i="1"/>
  <c r="J1406" i="1"/>
  <c r="N1405" i="1"/>
  <c r="M1405" i="1"/>
  <c r="L1405" i="1"/>
  <c r="K1405" i="1"/>
  <c r="J1405" i="1"/>
  <c r="N1404" i="1"/>
  <c r="M1404" i="1"/>
  <c r="L1404" i="1"/>
  <c r="K1404" i="1"/>
  <c r="J1404" i="1"/>
  <c r="N1403" i="1"/>
  <c r="M1403" i="1"/>
  <c r="L1403" i="1"/>
  <c r="K1403" i="1"/>
  <c r="J1403" i="1"/>
  <c r="N1402" i="1"/>
  <c r="M1402" i="1"/>
  <c r="L1402" i="1"/>
  <c r="K1402" i="1"/>
  <c r="J1402" i="1"/>
  <c r="N1401" i="1"/>
  <c r="M1401" i="1"/>
  <c r="L1401" i="1"/>
  <c r="K1401" i="1"/>
  <c r="J1401" i="1"/>
  <c r="N1400" i="1"/>
  <c r="M1400" i="1"/>
  <c r="L1400" i="1"/>
  <c r="K1400" i="1"/>
  <c r="J1400" i="1"/>
  <c r="N1399" i="1"/>
  <c r="M1399" i="1"/>
  <c r="L1399" i="1"/>
  <c r="K1399" i="1"/>
  <c r="J1399" i="1"/>
  <c r="N1398" i="1"/>
  <c r="M1398" i="1"/>
  <c r="L1398" i="1"/>
  <c r="K1398" i="1"/>
  <c r="J1398" i="1"/>
  <c r="N1397" i="1"/>
  <c r="M1397" i="1"/>
  <c r="L1397" i="1"/>
  <c r="K1397" i="1"/>
  <c r="J1397" i="1"/>
  <c r="N1396" i="1"/>
  <c r="M1396" i="1"/>
  <c r="L1396" i="1"/>
  <c r="K1396" i="1"/>
  <c r="J1396" i="1"/>
  <c r="N1395" i="1"/>
  <c r="M1395" i="1"/>
  <c r="L1395" i="1"/>
  <c r="K1395" i="1"/>
  <c r="J1395" i="1"/>
  <c r="N1394" i="1"/>
  <c r="M1394" i="1"/>
  <c r="L1394" i="1"/>
  <c r="K1394" i="1"/>
  <c r="J1394" i="1"/>
  <c r="N1393" i="1"/>
  <c r="M1393" i="1"/>
  <c r="L1393" i="1"/>
  <c r="K1393" i="1"/>
  <c r="J1393" i="1"/>
  <c r="N1392" i="1"/>
  <c r="M1392" i="1"/>
  <c r="L1392" i="1"/>
  <c r="K1392" i="1"/>
  <c r="J1392" i="1"/>
  <c r="N1391" i="1"/>
  <c r="M1391" i="1"/>
  <c r="L1391" i="1"/>
  <c r="K1391" i="1"/>
  <c r="J1391" i="1"/>
  <c r="N1390" i="1"/>
  <c r="M1390" i="1"/>
  <c r="L1390" i="1"/>
  <c r="K1390" i="1"/>
  <c r="J1390" i="1"/>
  <c r="N1389" i="1"/>
  <c r="M1389" i="1"/>
  <c r="L1389" i="1"/>
  <c r="K1389" i="1"/>
  <c r="J1389" i="1"/>
  <c r="N1388" i="1"/>
  <c r="M1388" i="1"/>
  <c r="L1388" i="1"/>
  <c r="K1388" i="1"/>
  <c r="J1388" i="1"/>
  <c r="N1387" i="1"/>
  <c r="M1387" i="1"/>
  <c r="L1387" i="1"/>
  <c r="K1387" i="1"/>
  <c r="J1387" i="1"/>
  <c r="N1386" i="1"/>
  <c r="M1386" i="1"/>
  <c r="L1386" i="1"/>
  <c r="K1386" i="1"/>
  <c r="J1386" i="1"/>
  <c r="N1385" i="1"/>
  <c r="M1385" i="1"/>
  <c r="L1385" i="1"/>
  <c r="K1385" i="1"/>
  <c r="J1385" i="1"/>
  <c r="N1384" i="1"/>
  <c r="M1384" i="1"/>
  <c r="L1384" i="1"/>
  <c r="K1384" i="1"/>
  <c r="J1384" i="1"/>
  <c r="N1383" i="1"/>
  <c r="M1383" i="1"/>
  <c r="L1383" i="1"/>
  <c r="K1383" i="1"/>
  <c r="J1383" i="1"/>
  <c r="N1382" i="1"/>
  <c r="M1382" i="1"/>
  <c r="L1382" i="1"/>
  <c r="K1382" i="1"/>
  <c r="J1382" i="1"/>
  <c r="N1381" i="1"/>
  <c r="M1381" i="1"/>
  <c r="L1381" i="1"/>
  <c r="K1381" i="1"/>
  <c r="J1381" i="1"/>
  <c r="N1380" i="1"/>
  <c r="M1380" i="1"/>
  <c r="L1380" i="1"/>
  <c r="K1380" i="1"/>
  <c r="J1380" i="1"/>
  <c r="N1379" i="1"/>
  <c r="M1379" i="1"/>
  <c r="L1379" i="1"/>
  <c r="K1379" i="1"/>
  <c r="J1379" i="1"/>
  <c r="N1378" i="1"/>
  <c r="M1378" i="1"/>
  <c r="L1378" i="1"/>
  <c r="K1378" i="1"/>
  <c r="J1378" i="1"/>
  <c r="N1377" i="1"/>
  <c r="M1377" i="1"/>
  <c r="L1377" i="1"/>
  <c r="K1377" i="1"/>
  <c r="J1377" i="1"/>
  <c r="N1376" i="1"/>
  <c r="M1376" i="1"/>
  <c r="L1376" i="1"/>
  <c r="K1376" i="1"/>
  <c r="J1376" i="1"/>
  <c r="N1375" i="1"/>
  <c r="M1375" i="1"/>
  <c r="L1375" i="1"/>
  <c r="K1375" i="1"/>
  <c r="J1375" i="1"/>
  <c r="N1374" i="1"/>
  <c r="M1374" i="1"/>
  <c r="L1374" i="1"/>
  <c r="K1374" i="1"/>
  <c r="J1374" i="1"/>
  <c r="N1373" i="1"/>
  <c r="M1373" i="1"/>
  <c r="L1373" i="1"/>
  <c r="K1373" i="1"/>
  <c r="J1373" i="1"/>
  <c r="N1372" i="1"/>
  <c r="M1372" i="1"/>
  <c r="L1372" i="1"/>
  <c r="K1372" i="1"/>
  <c r="J1372" i="1"/>
  <c r="N1371" i="1"/>
  <c r="M1371" i="1"/>
  <c r="L1371" i="1"/>
  <c r="K1371" i="1"/>
  <c r="J1371" i="1"/>
  <c r="N1370" i="1"/>
  <c r="M1370" i="1"/>
  <c r="L1370" i="1"/>
  <c r="K1370" i="1"/>
  <c r="J1370" i="1"/>
  <c r="N1369" i="1"/>
  <c r="M1369" i="1"/>
  <c r="L1369" i="1"/>
  <c r="K1369" i="1"/>
  <c r="J1369" i="1"/>
  <c r="N1368" i="1"/>
  <c r="M1368" i="1"/>
  <c r="L1368" i="1"/>
  <c r="K1368" i="1"/>
  <c r="J1368" i="1"/>
  <c r="N1367" i="1"/>
  <c r="M1367" i="1"/>
  <c r="L1367" i="1"/>
  <c r="K1367" i="1"/>
  <c r="J1367" i="1"/>
  <c r="N1366" i="1"/>
  <c r="M1366" i="1"/>
  <c r="L1366" i="1"/>
  <c r="K1366" i="1"/>
  <c r="J1366" i="1"/>
  <c r="N1365" i="1"/>
  <c r="M1365" i="1"/>
  <c r="L1365" i="1"/>
  <c r="K1365" i="1"/>
  <c r="J1365" i="1"/>
  <c r="N1364" i="1"/>
  <c r="M1364" i="1"/>
  <c r="L1364" i="1"/>
  <c r="K1364" i="1"/>
  <c r="J1364" i="1"/>
  <c r="N1363" i="1"/>
  <c r="M1363" i="1"/>
  <c r="L1363" i="1"/>
  <c r="K1363" i="1"/>
  <c r="J1363" i="1"/>
  <c r="N1362" i="1"/>
  <c r="M1362" i="1"/>
  <c r="L1362" i="1"/>
  <c r="K1362" i="1"/>
  <c r="J1362" i="1"/>
  <c r="N1361" i="1"/>
  <c r="M1361" i="1"/>
  <c r="L1361" i="1"/>
  <c r="K1361" i="1"/>
  <c r="J1361" i="1"/>
  <c r="N1360" i="1"/>
  <c r="M1360" i="1"/>
  <c r="L1360" i="1"/>
  <c r="K1360" i="1"/>
  <c r="J1360" i="1"/>
  <c r="N1359" i="1"/>
  <c r="M1359" i="1"/>
  <c r="L1359" i="1"/>
  <c r="K1359" i="1"/>
  <c r="J1359" i="1"/>
  <c r="N1358" i="1"/>
  <c r="M1358" i="1"/>
  <c r="L1358" i="1"/>
  <c r="K1358" i="1"/>
  <c r="J1358" i="1"/>
  <c r="N1357" i="1"/>
  <c r="M1357" i="1"/>
  <c r="L1357" i="1"/>
  <c r="K1357" i="1"/>
  <c r="J1357" i="1"/>
  <c r="N1356" i="1"/>
  <c r="M1356" i="1"/>
  <c r="L1356" i="1"/>
  <c r="K1356" i="1"/>
  <c r="J1356" i="1"/>
  <c r="N1355" i="1"/>
  <c r="M1355" i="1"/>
  <c r="L1355" i="1"/>
  <c r="K1355" i="1"/>
  <c r="J1355" i="1"/>
  <c r="N1354" i="1"/>
  <c r="M1354" i="1"/>
  <c r="L1354" i="1"/>
  <c r="K1354" i="1"/>
  <c r="J1354" i="1"/>
  <c r="N1353" i="1"/>
  <c r="M1353" i="1"/>
  <c r="L1353" i="1"/>
  <c r="K1353" i="1"/>
  <c r="J1353" i="1"/>
  <c r="N1352" i="1"/>
  <c r="M1352" i="1"/>
  <c r="L1352" i="1"/>
  <c r="K1352" i="1"/>
  <c r="J1352" i="1"/>
  <c r="N1351" i="1"/>
  <c r="M1351" i="1"/>
  <c r="L1351" i="1"/>
  <c r="K1351" i="1"/>
  <c r="J1351" i="1"/>
  <c r="N1350" i="1"/>
  <c r="M1350" i="1"/>
  <c r="L1350" i="1"/>
  <c r="K1350" i="1"/>
  <c r="J1350" i="1"/>
  <c r="N1349" i="1"/>
  <c r="M1349" i="1"/>
  <c r="L1349" i="1"/>
  <c r="K1349" i="1"/>
  <c r="J1349" i="1"/>
  <c r="N1348" i="1"/>
  <c r="M1348" i="1"/>
  <c r="L1348" i="1"/>
  <c r="K1348" i="1"/>
  <c r="J1348" i="1"/>
  <c r="N1347" i="1"/>
  <c r="M1347" i="1"/>
  <c r="L1347" i="1"/>
  <c r="K1347" i="1"/>
  <c r="J1347" i="1"/>
  <c r="N1346" i="1"/>
  <c r="M1346" i="1"/>
  <c r="L1346" i="1"/>
  <c r="K1346" i="1"/>
  <c r="J1346" i="1"/>
  <c r="N1345" i="1"/>
  <c r="M1345" i="1"/>
  <c r="L1345" i="1"/>
  <c r="K1345" i="1"/>
  <c r="J1345" i="1"/>
  <c r="N1344" i="1"/>
  <c r="M1344" i="1"/>
  <c r="L1344" i="1"/>
  <c r="K1344" i="1"/>
  <c r="J1344" i="1"/>
  <c r="N1343" i="1"/>
  <c r="M1343" i="1"/>
  <c r="L1343" i="1"/>
  <c r="K1343" i="1"/>
  <c r="J1343" i="1"/>
  <c r="N1342" i="1"/>
  <c r="M1342" i="1"/>
  <c r="L1342" i="1"/>
  <c r="K1342" i="1"/>
  <c r="J1342" i="1"/>
  <c r="N1341" i="1"/>
  <c r="M1341" i="1"/>
  <c r="L1341" i="1"/>
  <c r="K1341" i="1"/>
  <c r="J1341" i="1"/>
  <c r="N1340" i="1"/>
  <c r="M1340" i="1"/>
  <c r="L1340" i="1"/>
  <c r="K1340" i="1"/>
  <c r="J1340" i="1"/>
  <c r="N1339" i="1"/>
  <c r="M1339" i="1"/>
  <c r="L1339" i="1"/>
  <c r="K1339" i="1"/>
  <c r="J1339" i="1"/>
  <c r="N1338" i="1"/>
  <c r="M1338" i="1"/>
  <c r="L1338" i="1"/>
  <c r="K1338" i="1"/>
  <c r="J1338" i="1"/>
  <c r="N1337" i="1"/>
  <c r="M1337" i="1"/>
  <c r="L1337" i="1"/>
  <c r="K1337" i="1"/>
  <c r="J1337" i="1"/>
  <c r="N1336" i="1"/>
  <c r="M1336" i="1"/>
  <c r="L1336" i="1"/>
  <c r="K1336" i="1"/>
  <c r="J1336" i="1"/>
  <c r="N1335" i="1"/>
  <c r="M1335" i="1"/>
  <c r="L1335" i="1"/>
  <c r="K1335" i="1"/>
  <c r="J1335" i="1"/>
  <c r="N1334" i="1"/>
  <c r="M1334" i="1"/>
  <c r="L1334" i="1"/>
  <c r="K1334" i="1"/>
  <c r="J1334" i="1"/>
  <c r="N1333" i="1"/>
  <c r="M1333" i="1"/>
  <c r="L1333" i="1"/>
  <c r="K1333" i="1"/>
  <c r="J1333" i="1"/>
  <c r="N1332" i="1"/>
  <c r="M1332" i="1"/>
  <c r="L1332" i="1"/>
  <c r="K1332" i="1"/>
  <c r="J1332" i="1"/>
  <c r="N1331" i="1"/>
  <c r="M1331" i="1"/>
  <c r="L1331" i="1"/>
  <c r="K1331" i="1"/>
  <c r="J1331" i="1"/>
  <c r="N1330" i="1"/>
  <c r="M1330" i="1"/>
  <c r="L1330" i="1"/>
  <c r="K1330" i="1"/>
  <c r="J1330" i="1"/>
  <c r="N1329" i="1"/>
  <c r="M1329" i="1"/>
  <c r="L1329" i="1"/>
  <c r="K1329" i="1"/>
  <c r="J1329" i="1"/>
  <c r="N1328" i="1"/>
  <c r="M1328" i="1"/>
  <c r="L1328" i="1"/>
  <c r="K1328" i="1"/>
  <c r="J1328" i="1"/>
  <c r="N1327" i="1"/>
  <c r="M1327" i="1"/>
  <c r="L1327" i="1"/>
  <c r="K1327" i="1"/>
  <c r="J1327" i="1"/>
  <c r="N1326" i="1"/>
  <c r="M1326" i="1"/>
  <c r="L1326" i="1"/>
  <c r="K1326" i="1"/>
  <c r="J1326" i="1"/>
  <c r="N1325" i="1"/>
  <c r="M1325" i="1"/>
  <c r="L1325" i="1"/>
  <c r="K1325" i="1"/>
  <c r="J1325" i="1"/>
  <c r="N1324" i="1"/>
  <c r="M1324" i="1"/>
  <c r="L1324" i="1"/>
  <c r="K1324" i="1"/>
  <c r="J1324" i="1"/>
  <c r="N1323" i="1"/>
  <c r="M1323" i="1"/>
  <c r="L1323" i="1"/>
  <c r="K1323" i="1"/>
  <c r="J1323" i="1"/>
  <c r="N1322" i="1"/>
  <c r="M1322" i="1"/>
  <c r="L1322" i="1"/>
  <c r="K1322" i="1"/>
  <c r="J1322" i="1"/>
  <c r="N1321" i="1"/>
  <c r="M1321" i="1"/>
  <c r="L1321" i="1"/>
  <c r="K1321" i="1"/>
  <c r="J1321" i="1"/>
  <c r="N1320" i="1"/>
  <c r="M1320" i="1"/>
  <c r="L1320" i="1"/>
  <c r="K1320" i="1"/>
  <c r="J1320" i="1"/>
  <c r="N1319" i="1"/>
  <c r="M1319" i="1"/>
  <c r="L1319" i="1"/>
  <c r="K1319" i="1"/>
  <c r="J1319" i="1"/>
  <c r="N1318" i="1"/>
  <c r="M1318" i="1"/>
  <c r="L1318" i="1"/>
  <c r="K1318" i="1"/>
  <c r="J1318" i="1"/>
  <c r="N1317" i="1"/>
  <c r="M1317" i="1"/>
  <c r="L1317" i="1"/>
  <c r="K1317" i="1"/>
  <c r="J1317" i="1"/>
  <c r="N1316" i="1"/>
  <c r="M1316" i="1"/>
  <c r="L1316" i="1"/>
  <c r="K1316" i="1"/>
  <c r="J1316" i="1"/>
  <c r="N1315" i="1"/>
  <c r="M1315" i="1"/>
  <c r="L1315" i="1"/>
  <c r="K1315" i="1"/>
  <c r="J1315" i="1"/>
  <c r="N1314" i="1"/>
  <c r="M1314" i="1"/>
  <c r="L1314" i="1"/>
  <c r="K1314" i="1"/>
  <c r="J1314" i="1"/>
  <c r="N1313" i="1"/>
  <c r="M1313" i="1"/>
  <c r="L1313" i="1"/>
  <c r="K1313" i="1"/>
  <c r="J1313" i="1"/>
  <c r="N1312" i="1"/>
  <c r="M1312" i="1"/>
  <c r="L1312" i="1"/>
  <c r="K1312" i="1"/>
  <c r="J1312" i="1"/>
  <c r="N1311" i="1"/>
  <c r="M1311" i="1"/>
  <c r="L1311" i="1"/>
  <c r="K1311" i="1"/>
  <c r="J1311" i="1"/>
  <c r="N1310" i="1"/>
  <c r="M1310" i="1"/>
  <c r="L1310" i="1"/>
  <c r="K1310" i="1"/>
  <c r="J1310" i="1"/>
  <c r="N1309" i="1"/>
  <c r="M1309" i="1"/>
  <c r="L1309" i="1"/>
  <c r="K1309" i="1"/>
  <c r="J1309" i="1"/>
  <c r="N1308" i="1"/>
  <c r="M1308" i="1"/>
  <c r="L1308" i="1"/>
  <c r="K1308" i="1"/>
  <c r="J1308" i="1"/>
  <c r="N1307" i="1"/>
  <c r="M1307" i="1"/>
  <c r="L1307" i="1"/>
  <c r="K1307" i="1"/>
  <c r="J1307" i="1"/>
  <c r="N1306" i="1"/>
  <c r="M1306" i="1"/>
  <c r="L1306" i="1"/>
  <c r="K1306" i="1"/>
  <c r="J1306" i="1"/>
  <c r="N1305" i="1"/>
  <c r="M1305" i="1"/>
  <c r="L1305" i="1"/>
  <c r="K1305" i="1"/>
  <c r="J1305" i="1"/>
  <c r="N1304" i="1"/>
  <c r="M1304" i="1"/>
  <c r="L1304" i="1"/>
  <c r="K1304" i="1"/>
  <c r="J1304" i="1"/>
  <c r="N1303" i="1"/>
  <c r="M1303" i="1"/>
  <c r="L1303" i="1"/>
  <c r="K1303" i="1"/>
  <c r="J1303" i="1"/>
  <c r="N1302" i="1"/>
  <c r="M1302" i="1"/>
  <c r="L1302" i="1"/>
  <c r="K1302" i="1"/>
  <c r="J1302" i="1"/>
  <c r="N1301" i="1"/>
  <c r="M1301" i="1"/>
  <c r="L1301" i="1"/>
  <c r="K1301" i="1"/>
  <c r="J1301" i="1"/>
  <c r="N1300" i="1"/>
  <c r="M1300" i="1"/>
  <c r="L1300" i="1"/>
  <c r="K1300" i="1"/>
  <c r="J1300" i="1"/>
  <c r="N1299" i="1"/>
  <c r="M1299" i="1"/>
  <c r="L1299" i="1"/>
  <c r="K1299" i="1"/>
  <c r="J1299" i="1"/>
  <c r="N1298" i="1"/>
  <c r="M1298" i="1"/>
  <c r="L1298" i="1"/>
  <c r="K1298" i="1"/>
  <c r="J1298" i="1"/>
  <c r="N1297" i="1"/>
  <c r="M1297" i="1"/>
  <c r="L1297" i="1"/>
  <c r="K1297" i="1"/>
  <c r="J1297" i="1"/>
  <c r="N1296" i="1"/>
  <c r="M1296" i="1"/>
  <c r="L1296" i="1"/>
  <c r="K1296" i="1"/>
  <c r="J1296" i="1"/>
  <c r="N1295" i="1"/>
  <c r="M1295" i="1"/>
  <c r="L1295" i="1"/>
  <c r="K1295" i="1"/>
  <c r="J1295" i="1"/>
  <c r="N1294" i="1"/>
  <c r="M1294" i="1"/>
  <c r="L1294" i="1"/>
  <c r="K1294" i="1"/>
  <c r="J1294" i="1"/>
  <c r="N1293" i="1"/>
  <c r="M1293" i="1"/>
  <c r="L1293" i="1"/>
  <c r="K1293" i="1"/>
  <c r="J1293" i="1"/>
  <c r="N1292" i="1"/>
  <c r="M1292" i="1"/>
  <c r="L1292" i="1"/>
  <c r="K1292" i="1"/>
  <c r="J1292" i="1"/>
  <c r="N1291" i="1"/>
  <c r="M1291" i="1"/>
  <c r="L1291" i="1"/>
  <c r="K1291" i="1"/>
  <c r="J1291" i="1"/>
  <c r="N1290" i="1"/>
  <c r="M1290" i="1"/>
  <c r="L1290" i="1"/>
  <c r="K1290" i="1"/>
  <c r="J1290" i="1"/>
  <c r="N1289" i="1"/>
  <c r="M1289" i="1"/>
  <c r="L1289" i="1"/>
  <c r="K1289" i="1"/>
  <c r="J1289" i="1"/>
  <c r="N1288" i="1"/>
  <c r="M1288" i="1"/>
  <c r="L1288" i="1"/>
  <c r="K1288" i="1"/>
  <c r="J1288" i="1"/>
  <c r="N1287" i="1"/>
  <c r="M1287" i="1"/>
  <c r="L1287" i="1"/>
  <c r="K1287" i="1"/>
  <c r="J1287" i="1"/>
  <c r="N1286" i="1"/>
  <c r="M1286" i="1"/>
  <c r="L1286" i="1"/>
  <c r="K1286" i="1"/>
  <c r="J1286" i="1"/>
  <c r="N1285" i="1"/>
  <c r="M1285" i="1"/>
  <c r="L1285" i="1"/>
  <c r="K1285" i="1"/>
  <c r="J1285" i="1"/>
  <c r="N1284" i="1"/>
  <c r="M1284" i="1"/>
  <c r="L1284" i="1"/>
  <c r="K1284" i="1"/>
  <c r="J1284" i="1"/>
  <c r="N1283" i="1"/>
  <c r="M1283" i="1"/>
  <c r="L1283" i="1"/>
  <c r="K1283" i="1"/>
  <c r="J1283" i="1"/>
  <c r="N1282" i="1"/>
  <c r="M1282" i="1"/>
  <c r="L1282" i="1"/>
  <c r="K1282" i="1"/>
  <c r="J1282" i="1"/>
  <c r="N1281" i="1"/>
  <c r="M1281" i="1"/>
  <c r="L1281" i="1"/>
  <c r="K1281" i="1"/>
  <c r="J1281" i="1"/>
  <c r="N1280" i="1"/>
  <c r="M1280" i="1"/>
  <c r="L1280" i="1"/>
  <c r="K1280" i="1"/>
  <c r="J1280" i="1"/>
  <c r="N1279" i="1"/>
  <c r="M1279" i="1"/>
  <c r="L1279" i="1"/>
  <c r="K1279" i="1"/>
  <c r="J1279" i="1"/>
  <c r="N1278" i="1"/>
  <c r="M1278" i="1"/>
  <c r="L1278" i="1"/>
  <c r="K1278" i="1"/>
  <c r="J1278" i="1"/>
  <c r="N1277" i="1"/>
  <c r="M1277" i="1"/>
  <c r="L1277" i="1"/>
  <c r="K1277" i="1"/>
  <c r="J1277" i="1"/>
  <c r="N1276" i="1"/>
  <c r="M1276" i="1"/>
  <c r="L1276" i="1"/>
  <c r="K1276" i="1"/>
  <c r="J1276" i="1"/>
  <c r="N1275" i="1"/>
  <c r="M1275" i="1"/>
  <c r="L1275" i="1"/>
  <c r="K1275" i="1"/>
  <c r="J1275" i="1"/>
  <c r="N1274" i="1"/>
  <c r="M1274" i="1"/>
  <c r="L1274" i="1"/>
  <c r="K1274" i="1"/>
  <c r="J1274" i="1"/>
  <c r="N1273" i="1"/>
  <c r="M1273" i="1"/>
  <c r="L1273" i="1"/>
  <c r="K1273" i="1"/>
  <c r="J1273" i="1"/>
  <c r="N1272" i="1"/>
  <c r="M1272" i="1"/>
  <c r="L1272" i="1"/>
  <c r="K1272" i="1"/>
  <c r="J1272" i="1"/>
  <c r="N1271" i="1"/>
  <c r="M1271" i="1"/>
  <c r="L1271" i="1"/>
  <c r="K1271" i="1"/>
  <c r="J1271" i="1"/>
  <c r="N1270" i="1"/>
  <c r="M1270" i="1"/>
  <c r="L1270" i="1"/>
  <c r="K1270" i="1"/>
  <c r="J1270" i="1"/>
  <c r="N1269" i="1"/>
  <c r="M1269" i="1"/>
  <c r="L1269" i="1"/>
  <c r="K1269" i="1"/>
  <c r="J1269" i="1"/>
  <c r="N1268" i="1"/>
  <c r="M1268" i="1"/>
  <c r="L1268" i="1"/>
  <c r="K1268" i="1"/>
  <c r="J1268" i="1"/>
  <c r="N1267" i="1"/>
  <c r="M1267" i="1"/>
  <c r="L1267" i="1"/>
  <c r="K1267" i="1"/>
  <c r="J1267" i="1"/>
  <c r="N1266" i="1"/>
  <c r="M1266" i="1"/>
  <c r="L1266" i="1"/>
  <c r="K1266" i="1"/>
  <c r="J1266" i="1"/>
  <c r="N1265" i="1"/>
  <c r="M1265" i="1"/>
  <c r="L1265" i="1"/>
  <c r="K1265" i="1"/>
  <c r="J1265" i="1"/>
  <c r="N1264" i="1"/>
  <c r="M1264" i="1"/>
  <c r="L1264" i="1"/>
  <c r="K1264" i="1"/>
  <c r="J1264" i="1"/>
  <c r="N1263" i="1"/>
  <c r="M1263" i="1"/>
  <c r="L1263" i="1"/>
  <c r="K1263" i="1"/>
  <c r="J1263" i="1"/>
  <c r="N1262" i="1"/>
  <c r="M1262" i="1"/>
  <c r="L1262" i="1"/>
  <c r="K1262" i="1"/>
  <c r="J1262" i="1"/>
  <c r="N1261" i="1"/>
  <c r="M1261" i="1"/>
  <c r="L1261" i="1"/>
  <c r="K1261" i="1"/>
  <c r="J1261" i="1"/>
  <c r="N1260" i="1"/>
  <c r="M1260" i="1"/>
  <c r="L1260" i="1"/>
  <c r="K1260" i="1"/>
  <c r="J1260" i="1"/>
  <c r="N1259" i="1"/>
  <c r="M1259" i="1"/>
  <c r="L1259" i="1"/>
  <c r="K1259" i="1"/>
  <c r="J1259" i="1"/>
  <c r="N1258" i="1"/>
  <c r="M1258" i="1"/>
  <c r="L1258" i="1"/>
  <c r="K1258" i="1"/>
  <c r="J1258" i="1"/>
  <c r="N1257" i="1"/>
  <c r="M1257" i="1"/>
  <c r="L1257" i="1"/>
  <c r="K1257" i="1"/>
  <c r="J1257" i="1"/>
  <c r="N1256" i="1"/>
  <c r="M1256" i="1"/>
  <c r="L1256" i="1"/>
  <c r="K1256" i="1"/>
  <c r="J1256" i="1"/>
  <c r="N1255" i="1"/>
  <c r="M1255" i="1"/>
  <c r="L1255" i="1"/>
  <c r="K1255" i="1"/>
  <c r="J1255" i="1"/>
  <c r="N1254" i="1"/>
  <c r="M1254" i="1"/>
  <c r="L1254" i="1"/>
  <c r="K1254" i="1"/>
  <c r="J1254" i="1"/>
  <c r="N1253" i="1"/>
  <c r="M1253" i="1"/>
  <c r="L1253" i="1"/>
  <c r="K1253" i="1"/>
  <c r="J1253" i="1"/>
  <c r="N1252" i="1"/>
  <c r="M1252" i="1"/>
  <c r="L1252" i="1"/>
  <c r="K1252" i="1"/>
  <c r="J1252" i="1"/>
  <c r="N1251" i="1"/>
  <c r="M1251" i="1"/>
  <c r="L1251" i="1"/>
  <c r="K1251" i="1"/>
  <c r="J1251" i="1"/>
  <c r="N1250" i="1"/>
  <c r="M1250" i="1"/>
  <c r="L1250" i="1"/>
  <c r="K1250" i="1"/>
  <c r="J1250" i="1"/>
  <c r="N1249" i="1"/>
  <c r="M1249" i="1"/>
  <c r="L1249" i="1"/>
  <c r="K1249" i="1"/>
  <c r="J1249" i="1"/>
  <c r="N1248" i="1"/>
  <c r="M1248" i="1"/>
  <c r="L1248" i="1"/>
  <c r="K1248" i="1"/>
  <c r="J1248" i="1"/>
  <c r="N1247" i="1"/>
  <c r="M1247" i="1"/>
  <c r="L1247" i="1"/>
  <c r="K1247" i="1"/>
  <c r="J1247" i="1"/>
  <c r="N1246" i="1"/>
  <c r="M1246" i="1"/>
  <c r="L1246" i="1"/>
  <c r="K1246" i="1"/>
  <c r="J1246" i="1"/>
  <c r="N1245" i="1"/>
  <c r="M1245" i="1"/>
  <c r="L1245" i="1"/>
  <c r="K1245" i="1"/>
  <c r="J1245" i="1"/>
  <c r="N1244" i="1"/>
  <c r="M1244" i="1"/>
  <c r="L1244" i="1"/>
  <c r="K1244" i="1"/>
  <c r="J1244" i="1"/>
  <c r="N1243" i="1"/>
  <c r="M1243" i="1"/>
  <c r="L1243" i="1"/>
  <c r="K1243" i="1"/>
  <c r="J1243" i="1"/>
  <c r="N1242" i="1"/>
  <c r="M1242" i="1"/>
  <c r="L1242" i="1"/>
  <c r="K1242" i="1"/>
  <c r="J1242" i="1"/>
  <c r="N1241" i="1"/>
  <c r="M1241" i="1"/>
  <c r="L1241" i="1"/>
  <c r="K1241" i="1"/>
  <c r="J1241" i="1"/>
  <c r="N1240" i="1"/>
  <c r="M1240" i="1"/>
  <c r="L1240" i="1"/>
  <c r="K1240" i="1"/>
  <c r="J1240" i="1"/>
  <c r="N1239" i="1"/>
  <c r="M1239" i="1"/>
  <c r="L1239" i="1"/>
  <c r="K1239" i="1"/>
  <c r="J1239" i="1"/>
  <c r="N1238" i="1"/>
  <c r="M1238" i="1"/>
  <c r="L1238" i="1"/>
  <c r="K1238" i="1"/>
  <c r="J1238" i="1"/>
  <c r="N1237" i="1"/>
  <c r="M1237" i="1"/>
  <c r="L1237" i="1"/>
  <c r="K1237" i="1"/>
  <c r="J1237" i="1"/>
  <c r="N1236" i="1"/>
  <c r="M1236" i="1"/>
  <c r="L1236" i="1"/>
  <c r="K1236" i="1"/>
  <c r="J1236" i="1"/>
  <c r="N1235" i="1"/>
  <c r="M1235" i="1"/>
  <c r="L1235" i="1"/>
  <c r="K1235" i="1"/>
  <c r="J1235" i="1"/>
  <c r="N1234" i="1"/>
  <c r="M1234" i="1"/>
  <c r="L1234" i="1"/>
  <c r="K1234" i="1"/>
  <c r="J1234" i="1"/>
  <c r="N1233" i="1"/>
  <c r="M1233" i="1"/>
  <c r="L1233" i="1"/>
  <c r="K1233" i="1"/>
  <c r="J1233" i="1"/>
  <c r="N1232" i="1"/>
  <c r="M1232" i="1"/>
  <c r="L1232" i="1"/>
  <c r="K1232" i="1"/>
  <c r="J1232" i="1"/>
  <c r="N1231" i="1"/>
  <c r="M1231" i="1"/>
  <c r="L1231" i="1"/>
  <c r="K1231" i="1"/>
  <c r="J1231" i="1"/>
  <c r="N1230" i="1"/>
  <c r="M1230" i="1"/>
  <c r="L1230" i="1"/>
  <c r="K1230" i="1"/>
  <c r="J1230" i="1"/>
  <c r="N1229" i="1"/>
  <c r="M1229" i="1"/>
  <c r="L1229" i="1"/>
  <c r="K1229" i="1"/>
  <c r="J1229" i="1"/>
  <c r="N1228" i="1"/>
  <c r="M1228" i="1"/>
  <c r="L1228" i="1"/>
  <c r="K1228" i="1"/>
  <c r="J1228" i="1"/>
  <c r="N1227" i="1"/>
  <c r="M1227" i="1"/>
  <c r="L1227" i="1"/>
  <c r="K1227" i="1"/>
  <c r="J1227" i="1"/>
  <c r="N1226" i="1"/>
  <c r="M1226" i="1"/>
  <c r="L1226" i="1"/>
  <c r="K1226" i="1"/>
  <c r="J1226" i="1"/>
  <c r="N1225" i="1"/>
  <c r="M1225" i="1"/>
  <c r="L1225" i="1"/>
  <c r="K1225" i="1"/>
  <c r="J1225" i="1"/>
  <c r="N1224" i="1"/>
  <c r="M1224" i="1"/>
  <c r="L1224" i="1"/>
  <c r="K1224" i="1"/>
  <c r="J1224" i="1"/>
  <c r="N1223" i="1"/>
  <c r="M1223" i="1"/>
  <c r="L1223" i="1"/>
  <c r="K1223" i="1"/>
  <c r="J1223" i="1"/>
  <c r="N1222" i="1"/>
  <c r="M1222" i="1"/>
  <c r="L1222" i="1"/>
  <c r="K1222" i="1"/>
  <c r="J1222" i="1"/>
  <c r="N1221" i="1"/>
  <c r="M1221" i="1"/>
  <c r="L1221" i="1"/>
  <c r="K1221" i="1"/>
  <c r="J1221" i="1"/>
  <c r="N1220" i="1"/>
  <c r="M1220" i="1"/>
  <c r="L1220" i="1"/>
  <c r="K1220" i="1"/>
  <c r="J1220" i="1"/>
  <c r="N1219" i="1"/>
  <c r="M1219" i="1"/>
  <c r="L1219" i="1"/>
  <c r="K1219" i="1"/>
  <c r="J1219" i="1"/>
  <c r="N1218" i="1"/>
  <c r="M1218" i="1"/>
  <c r="L1218" i="1"/>
  <c r="K1218" i="1"/>
  <c r="J1218" i="1"/>
  <c r="N1217" i="1"/>
  <c r="M1217" i="1"/>
  <c r="L1217" i="1"/>
  <c r="K1217" i="1"/>
  <c r="J1217" i="1"/>
  <c r="N1216" i="1"/>
  <c r="M1216" i="1"/>
  <c r="L1216" i="1"/>
  <c r="K1216" i="1"/>
  <c r="J1216" i="1"/>
  <c r="N1215" i="1"/>
  <c r="M1215" i="1"/>
  <c r="L1215" i="1"/>
  <c r="K1215" i="1"/>
  <c r="J1215" i="1"/>
  <c r="N1214" i="1"/>
  <c r="M1214" i="1"/>
  <c r="L1214" i="1"/>
  <c r="K1214" i="1"/>
  <c r="J1214" i="1"/>
  <c r="N1213" i="1"/>
  <c r="M1213" i="1"/>
  <c r="L1213" i="1"/>
  <c r="K1213" i="1"/>
  <c r="J1213" i="1"/>
  <c r="N1212" i="1"/>
  <c r="M1212" i="1"/>
  <c r="L1212" i="1"/>
  <c r="K1212" i="1"/>
  <c r="J1212" i="1"/>
  <c r="N1211" i="1"/>
  <c r="M1211" i="1"/>
  <c r="L1211" i="1"/>
  <c r="K1211" i="1"/>
  <c r="J1211" i="1"/>
  <c r="N1210" i="1"/>
  <c r="M1210" i="1"/>
  <c r="L1210" i="1"/>
  <c r="K1210" i="1"/>
  <c r="J1210" i="1"/>
  <c r="N1209" i="1"/>
  <c r="M1209" i="1"/>
  <c r="L1209" i="1"/>
  <c r="K1209" i="1"/>
  <c r="J1209" i="1"/>
  <c r="N1208" i="1"/>
  <c r="M1208" i="1"/>
  <c r="L1208" i="1"/>
  <c r="K1208" i="1"/>
  <c r="J1208" i="1"/>
  <c r="N1207" i="1"/>
  <c r="M1207" i="1"/>
  <c r="L1207" i="1"/>
  <c r="K1207" i="1"/>
  <c r="J1207" i="1"/>
  <c r="N1206" i="1"/>
  <c r="M1206" i="1"/>
  <c r="L1206" i="1"/>
  <c r="K1206" i="1"/>
  <c r="J1206" i="1"/>
  <c r="N1205" i="1"/>
  <c r="M1205" i="1"/>
  <c r="L1205" i="1"/>
  <c r="K1205" i="1"/>
  <c r="J1205" i="1"/>
  <c r="N1204" i="1"/>
  <c r="M1204" i="1"/>
  <c r="L1204" i="1"/>
  <c r="K1204" i="1"/>
  <c r="J1204" i="1"/>
  <c r="N1203" i="1"/>
  <c r="M1203" i="1"/>
  <c r="L1203" i="1"/>
  <c r="K1203" i="1"/>
  <c r="J1203" i="1"/>
  <c r="N1202" i="1"/>
  <c r="M1202" i="1"/>
  <c r="L1202" i="1"/>
  <c r="K1202" i="1"/>
  <c r="J1202" i="1"/>
  <c r="N1201" i="1"/>
  <c r="M1201" i="1"/>
  <c r="L1201" i="1"/>
  <c r="K1201" i="1"/>
  <c r="J1201" i="1"/>
  <c r="N1200" i="1"/>
  <c r="M1200" i="1"/>
  <c r="L1200" i="1"/>
  <c r="K1200" i="1"/>
  <c r="J1200" i="1"/>
  <c r="N1199" i="1"/>
  <c r="M1199" i="1"/>
  <c r="L1199" i="1"/>
  <c r="K1199" i="1"/>
  <c r="J1199" i="1"/>
  <c r="N1198" i="1"/>
  <c r="M1198" i="1"/>
  <c r="L1198" i="1"/>
  <c r="K1198" i="1"/>
  <c r="J1198" i="1"/>
  <c r="N1197" i="1"/>
  <c r="M1197" i="1"/>
  <c r="L1197" i="1"/>
  <c r="K1197" i="1"/>
  <c r="J1197" i="1"/>
  <c r="N1196" i="1"/>
  <c r="M1196" i="1"/>
  <c r="L1196" i="1"/>
  <c r="K1196" i="1"/>
  <c r="J1196" i="1"/>
  <c r="N1195" i="1"/>
  <c r="M1195" i="1"/>
  <c r="L1195" i="1"/>
  <c r="K1195" i="1"/>
  <c r="J1195" i="1"/>
  <c r="N1194" i="1"/>
  <c r="M1194" i="1"/>
  <c r="L1194" i="1"/>
  <c r="K1194" i="1"/>
  <c r="J1194" i="1"/>
  <c r="N1193" i="1"/>
  <c r="M1193" i="1"/>
  <c r="L1193" i="1"/>
  <c r="K1193" i="1"/>
  <c r="J1193" i="1"/>
  <c r="N1192" i="1"/>
  <c r="M1192" i="1"/>
  <c r="L1192" i="1"/>
  <c r="K1192" i="1"/>
  <c r="J1192" i="1"/>
  <c r="N1191" i="1"/>
  <c r="M1191" i="1"/>
  <c r="L1191" i="1"/>
  <c r="K1191" i="1"/>
  <c r="J1191" i="1"/>
  <c r="N1190" i="1"/>
  <c r="M1190" i="1"/>
  <c r="L1190" i="1"/>
  <c r="K1190" i="1"/>
  <c r="J1190" i="1"/>
  <c r="N1189" i="1"/>
  <c r="M1189" i="1"/>
  <c r="L1189" i="1"/>
  <c r="K1189" i="1"/>
  <c r="J1189" i="1"/>
  <c r="N1188" i="1"/>
  <c r="M1188" i="1"/>
  <c r="L1188" i="1"/>
  <c r="K1188" i="1"/>
  <c r="J1188" i="1"/>
  <c r="N1187" i="1"/>
  <c r="M1187" i="1"/>
  <c r="L1187" i="1"/>
  <c r="K1187" i="1"/>
  <c r="J1187" i="1"/>
  <c r="N1186" i="1"/>
  <c r="M1186" i="1"/>
  <c r="L1186" i="1"/>
  <c r="K1186" i="1"/>
  <c r="J1186" i="1"/>
  <c r="N1185" i="1"/>
  <c r="M1185" i="1"/>
  <c r="L1185" i="1"/>
  <c r="K1185" i="1"/>
  <c r="J1185" i="1"/>
  <c r="N1184" i="1"/>
  <c r="M1184" i="1"/>
  <c r="L1184" i="1"/>
  <c r="K1184" i="1"/>
  <c r="J1184" i="1"/>
  <c r="N1183" i="1"/>
  <c r="M1183" i="1"/>
  <c r="L1183" i="1"/>
  <c r="K1183" i="1"/>
  <c r="J1183" i="1"/>
  <c r="N1182" i="1"/>
  <c r="M1182" i="1"/>
  <c r="L1182" i="1"/>
  <c r="K1182" i="1"/>
  <c r="J1182" i="1"/>
  <c r="N1181" i="1"/>
  <c r="M1181" i="1"/>
  <c r="L1181" i="1"/>
  <c r="K1181" i="1"/>
  <c r="J1181" i="1"/>
  <c r="N1180" i="1"/>
  <c r="M1180" i="1"/>
  <c r="L1180" i="1"/>
  <c r="K1180" i="1"/>
  <c r="J1180" i="1"/>
  <c r="N1179" i="1"/>
  <c r="M1179" i="1"/>
  <c r="L1179" i="1"/>
  <c r="K1179" i="1"/>
  <c r="J1179" i="1"/>
  <c r="N1178" i="1"/>
  <c r="M1178" i="1"/>
  <c r="L1178" i="1"/>
  <c r="K1178" i="1"/>
  <c r="J1178" i="1"/>
  <c r="N1177" i="1"/>
  <c r="M1177" i="1"/>
  <c r="L1177" i="1"/>
  <c r="K1177" i="1"/>
  <c r="J1177" i="1"/>
  <c r="N1176" i="1"/>
  <c r="M1176" i="1"/>
  <c r="L1176" i="1"/>
  <c r="K1176" i="1"/>
  <c r="J1176" i="1"/>
  <c r="N1175" i="1"/>
  <c r="M1175" i="1"/>
  <c r="L1175" i="1"/>
  <c r="K1175" i="1"/>
  <c r="J1175" i="1"/>
  <c r="N1174" i="1"/>
  <c r="M1174" i="1"/>
  <c r="L1174" i="1"/>
  <c r="K1174" i="1"/>
  <c r="J1174" i="1"/>
  <c r="N1173" i="1"/>
  <c r="M1173" i="1"/>
  <c r="L1173" i="1"/>
  <c r="K1173" i="1"/>
  <c r="J1173" i="1"/>
  <c r="N1172" i="1"/>
  <c r="M1172" i="1"/>
  <c r="L1172" i="1"/>
  <c r="K1172" i="1"/>
  <c r="J1172" i="1"/>
  <c r="N1171" i="1"/>
  <c r="M1171" i="1"/>
  <c r="L1171" i="1"/>
  <c r="K1171" i="1"/>
  <c r="J1171" i="1"/>
  <c r="N1170" i="1"/>
  <c r="M1170" i="1"/>
  <c r="L1170" i="1"/>
  <c r="K1170" i="1"/>
  <c r="J1170" i="1"/>
  <c r="N1169" i="1"/>
  <c r="M1169" i="1"/>
  <c r="L1169" i="1"/>
  <c r="K1169" i="1"/>
  <c r="J1169" i="1"/>
  <c r="N1168" i="1"/>
  <c r="M1168" i="1"/>
  <c r="L1168" i="1"/>
  <c r="K1168" i="1"/>
  <c r="J1168" i="1"/>
  <c r="N1167" i="1"/>
  <c r="M1167" i="1"/>
  <c r="L1167" i="1"/>
  <c r="K1167" i="1"/>
  <c r="J1167" i="1"/>
  <c r="N1166" i="1"/>
  <c r="M1166" i="1"/>
  <c r="L1166" i="1"/>
  <c r="K1166" i="1"/>
  <c r="J1166" i="1"/>
  <c r="N1165" i="1"/>
  <c r="M1165" i="1"/>
  <c r="L1165" i="1"/>
  <c r="K1165" i="1"/>
  <c r="J1165" i="1"/>
  <c r="N1164" i="1"/>
  <c r="M1164" i="1"/>
  <c r="L1164" i="1"/>
  <c r="K1164" i="1"/>
  <c r="J1164" i="1"/>
  <c r="N1163" i="1"/>
  <c r="M1163" i="1"/>
  <c r="L1163" i="1"/>
  <c r="K1163" i="1"/>
  <c r="J1163" i="1"/>
  <c r="N1162" i="1"/>
  <c r="M1162" i="1"/>
  <c r="L1162" i="1"/>
  <c r="K1162" i="1"/>
  <c r="J1162" i="1"/>
  <c r="N1161" i="1"/>
  <c r="M1161" i="1"/>
  <c r="L1161" i="1"/>
  <c r="K1161" i="1"/>
  <c r="J1161" i="1"/>
  <c r="N1160" i="1"/>
  <c r="M1160" i="1"/>
  <c r="L1160" i="1"/>
  <c r="K1160" i="1"/>
  <c r="J1160" i="1"/>
  <c r="N1159" i="1"/>
  <c r="M1159" i="1"/>
  <c r="L1159" i="1"/>
  <c r="K1159" i="1"/>
  <c r="J1159" i="1"/>
  <c r="N1158" i="1"/>
  <c r="M1158" i="1"/>
  <c r="L1158" i="1"/>
  <c r="K1158" i="1"/>
  <c r="J1158" i="1"/>
  <c r="N1157" i="1"/>
  <c r="M1157" i="1"/>
  <c r="L1157" i="1"/>
  <c r="K1157" i="1"/>
  <c r="J1157" i="1"/>
  <c r="N1156" i="1"/>
  <c r="M1156" i="1"/>
  <c r="L1156" i="1"/>
  <c r="K1156" i="1"/>
  <c r="J1156" i="1"/>
  <c r="N1155" i="1"/>
  <c r="M1155" i="1"/>
  <c r="L1155" i="1"/>
  <c r="K1155" i="1"/>
  <c r="J1155" i="1"/>
  <c r="N1154" i="1"/>
  <c r="M1154" i="1"/>
  <c r="L1154" i="1"/>
  <c r="K1154" i="1"/>
  <c r="J1154" i="1"/>
  <c r="N1153" i="1"/>
  <c r="M1153" i="1"/>
  <c r="L1153" i="1"/>
  <c r="K1153" i="1"/>
  <c r="J1153" i="1"/>
  <c r="N1152" i="1"/>
  <c r="M1152" i="1"/>
  <c r="L1152" i="1"/>
  <c r="K1152" i="1"/>
  <c r="J1152" i="1"/>
  <c r="N1151" i="1"/>
  <c r="M1151" i="1"/>
  <c r="L1151" i="1"/>
  <c r="K1151" i="1"/>
  <c r="J1151" i="1"/>
  <c r="N1150" i="1"/>
  <c r="M1150" i="1"/>
  <c r="L1150" i="1"/>
  <c r="K1150" i="1"/>
  <c r="J1150" i="1"/>
  <c r="N1149" i="1"/>
  <c r="M1149" i="1"/>
  <c r="L1149" i="1"/>
  <c r="K1149" i="1"/>
  <c r="J1149" i="1"/>
  <c r="N1148" i="1"/>
  <c r="M1148" i="1"/>
  <c r="L1148" i="1"/>
  <c r="K1148" i="1"/>
  <c r="J1148" i="1"/>
  <c r="N1147" i="1"/>
  <c r="M1147" i="1"/>
  <c r="L1147" i="1"/>
  <c r="K1147" i="1"/>
  <c r="J1147" i="1"/>
  <c r="N1146" i="1"/>
  <c r="M1146" i="1"/>
  <c r="L1146" i="1"/>
  <c r="K1146" i="1"/>
  <c r="J1146" i="1"/>
  <c r="N1145" i="1"/>
  <c r="M1145" i="1"/>
  <c r="L1145" i="1"/>
  <c r="K1145" i="1"/>
  <c r="J1145" i="1"/>
  <c r="N1144" i="1"/>
  <c r="M1144" i="1"/>
  <c r="L1144" i="1"/>
  <c r="K1144" i="1"/>
  <c r="J1144" i="1"/>
  <c r="N1143" i="1"/>
  <c r="M1143" i="1"/>
  <c r="L1143" i="1"/>
  <c r="K1143" i="1"/>
  <c r="J1143" i="1"/>
  <c r="N1142" i="1"/>
  <c r="M1142" i="1"/>
  <c r="L1142" i="1"/>
  <c r="K1142" i="1"/>
  <c r="J1142" i="1"/>
  <c r="N1141" i="1"/>
  <c r="M1141" i="1"/>
  <c r="L1141" i="1"/>
  <c r="K1141" i="1"/>
  <c r="J1141" i="1"/>
  <c r="N1140" i="1"/>
  <c r="M1140" i="1"/>
  <c r="L1140" i="1"/>
  <c r="K1140" i="1"/>
  <c r="J1140" i="1"/>
  <c r="N1139" i="1"/>
  <c r="M1139" i="1"/>
  <c r="L1139" i="1"/>
  <c r="K1139" i="1"/>
  <c r="J1139" i="1"/>
  <c r="N1138" i="1"/>
  <c r="M1138" i="1"/>
  <c r="L1138" i="1"/>
  <c r="K1138" i="1"/>
  <c r="J1138" i="1"/>
  <c r="N1137" i="1"/>
  <c r="M1137" i="1"/>
  <c r="L1137" i="1"/>
  <c r="K1137" i="1"/>
  <c r="J1137" i="1"/>
  <c r="N1136" i="1"/>
  <c r="M1136" i="1"/>
  <c r="L1136" i="1"/>
  <c r="K1136" i="1"/>
  <c r="J1136" i="1"/>
  <c r="N1135" i="1"/>
  <c r="M1135" i="1"/>
  <c r="L1135" i="1"/>
  <c r="K1135" i="1"/>
  <c r="J1135" i="1"/>
  <c r="N1134" i="1"/>
  <c r="M1134" i="1"/>
  <c r="L1134" i="1"/>
  <c r="K1134" i="1"/>
  <c r="J1134" i="1"/>
  <c r="N1133" i="1"/>
  <c r="M1133" i="1"/>
  <c r="L1133" i="1"/>
  <c r="K1133" i="1"/>
  <c r="J1133" i="1"/>
  <c r="N1132" i="1"/>
  <c r="M1132" i="1"/>
  <c r="L1132" i="1"/>
  <c r="K1132" i="1"/>
  <c r="J1132" i="1"/>
  <c r="N1131" i="1"/>
  <c r="M1131" i="1"/>
  <c r="L1131" i="1"/>
  <c r="K1131" i="1"/>
  <c r="J1131" i="1"/>
  <c r="N1130" i="1"/>
  <c r="M1130" i="1"/>
  <c r="L1130" i="1"/>
  <c r="K1130" i="1"/>
  <c r="J1130" i="1"/>
  <c r="N1129" i="1"/>
  <c r="M1129" i="1"/>
  <c r="L1129" i="1"/>
  <c r="K1129" i="1"/>
  <c r="J1129" i="1"/>
  <c r="N1128" i="1"/>
  <c r="M1128" i="1"/>
  <c r="L1128" i="1"/>
  <c r="K1128" i="1"/>
  <c r="J1128" i="1"/>
  <c r="N1127" i="1"/>
  <c r="M1127" i="1"/>
  <c r="L1127" i="1"/>
  <c r="K1127" i="1"/>
  <c r="J1127" i="1"/>
  <c r="N1126" i="1"/>
  <c r="M1126" i="1"/>
  <c r="L1126" i="1"/>
  <c r="K1126" i="1"/>
  <c r="J1126" i="1"/>
  <c r="N1125" i="1"/>
  <c r="M1125" i="1"/>
  <c r="L1125" i="1"/>
  <c r="K1125" i="1"/>
  <c r="J1125" i="1"/>
  <c r="N1124" i="1"/>
  <c r="M1124" i="1"/>
  <c r="L1124" i="1"/>
  <c r="K1124" i="1"/>
  <c r="J1124" i="1"/>
  <c r="N1123" i="1"/>
  <c r="M1123" i="1"/>
  <c r="L1123" i="1"/>
  <c r="K1123" i="1"/>
  <c r="J1123" i="1"/>
  <c r="N1122" i="1"/>
  <c r="M1122" i="1"/>
  <c r="L1122" i="1"/>
  <c r="K1122" i="1"/>
  <c r="J1122" i="1"/>
  <c r="N1121" i="1"/>
  <c r="M1121" i="1"/>
  <c r="L1121" i="1"/>
  <c r="K1121" i="1"/>
  <c r="J1121" i="1"/>
  <c r="N1120" i="1"/>
  <c r="M1120" i="1"/>
  <c r="L1120" i="1"/>
  <c r="K1120" i="1"/>
  <c r="J1120" i="1"/>
  <c r="N1119" i="1"/>
  <c r="M1119" i="1"/>
  <c r="L1119" i="1"/>
  <c r="K1119" i="1"/>
  <c r="J1119" i="1"/>
  <c r="N1118" i="1"/>
  <c r="M1118" i="1"/>
  <c r="L1118" i="1"/>
  <c r="K1118" i="1"/>
  <c r="J1118" i="1"/>
  <c r="N1117" i="1"/>
  <c r="M1117" i="1"/>
  <c r="L1117" i="1"/>
  <c r="K1117" i="1"/>
  <c r="J1117" i="1"/>
  <c r="N1116" i="1"/>
  <c r="M1116" i="1"/>
  <c r="L1116" i="1"/>
  <c r="K1116" i="1"/>
  <c r="J1116" i="1"/>
  <c r="N1115" i="1"/>
  <c r="M1115" i="1"/>
  <c r="L1115" i="1"/>
  <c r="K1115" i="1"/>
  <c r="J1115" i="1"/>
  <c r="N1114" i="1"/>
  <c r="M1114" i="1"/>
  <c r="L1114" i="1"/>
  <c r="K1114" i="1"/>
  <c r="J1114" i="1"/>
  <c r="N1113" i="1"/>
  <c r="M1113" i="1"/>
  <c r="L1113" i="1"/>
  <c r="K1113" i="1"/>
  <c r="J1113" i="1"/>
  <c r="N1112" i="1"/>
  <c r="M1112" i="1"/>
  <c r="L1112" i="1"/>
  <c r="K1112" i="1"/>
  <c r="J1112" i="1"/>
  <c r="N1111" i="1"/>
  <c r="M1111" i="1"/>
  <c r="L1111" i="1"/>
  <c r="K1111" i="1"/>
  <c r="J1111" i="1"/>
  <c r="N1110" i="1"/>
  <c r="M1110" i="1"/>
  <c r="L1110" i="1"/>
  <c r="K1110" i="1"/>
  <c r="J1110" i="1"/>
  <c r="N1109" i="1"/>
  <c r="M1109" i="1"/>
  <c r="L1109" i="1"/>
  <c r="K1109" i="1"/>
  <c r="J1109" i="1"/>
  <c r="N1108" i="1"/>
  <c r="M1108" i="1"/>
  <c r="L1108" i="1"/>
  <c r="K1108" i="1"/>
  <c r="J1108" i="1"/>
  <c r="N1107" i="1"/>
  <c r="M1107" i="1"/>
  <c r="L1107" i="1"/>
  <c r="K1107" i="1"/>
  <c r="J1107" i="1"/>
  <c r="N1106" i="1"/>
  <c r="M1106" i="1"/>
  <c r="L1106" i="1"/>
  <c r="K1106" i="1"/>
  <c r="J1106" i="1"/>
  <c r="N1105" i="1"/>
  <c r="M1105" i="1"/>
  <c r="L1105" i="1"/>
  <c r="K1105" i="1"/>
  <c r="J1105" i="1"/>
  <c r="N1104" i="1"/>
  <c r="M1104" i="1"/>
  <c r="L1104" i="1"/>
  <c r="K1104" i="1"/>
  <c r="J1104" i="1"/>
  <c r="N1103" i="1"/>
  <c r="M1103" i="1"/>
  <c r="L1103" i="1"/>
  <c r="K1103" i="1"/>
  <c r="J1103" i="1"/>
  <c r="N1102" i="1"/>
  <c r="M1102" i="1"/>
  <c r="L1102" i="1"/>
  <c r="K1102" i="1"/>
  <c r="J1102" i="1"/>
  <c r="N1101" i="1"/>
  <c r="M1101" i="1"/>
  <c r="L1101" i="1"/>
  <c r="K1101" i="1"/>
  <c r="J1101" i="1"/>
  <c r="N1100" i="1"/>
  <c r="M1100" i="1"/>
  <c r="L1100" i="1"/>
  <c r="K1100" i="1"/>
  <c r="J1100" i="1"/>
  <c r="N1099" i="1"/>
  <c r="M1099" i="1"/>
  <c r="L1099" i="1"/>
  <c r="K1099" i="1"/>
  <c r="J1099" i="1"/>
  <c r="N1098" i="1"/>
  <c r="M1098" i="1"/>
  <c r="L1098" i="1"/>
  <c r="K1098" i="1"/>
  <c r="J1098" i="1"/>
  <c r="N1097" i="1"/>
  <c r="M1097" i="1"/>
  <c r="L1097" i="1"/>
  <c r="K1097" i="1"/>
  <c r="J1097" i="1"/>
  <c r="N1096" i="1"/>
  <c r="M1096" i="1"/>
  <c r="L1096" i="1"/>
  <c r="K1096" i="1"/>
  <c r="J1096" i="1"/>
  <c r="N1095" i="1"/>
  <c r="M1095" i="1"/>
  <c r="L1095" i="1"/>
  <c r="K1095" i="1"/>
  <c r="J1095" i="1"/>
  <c r="N1094" i="1"/>
  <c r="M1094" i="1"/>
  <c r="L1094" i="1"/>
  <c r="K1094" i="1"/>
  <c r="J1094" i="1"/>
  <c r="N1093" i="1"/>
  <c r="M1093" i="1"/>
  <c r="L1093" i="1"/>
  <c r="K1093" i="1"/>
  <c r="J1093" i="1"/>
  <c r="N1092" i="1"/>
  <c r="M1092" i="1"/>
  <c r="L1092" i="1"/>
  <c r="K1092" i="1"/>
  <c r="J1092" i="1"/>
  <c r="N1091" i="1"/>
  <c r="M1091" i="1"/>
  <c r="L1091" i="1"/>
  <c r="K1091" i="1"/>
  <c r="J1091" i="1"/>
  <c r="N1090" i="1"/>
  <c r="M1090" i="1"/>
  <c r="L1090" i="1"/>
  <c r="K1090" i="1"/>
  <c r="J1090" i="1"/>
  <c r="N1089" i="1"/>
  <c r="M1089" i="1"/>
  <c r="L1089" i="1"/>
  <c r="K1089" i="1"/>
  <c r="J1089" i="1"/>
  <c r="N1088" i="1"/>
  <c r="M1088" i="1"/>
  <c r="L1088" i="1"/>
  <c r="K1088" i="1"/>
  <c r="J1088" i="1"/>
  <c r="N1087" i="1"/>
  <c r="M1087" i="1"/>
  <c r="L1087" i="1"/>
  <c r="K1087" i="1"/>
  <c r="J1087" i="1"/>
  <c r="N1086" i="1"/>
  <c r="M1086" i="1"/>
  <c r="L1086" i="1"/>
  <c r="K1086" i="1"/>
  <c r="J1086" i="1"/>
  <c r="N1085" i="1"/>
  <c r="M1085" i="1"/>
  <c r="L1085" i="1"/>
  <c r="K1085" i="1"/>
  <c r="J1085" i="1"/>
  <c r="N1084" i="1"/>
  <c r="M1084" i="1"/>
  <c r="L1084" i="1"/>
  <c r="K1084" i="1"/>
  <c r="J1084" i="1"/>
  <c r="N1083" i="1"/>
  <c r="M1083" i="1"/>
  <c r="L1083" i="1"/>
  <c r="K1083" i="1"/>
  <c r="J1083" i="1"/>
  <c r="N1082" i="1"/>
  <c r="M1082" i="1"/>
  <c r="L1082" i="1"/>
  <c r="K1082" i="1"/>
  <c r="J1082" i="1"/>
  <c r="N1081" i="1"/>
  <c r="M1081" i="1"/>
  <c r="L1081" i="1"/>
  <c r="K1081" i="1"/>
  <c r="J1081" i="1"/>
  <c r="N1080" i="1"/>
  <c r="M1080" i="1"/>
  <c r="L1080" i="1"/>
  <c r="K1080" i="1"/>
  <c r="J1080" i="1"/>
  <c r="N1079" i="1"/>
  <c r="M1079" i="1"/>
  <c r="L1079" i="1"/>
  <c r="K1079" i="1"/>
  <c r="J1079" i="1"/>
  <c r="N1078" i="1"/>
  <c r="M1078" i="1"/>
  <c r="L1078" i="1"/>
  <c r="K1078" i="1"/>
  <c r="J1078" i="1"/>
  <c r="N1077" i="1"/>
  <c r="M1077" i="1"/>
  <c r="L1077" i="1"/>
  <c r="K1077" i="1"/>
  <c r="J1077" i="1"/>
  <c r="N1076" i="1"/>
  <c r="M1076" i="1"/>
  <c r="L1076" i="1"/>
  <c r="K1076" i="1"/>
  <c r="J1076" i="1"/>
  <c r="N1075" i="1"/>
  <c r="M1075" i="1"/>
  <c r="L1075" i="1"/>
  <c r="K1075" i="1"/>
  <c r="J1075" i="1"/>
  <c r="N1074" i="1"/>
  <c r="M1074" i="1"/>
  <c r="L1074" i="1"/>
  <c r="K1074" i="1"/>
  <c r="J1074" i="1"/>
  <c r="N1073" i="1"/>
  <c r="M1073" i="1"/>
  <c r="L1073" i="1"/>
  <c r="K1073" i="1"/>
  <c r="J1073" i="1"/>
  <c r="N1072" i="1"/>
  <c r="M1072" i="1"/>
  <c r="L1072" i="1"/>
  <c r="K1072" i="1"/>
  <c r="J1072" i="1"/>
  <c r="N1071" i="1"/>
  <c r="M1071" i="1"/>
  <c r="L1071" i="1"/>
  <c r="K1071" i="1"/>
  <c r="J1071" i="1"/>
  <c r="N1070" i="1"/>
  <c r="M1070" i="1"/>
  <c r="L1070" i="1"/>
  <c r="K1070" i="1"/>
  <c r="J1070" i="1"/>
  <c r="N1069" i="1"/>
  <c r="M1069" i="1"/>
  <c r="L1069" i="1"/>
  <c r="K1069" i="1"/>
  <c r="J1069" i="1"/>
  <c r="N1068" i="1"/>
  <c r="M1068" i="1"/>
  <c r="L1068" i="1"/>
  <c r="K1068" i="1"/>
  <c r="J1068" i="1"/>
  <c r="N1067" i="1"/>
  <c r="M1067" i="1"/>
  <c r="L1067" i="1"/>
  <c r="K1067" i="1"/>
  <c r="J1067" i="1"/>
  <c r="N1066" i="1"/>
  <c r="M1066" i="1"/>
  <c r="L1066" i="1"/>
  <c r="K1066" i="1"/>
  <c r="J1066" i="1"/>
  <c r="N1065" i="1"/>
  <c r="M1065" i="1"/>
  <c r="L1065" i="1"/>
  <c r="K1065" i="1"/>
  <c r="J1065" i="1"/>
  <c r="N1064" i="1"/>
  <c r="M1064" i="1"/>
  <c r="L1064" i="1"/>
  <c r="K1064" i="1"/>
  <c r="J1064" i="1"/>
  <c r="N1063" i="1"/>
  <c r="M1063" i="1"/>
  <c r="L1063" i="1"/>
  <c r="K1063" i="1"/>
  <c r="J1063" i="1"/>
  <c r="N1062" i="1"/>
  <c r="M1062" i="1"/>
  <c r="L1062" i="1"/>
  <c r="K1062" i="1"/>
  <c r="J1062" i="1"/>
  <c r="N1061" i="1"/>
  <c r="M1061" i="1"/>
  <c r="L1061" i="1"/>
  <c r="K1061" i="1"/>
  <c r="J1061" i="1"/>
  <c r="N1060" i="1"/>
  <c r="M1060" i="1"/>
  <c r="L1060" i="1"/>
  <c r="K1060" i="1"/>
  <c r="J1060" i="1"/>
  <c r="N1059" i="1"/>
  <c r="M1059" i="1"/>
  <c r="L1059" i="1"/>
  <c r="K1059" i="1"/>
  <c r="J1059" i="1"/>
  <c r="N1058" i="1"/>
  <c r="M1058" i="1"/>
  <c r="L1058" i="1"/>
  <c r="K1058" i="1"/>
  <c r="J1058" i="1"/>
  <c r="N1057" i="1"/>
  <c r="M1057" i="1"/>
  <c r="L1057" i="1"/>
  <c r="K1057" i="1"/>
  <c r="J1057" i="1"/>
  <c r="N1056" i="1"/>
  <c r="M1056" i="1"/>
  <c r="L1056" i="1"/>
  <c r="K1056" i="1"/>
  <c r="J1056" i="1"/>
  <c r="N1055" i="1"/>
  <c r="M1055" i="1"/>
  <c r="L1055" i="1"/>
  <c r="K1055" i="1"/>
  <c r="J1055" i="1"/>
  <c r="N1054" i="1"/>
  <c r="M1054" i="1"/>
  <c r="L1054" i="1"/>
  <c r="K1054" i="1"/>
  <c r="J1054" i="1"/>
  <c r="N1053" i="1"/>
  <c r="M1053" i="1"/>
  <c r="L1053" i="1"/>
  <c r="K1053" i="1"/>
  <c r="J1053" i="1"/>
  <c r="N1052" i="1"/>
  <c r="M1052" i="1"/>
  <c r="L1052" i="1"/>
  <c r="K1052" i="1"/>
  <c r="J1052" i="1"/>
  <c r="N1051" i="1"/>
  <c r="M1051" i="1"/>
  <c r="L1051" i="1"/>
  <c r="K1051" i="1"/>
  <c r="J1051" i="1"/>
  <c r="N1050" i="1"/>
  <c r="M1050" i="1"/>
  <c r="L1050" i="1"/>
  <c r="K1050" i="1"/>
  <c r="J1050" i="1"/>
  <c r="N1049" i="1"/>
  <c r="M1049" i="1"/>
  <c r="L1049" i="1"/>
  <c r="K1049" i="1"/>
  <c r="J1049" i="1"/>
  <c r="N1048" i="1"/>
  <c r="M1048" i="1"/>
  <c r="L1048" i="1"/>
  <c r="K1048" i="1"/>
  <c r="J1048" i="1"/>
  <c r="N1047" i="1"/>
  <c r="M1047" i="1"/>
  <c r="L1047" i="1"/>
  <c r="K1047" i="1"/>
  <c r="J1047" i="1"/>
  <c r="N1046" i="1"/>
  <c r="M1046" i="1"/>
  <c r="L1046" i="1"/>
  <c r="K1046" i="1"/>
  <c r="J1046" i="1"/>
  <c r="N1045" i="1"/>
  <c r="M1045" i="1"/>
  <c r="L1045" i="1"/>
  <c r="K1045" i="1"/>
  <c r="J1045" i="1"/>
  <c r="N1044" i="1"/>
  <c r="M1044" i="1"/>
  <c r="L1044" i="1"/>
  <c r="K1044" i="1"/>
  <c r="J1044" i="1"/>
  <c r="N1043" i="1"/>
  <c r="M1043" i="1"/>
  <c r="L1043" i="1"/>
  <c r="K1043" i="1"/>
  <c r="J1043" i="1"/>
  <c r="N1042" i="1"/>
  <c r="M1042" i="1"/>
  <c r="L1042" i="1"/>
  <c r="K1042" i="1"/>
  <c r="J1042" i="1"/>
  <c r="N1041" i="1"/>
  <c r="M1041" i="1"/>
  <c r="L1041" i="1"/>
  <c r="K1041" i="1"/>
  <c r="J1041" i="1"/>
  <c r="N1040" i="1"/>
  <c r="M1040" i="1"/>
  <c r="L1040" i="1"/>
  <c r="K1040" i="1"/>
  <c r="J1040" i="1"/>
  <c r="N1039" i="1"/>
  <c r="M1039" i="1"/>
  <c r="L1039" i="1"/>
  <c r="K1039" i="1"/>
  <c r="J1039" i="1"/>
  <c r="N1038" i="1"/>
  <c r="M1038" i="1"/>
  <c r="L1038" i="1"/>
  <c r="K1038" i="1"/>
  <c r="J1038" i="1"/>
  <c r="N1037" i="1"/>
  <c r="M1037" i="1"/>
  <c r="L1037" i="1"/>
  <c r="K1037" i="1"/>
  <c r="J1037" i="1"/>
  <c r="N1036" i="1"/>
  <c r="M1036" i="1"/>
  <c r="L1036" i="1"/>
  <c r="K1036" i="1"/>
  <c r="J1036" i="1"/>
  <c r="N1035" i="1"/>
  <c r="M1035" i="1"/>
  <c r="L1035" i="1"/>
  <c r="K1035" i="1"/>
  <c r="J1035" i="1"/>
  <c r="N1034" i="1"/>
  <c r="M1034" i="1"/>
  <c r="L1034" i="1"/>
  <c r="K1034" i="1"/>
  <c r="J1034" i="1"/>
  <c r="N1033" i="1"/>
  <c r="M1033" i="1"/>
  <c r="L1033" i="1"/>
  <c r="K1033" i="1"/>
  <c r="J1033" i="1"/>
  <c r="N1032" i="1"/>
  <c r="M1032" i="1"/>
  <c r="L1032" i="1"/>
  <c r="K1032" i="1"/>
  <c r="J1032" i="1"/>
  <c r="N1031" i="1"/>
  <c r="M1031" i="1"/>
  <c r="L1031" i="1"/>
  <c r="K1031" i="1"/>
  <c r="J1031" i="1"/>
  <c r="N1030" i="1"/>
  <c r="M1030" i="1"/>
  <c r="L1030" i="1"/>
  <c r="K1030" i="1"/>
  <c r="J1030" i="1"/>
  <c r="N1029" i="1"/>
  <c r="M1029" i="1"/>
  <c r="L1029" i="1"/>
  <c r="K1029" i="1"/>
  <c r="J1029" i="1"/>
  <c r="N1028" i="1"/>
  <c r="M1028" i="1"/>
  <c r="L1028" i="1"/>
  <c r="K1028" i="1"/>
  <c r="J1028" i="1"/>
  <c r="N1027" i="1"/>
  <c r="M1027" i="1"/>
  <c r="L1027" i="1"/>
  <c r="K1027" i="1"/>
  <c r="J1027" i="1"/>
  <c r="N1026" i="1"/>
  <c r="M1026" i="1"/>
  <c r="L1026" i="1"/>
  <c r="K1026" i="1"/>
  <c r="J1026" i="1"/>
  <c r="N1025" i="1"/>
  <c r="M1025" i="1"/>
  <c r="L1025" i="1"/>
  <c r="K1025" i="1"/>
  <c r="J1025" i="1"/>
  <c r="N1024" i="1"/>
  <c r="M1024" i="1"/>
  <c r="L1024" i="1"/>
  <c r="K1024" i="1"/>
  <c r="J1024" i="1"/>
  <c r="N1023" i="1"/>
  <c r="M1023" i="1"/>
  <c r="L1023" i="1"/>
  <c r="K1023" i="1"/>
  <c r="J1023" i="1"/>
  <c r="N1022" i="1"/>
  <c r="M1022" i="1"/>
  <c r="L1022" i="1"/>
  <c r="K1022" i="1"/>
  <c r="J1022" i="1"/>
  <c r="N1021" i="1"/>
  <c r="M1021" i="1"/>
  <c r="L1021" i="1"/>
  <c r="K1021" i="1"/>
  <c r="J1021" i="1"/>
  <c r="N1020" i="1"/>
  <c r="M1020" i="1"/>
  <c r="L1020" i="1"/>
  <c r="K1020" i="1"/>
  <c r="J1020" i="1"/>
  <c r="N1019" i="1"/>
  <c r="M1019" i="1"/>
  <c r="L1019" i="1"/>
  <c r="K1019" i="1"/>
  <c r="J1019" i="1"/>
  <c r="N1018" i="1"/>
  <c r="M1018" i="1"/>
  <c r="L1018" i="1"/>
  <c r="K1018" i="1"/>
  <c r="J1018" i="1"/>
  <c r="N1017" i="1"/>
  <c r="M1017" i="1"/>
  <c r="L1017" i="1"/>
  <c r="K1017" i="1"/>
  <c r="J1017" i="1"/>
  <c r="N1016" i="1"/>
  <c r="M1016" i="1"/>
  <c r="L1016" i="1"/>
  <c r="K1016" i="1"/>
  <c r="J1016" i="1"/>
  <c r="N1015" i="1"/>
  <c r="M1015" i="1"/>
  <c r="L1015" i="1"/>
  <c r="K1015" i="1"/>
  <c r="J1015" i="1"/>
  <c r="N1014" i="1"/>
  <c r="M1014" i="1"/>
  <c r="L1014" i="1"/>
  <c r="K1014" i="1"/>
  <c r="J1014" i="1"/>
  <c r="N1013" i="1"/>
  <c r="M1013" i="1"/>
  <c r="L1013" i="1"/>
  <c r="K1013" i="1"/>
  <c r="J1013" i="1"/>
  <c r="N1012" i="1"/>
  <c r="M1012" i="1"/>
  <c r="L1012" i="1"/>
  <c r="K1012" i="1"/>
  <c r="J1012" i="1"/>
  <c r="N1011" i="1"/>
  <c r="M1011" i="1"/>
  <c r="L1011" i="1"/>
  <c r="K1011" i="1"/>
  <c r="J1011" i="1"/>
  <c r="N1010" i="1"/>
  <c r="M1010" i="1"/>
  <c r="L1010" i="1"/>
  <c r="K1010" i="1"/>
  <c r="J1010" i="1"/>
  <c r="N1009" i="1"/>
  <c r="M1009" i="1"/>
  <c r="L1009" i="1"/>
  <c r="K1009" i="1"/>
  <c r="J1009" i="1"/>
  <c r="N1008" i="1"/>
  <c r="M1008" i="1"/>
  <c r="L1008" i="1"/>
  <c r="K1008" i="1"/>
  <c r="J1008" i="1"/>
  <c r="N1007" i="1"/>
  <c r="M1007" i="1"/>
  <c r="L1007" i="1"/>
  <c r="K1007" i="1"/>
  <c r="J1007" i="1"/>
  <c r="N1006" i="1"/>
  <c r="M1006" i="1"/>
  <c r="L1006" i="1"/>
  <c r="K1006" i="1"/>
  <c r="J1006" i="1"/>
  <c r="N1005" i="1"/>
  <c r="M1005" i="1"/>
  <c r="L1005" i="1"/>
  <c r="K1005" i="1"/>
  <c r="J1005" i="1"/>
  <c r="N1004" i="1"/>
  <c r="M1004" i="1"/>
  <c r="L1004" i="1"/>
  <c r="K1004" i="1"/>
  <c r="J1004" i="1"/>
  <c r="N1003" i="1"/>
  <c r="M1003" i="1"/>
  <c r="L1003" i="1"/>
  <c r="K1003" i="1"/>
  <c r="J1003" i="1"/>
  <c r="N1002" i="1"/>
  <c r="M1002" i="1"/>
  <c r="L1002" i="1"/>
  <c r="K1002" i="1"/>
  <c r="J1002" i="1"/>
  <c r="N1001" i="1"/>
  <c r="M1001" i="1"/>
  <c r="L1001" i="1"/>
  <c r="K1001" i="1"/>
  <c r="J1001" i="1"/>
  <c r="N1000" i="1"/>
  <c r="M1000" i="1"/>
  <c r="L1000" i="1"/>
  <c r="K1000" i="1"/>
  <c r="J1000" i="1"/>
  <c r="N999" i="1"/>
  <c r="M999" i="1"/>
  <c r="L999" i="1"/>
  <c r="K999" i="1"/>
  <c r="J999" i="1"/>
  <c r="N998" i="1"/>
  <c r="M998" i="1"/>
  <c r="L998" i="1"/>
  <c r="K998" i="1"/>
  <c r="J998" i="1"/>
  <c r="N997" i="1"/>
  <c r="M997" i="1"/>
  <c r="L997" i="1"/>
  <c r="K997" i="1"/>
  <c r="J997" i="1"/>
  <c r="N996" i="1"/>
  <c r="M996" i="1"/>
  <c r="L996" i="1"/>
  <c r="K996" i="1"/>
  <c r="J996" i="1"/>
  <c r="N995" i="1"/>
  <c r="M995" i="1"/>
  <c r="L995" i="1"/>
  <c r="K995" i="1"/>
  <c r="J995" i="1"/>
  <c r="N994" i="1"/>
  <c r="M994" i="1"/>
  <c r="L994" i="1"/>
  <c r="K994" i="1"/>
  <c r="J994" i="1"/>
  <c r="N993" i="1"/>
  <c r="M993" i="1"/>
  <c r="L993" i="1"/>
  <c r="K993" i="1"/>
  <c r="J993" i="1"/>
  <c r="N992" i="1"/>
  <c r="M992" i="1"/>
  <c r="L992" i="1"/>
  <c r="K992" i="1"/>
  <c r="J992" i="1"/>
  <c r="N991" i="1"/>
  <c r="M991" i="1"/>
  <c r="L991" i="1"/>
  <c r="K991" i="1"/>
  <c r="J991" i="1"/>
  <c r="N990" i="1"/>
  <c r="M990" i="1"/>
  <c r="L990" i="1"/>
  <c r="K990" i="1"/>
  <c r="J990" i="1"/>
  <c r="N989" i="1"/>
  <c r="M989" i="1"/>
  <c r="L989" i="1"/>
  <c r="K989" i="1"/>
  <c r="J989" i="1"/>
  <c r="N988" i="1"/>
  <c r="M988" i="1"/>
  <c r="L988" i="1"/>
  <c r="K988" i="1"/>
  <c r="J988" i="1"/>
  <c r="N987" i="1"/>
  <c r="M987" i="1"/>
  <c r="L987" i="1"/>
  <c r="K987" i="1"/>
  <c r="J987" i="1"/>
  <c r="N986" i="1"/>
  <c r="M986" i="1"/>
  <c r="L986" i="1"/>
  <c r="K986" i="1"/>
  <c r="J986" i="1"/>
  <c r="N985" i="1"/>
  <c r="M985" i="1"/>
  <c r="L985" i="1"/>
  <c r="K985" i="1"/>
  <c r="J985" i="1"/>
  <c r="N984" i="1"/>
  <c r="M984" i="1"/>
  <c r="L984" i="1"/>
  <c r="K984" i="1"/>
  <c r="J984" i="1"/>
  <c r="N983" i="1"/>
  <c r="M983" i="1"/>
  <c r="L983" i="1"/>
  <c r="K983" i="1"/>
  <c r="J983" i="1"/>
  <c r="N982" i="1"/>
  <c r="M982" i="1"/>
  <c r="L982" i="1"/>
  <c r="K982" i="1"/>
  <c r="J982" i="1"/>
  <c r="N981" i="1"/>
  <c r="M981" i="1"/>
  <c r="L981" i="1"/>
  <c r="K981" i="1"/>
  <c r="J981" i="1"/>
  <c r="N980" i="1"/>
  <c r="M980" i="1"/>
  <c r="L980" i="1"/>
  <c r="K980" i="1"/>
  <c r="J980" i="1"/>
  <c r="N979" i="1"/>
  <c r="M979" i="1"/>
  <c r="L979" i="1"/>
  <c r="K979" i="1"/>
  <c r="J979" i="1"/>
  <c r="N978" i="1"/>
  <c r="M978" i="1"/>
  <c r="L978" i="1"/>
  <c r="K978" i="1"/>
  <c r="J978" i="1"/>
  <c r="N977" i="1"/>
  <c r="M977" i="1"/>
  <c r="L977" i="1"/>
  <c r="K977" i="1"/>
  <c r="J977" i="1"/>
  <c r="N976" i="1"/>
  <c r="M976" i="1"/>
  <c r="L976" i="1"/>
  <c r="K976" i="1"/>
  <c r="J976" i="1"/>
  <c r="N975" i="1"/>
  <c r="M975" i="1"/>
  <c r="L975" i="1"/>
  <c r="K975" i="1"/>
  <c r="J975" i="1"/>
  <c r="N974" i="1"/>
  <c r="M974" i="1"/>
  <c r="L974" i="1"/>
  <c r="K974" i="1"/>
  <c r="J974" i="1"/>
  <c r="N973" i="1"/>
  <c r="M973" i="1"/>
  <c r="L973" i="1"/>
  <c r="K973" i="1"/>
  <c r="J973" i="1"/>
  <c r="N972" i="1"/>
  <c r="M972" i="1"/>
  <c r="L972" i="1"/>
  <c r="K972" i="1"/>
  <c r="J972" i="1"/>
  <c r="N971" i="1"/>
  <c r="M971" i="1"/>
  <c r="L971" i="1"/>
  <c r="K971" i="1"/>
  <c r="J971" i="1"/>
  <c r="N970" i="1"/>
  <c r="M970" i="1"/>
  <c r="L970" i="1"/>
  <c r="K970" i="1"/>
  <c r="J970" i="1"/>
  <c r="N969" i="1"/>
  <c r="M969" i="1"/>
  <c r="L969" i="1"/>
  <c r="K969" i="1"/>
  <c r="J969" i="1"/>
  <c r="N968" i="1"/>
  <c r="M968" i="1"/>
  <c r="L968" i="1"/>
  <c r="K968" i="1"/>
  <c r="J968" i="1"/>
  <c r="N967" i="1"/>
  <c r="M967" i="1"/>
  <c r="L967" i="1"/>
  <c r="K967" i="1"/>
  <c r="J967" i="1"/>
  <c r="N966" i="1"/>
  <c r="M966" i="1"/>
  <c r="L966" i="1"/>
  <c r="K966" i="1"/>
  <c r="J966" i="1"/>
  <c r="N965" i="1"/>
  <c r="M965" i="1"/>
  <c r="L965" i="1"/>
  <c r="K965" i="1"/>
  <c r="J965" i="1"/>
  <c r="N964" i="1"/>
  <c r="M964" i="1"/>
  <c r="L964" i="1"/>
  <c r="K964" i="1"/>
  <c r="J964" i="1"/>
  <c r="N963" i="1"/>
  <c r="M963" i="1"/>
  <c r="L963" i="1"/>
  <c r="K963" i="1"/>
  <c r="J963" i="1"/>
  <c r="N962" i="1"/>
  <c r="M962" i="1"/>
  <c r="L962" i="1"/>
  <c r="K962" i="1"/>
  <c r="J962" i="1"/>
  <c r="N961" i="1"/>
  <c r="M961" i="1"/>
  <c r="L961" i="1"/>
  <c r="K961" i="1"/>
  <c r="J961" i="1"/>
  <c r="N960" i="1"/>
  <c r="M960" i="1"/>
  <c r="L960" i="1"/>
  <c r="K960" i="1"/>
  <c r="J960" i="1"/>
  <c r="N959" i="1"/>
  <c r="M959" i="1"/>
  <c r="L959" i="1"/>
  <c r="K959" i="1"/>
  <c r="J959" i="1"/>
  <c r="N958" i="1"/>
  <c r="M958" i="1"/>
  <c r="L958" i="1"/>
  <c r="K958" i="1"/>
  <c r="J958" i="1"/>
  <c r="N957" i="1"/>
  <c r="M957" i="1"/>
  <c r="L957" i="1"/>
  <c r="K957" i="1"/>
  <c r="J957" i="1"/>
  <c r="N956" i="1"/>
  <c r="M956" i="1"/>
  <c r="L956" i="1"/>
  <c r="K956" i="1"/>
  <c r="J956" i="1"/>
  <c r="N955" i="1"/>
  <c r="M955" i="1"/>
  <c r="L955" i="1"/>
  <c r="K955" i="1"/>
  <c r="J955" i="1"/>
  <c r="N954" i="1"/>
  <c r="M954" i="1"/>
  <c r="L954" i="1"/>
  <c r="K954" i="1"/>
  <c r="J954" i="1"/>
  <c r="N953" i="1"/>
  <c r="M953" i="1"/>
  <c r="L953" i="1"/>
  <c r="K953" i="1"/>
  <c r="J953" i="1"/>
  <c r="N952" i="1"/>
  <c r="M952" i="1"/>
  <c r="L952" i="1"/>
  <c r="K952" i="1"/>
  <c r="J952" i="1"/>
  <c r="N951" i="1"/>
  <c r="M951" i="1"/>
  <c r="L951" i="1"/>
  <c r="K951" i="1"/>
  <c r="J951" i="1"/>
  <c r="N950" i="1"/>
  <c r="M950" i="1"/>
  <c r="L950" i="1"/>
  <c r="K950" i="1"/>
  <c r="J950" i="1"/>
  <c r="N949" i="1"/>
  <c r="M949" i="1"/>
  <c r="L949" i="1"/>
  <c r="K949" i="1"/>
  <c r="J949" i="1"/>
  <c r="N948" i="1"/>
  <c r="M948" i="1"/>
  <c r="L948" i="1"/>
  <c r="K948" i="1"/>
  <c r="J948" i="1"/>
  <c r="N947" i="1"/>
  <c r="M947" i="1"/>
  <c r="L947" i="1"/>
  <c r="K947" i="1"/>
  <c r="J947" i="1"/>
  <c r="N946" i="1"/>
  <c r="M946" i="1"/>
  <c r="L946" i="1"/>
  <c r="K946" i="1"/>
  <c r="J946" i="1"/>
  <c r="N945" i="1"/>
  <c r="M945" i="1"/>
  <c r="L945" i="1"/>
  <c r="K945" i="1"/>
  <c r="J945" i="1"/>
  <c r="N944" i="1"/>
  <c r="M944" i="1"/>
  <c r="L944" i="1"/>
  <c r="K944" i="1"/>
  <c r="J944" i="1"/>
  <c r="N943" i="1"/>
  <c r="M943" i="1"/>
  <c r="L943" i="1"/>
  <c r="K943" i="1"/>
  <c r="J943" i="1"/>
  <c r="N942" i="1"/>
  <c r="M942" i="1"/>
  <c r="L942" i="1"/>
  <c r="K942" i="1"/>
  <c r="J942" i="1"/>
  <c r="N941" i="1"/>
  <c r="M941" i="1"/>
  <c r="L941" i="1"/>
  <c r="K941" i="1"/>
  <c r="J941" i="1"/>
  <c r="N940" i="1"/>
  <c r="M940" i="1"/>
  <c r="L940" i="1"/>
  <c r="K940" i="1"/>
  <c r="J940" i="1"/>
  <c r="N939" i="1"/>
  <c r="M939" i="1"/>
  <c r="L939" i="1"/>
  <c r="K939" i="1"/>
  <c r="J939" i="1"/>
  <c r="N938" i="1"/>
  <c r="M938" i="1"/>
  <c r="L938" i="1"/>
  <c r="K938" i="1"/>
  <c r="J938" i="1"/>
  <c r="N937" i="1"/>
  <c r="M937" i="1"/>
  <c r="L937" i="1"/>
  <c r="K937" i="1"/>
  <c r="J937" i="1"/>
  <c r="N936" i="1"/>
  <c r="M936" i="1"/>
  <c r="L936" i="1"/>
  <c r="K936" i="1"/>
  <c r="J936" i="1"/>
  <c r="N935" i="1"/>
  <c r="M935" i="1"/>
  <c r="L935" i="1"/>
  <c r="K935" i="1"/>
  <c r="J935" i="1"/>
  <c r="N934" i="1"/>
  <c r="M934" i="1"/>
  <c r="L934" i="1"/>
  <c r="K934" i="1"/>
  <c r="J934" i="1"/>
  <c r="N933" i="1"/>
  <c r="M933" i="1"/>
  <c r="L933" i="1"/>
  <c r="K933" i="1"/>
  <c r="J933" i="1"/>
  <c r="N932" i="1"/>
  <c r="M932" i="1"/>
  <c r="L932" i="1"/>
  <c r="K932" i="1"/>
  <c r="J932" i="1"/>
  <c r="N931" i="1"/>
  <c r="M931" i="1"/>
  <c r="L931" i="1"/>
  <c r="K931" i="1"/>
  <c r="J931" i="1"/>
  <c r="N930" i="1"/>
  <c r="M930" i="1"/>
  <c r="L930" i="1"/>
  <c r="K930" i="1"/>
  <c r="J930" i="1"/>
  <c r="N929" i="1"/>
  <c r="M929" i="1"/>
  <c r="L929" i="1"/>
  <c r="K929" i="1"/>
  <c r="J929" i="1"/>
  <c r="N928" i="1"/>
  <c r="M928" i="1"/>
  <c r="L928" i="1"/>
  <c r="K928" i="1"/>
  <c r="J928" i="1"/>
  <c r="N927" i="1"/>
  <c r="M927" i="1"/>
  <c r="L927" i="1"/>
  <c r="K927" i="1"/>
  <c r="J927" i="1"/>
  <c r="N926" i="1"/>
  <c r="M926" i="1"/>
  <c r="L926" i="1"/>
  <c r="K926" i="1"/>
  <c r="J926" i="1"/>
  <c r="N925" i="1"/>
  <c r="M925" i="1"/>
  <c r="L925" i="1"/>
  <c r="K925" i="1"/>
  <c r="J925" i="1"/>
  <c r="N924" i="1"/>
  <c r="M924" i="1"/>
  <c r="L924" i="1"/>
  <c r="K924" i="1"/>
  <c r="J924" i="1"/>
  <c r="N923" i="1"/>
  <c r="M923" i="1"/>
  <c r="L923" i="1"/>
  <c r="K923" i="1"/>
  <c r="J923" i="1"/>
  <c r="N922" i="1"/>
  <c r="M922" i="1"/>
  <c r="L922" i="1"/>
  <c r="K922" i="1"/>
  <c r="J922" i="1"/>
  <c r="N921" i="1"/>
  <c r="M921" i="1"/>
  <c r="L921" i="1"/>
  <c r="K921" i="1"/>
  <c r="J921" i="1"/>
  <c r="N920" i="1"/>
  <c r="M920" i="1"/>
  <c r="L920" i="1"/>
  <c r="K920" i="1"/>
  <c r="J920" i="1"/>
  <c r="N919" i="1"/>
  <c r="M919" i="1"/>
  <c r="L919" i="1"/>
  <c r="K919" i="1"/>
  <c r="J919" i="1"/>
  <c r="N918" i="1"/>
  <c r="M918" i="1"/>
  <c r="L918" i="1"/>
  <c r="K918" i="1"/>
  <c r="J918" i="1"/>
  <c r="N917" i="1"/>
  <c r="M917" i="1"/>
  <c r="L917" i="1"/>
  <c r="K917" i="1"/>
  <c r="J917" i="1"/>
  <c r="N916" i="1"/>
  <c r="M916" i="1"/>
  <c r="L916" i="1"/>
  <c r="K916" i="1"/>
  <c r="J916" i="1"/>
  <c r="N915" i="1"/>
  <c r="M915" i="1"/>
  <c r="L915" i="1"/>
  <c r="K915" i="1"/>
  <c r="J915" i="1"/>
  <c r="N914" i="1"/>
  <c r="M914" i="1"/>
  <c r="L914" i="1"/>
  <c r="K914" i="1"/>
  <c r="J914" i="1"/>
  <c r="N913" i="1"/>
  <c r="M913" i="1"/>
  <c r="L913" i="1"/>
  <c r="K913" i="1"/>
  <c r="J913" i="1"/>
  <c r="N912" i="1"/>
  <c r="M912" i="1"/>
  <c r="L912" i="1"/>
  <c r="K912" i="1"/>
  <c r="J912" i="1"/>
  <c r="N911" i="1"/>
  <c r="M911" i="1"/>
  <c r="L911" i="1"/>
  <c r="K911" i="1"/>
  <c r="J911" i="1"/>
  <c r="N910" i="1"/>
  <c r="M910" i="1"/>
  <c r="L910" i="1"/>
  <c r="K910" i="1"/>
  <c r="J910" i="1"/>
  <c r="N909" i="1"/>
  <c r="M909" i="1"/>
  <c r="L909" i="1"/>
  <c r="K909" i="1"/>
  <c r="J909" i="1"/>
  <c r="N908" i="1"/>
  <c r="M908" i="1"/>
  <c r="L908" i="1"/>
  <c r="K908" i="1"/>
  <c r="J908" i="1"/>
  <c r="N907" i="1"/>
  <c r="M907" i="1"/>
  <c r="L907" i="1"/>
  <c r="K907" i="1"/>
  <c r="J907" i="1"/>
  <c r="N906" i="1"/>
  <c r="M906" i="1"/>
  <c r="L906" i="1"/>
  <c r="K906" i="1"/>
  <c r="J906" i="1"/>
  <c r="N905" i="1"/>
  <c r="M905" i="1"/>
  <c r="L905" i="1"/>
  <c r="K905" i="1"/>
  <c r="J905" i="1"/>
  <c r="N904" i="1"/>
  <c r="M904" i="1"/>
  <c r="L904" i="1"/>
  <c r="K904" i="1"/>
  <c r="J904" i="1"/>
  <c r="N903" i="1"/>
  <c r="M903" i="1"/>
  <c r="L903" i="1"/>
  <c r="K903" i="1"/>
  <c r="J903" i="1"/>
  <c r="N902" i="1"/>
  <c r="M902" i="1"/>
  <c r="L902" i="1"/>
  <c r="K902" i="1"/>
  <c r="J902" i="1"/>
  <c r="N901" i="1"/>
  <c r="M901" i="1"/>
  <c r="L901" i="1"/>
  <c r="K901" i="1"/>
  <c r="J901" i="1"/>
  <c r="N900" i="1"/>
  <c r="M900" i="1"/>
  <c r="L900" i="1"/>
  <c r="K900" i="1"/>
  <c r="J900" i="1"/>
  <c r="N899" i="1"/>
  <c r="M899" i="1"/>
  <c r="L899" i="1"/>
  <c r="K899" i="1"/>
  <c r="J899" i="1"/>
  <c r="N898" i="1"/>
  <c r="M898" i="1"/>
  <c r="L898" i="1"/>
  <c r="K898" i="1"/>
  <c r="J898" i="1"/>
  <c r="N897" i="1"/>
  <c r="M897" i="1"/>
  <c r="L897" i="1"/>
  <c r="K897" i="1"/>
  <c r="J897" i="1"/>
  <c r="N896" i="1"/>
  <c r="M896" i="1"/>
  <c r="L896" i="1"/>
  <c r="K896" i="1"/>
  <c r="J896" i="1"/>
  <c r="N895" i="1"/>
  <c r="M895" i="1"/>
  <c r="L895" i="1"/>
  <c r="K895" i="1"/>
  <c r="J895" i="1"/>
  <c r="N894" i="1"/>
  <c r="M894" i="1"/>
  <c r="L894" i="1"/>
  <c r="K894" i="1"/>
  <c r="J894" i="1"/>
  <c r="N893" i="1"/>
  <c r="M893" i="1"/>
  <c r="L893" i="1"/>
  <c r="K893" i="1"/>
  <c r="J893" i="1"/>
  <c r="N892" i="1"/>
  <c r="M892" i="1"/>
  <c r="L892" i="1"/>
  <c r="K892" i="1"/>
  <c r="J892" i="1"/>
  <c r="N891" i="1"/>
  <c r="M891" i="1"/>
  <c r="L891" i="1"/>
  <c r="K891" i="1"/>
  <c r="J891" i="1"/>
  <c r="N890" i="1"/>
  <c r="M890" i="1"/>
  <c r="L890" i="1"/>
  <c r="K890" i="1"/>
  <c r="J890" i="1"/>
  <c r="N889" i="1"/>
  <c r="M889" i="1"/>
  <c r="L889" i="1"/>
  <c r="K889" i="1"/>
  <c r="J889" i="1"/>
  <c r="N888" i="1"/>
  <c r="M888" i="1"/>
  <c r="L888" i="1"/>
  <c r="K888" i="1"/>
  <c r="J888" i="1"/>
  <c r="N887" i="1"/>
  <c r="M887" i="1"/>
  <c r="L887" i="1"/>
  <c r="K887" i="1"/>
  <c r="J887" i="1"/>
  <c r="N886" i="1"/>
  <c r="M886" i="1"/>
  <c r="L886" i="1"/>
  <c r="K886" i="1"/>
  <c r="J886" i="1"/>
  <c r="N885" i="1"/>
  <c r="M885" i="1"/>
  <c r="L885" i="1"/>
  <c r="K885" i="1"/>
  <c r="J885" i="1"/>
  <c r="N884" i="1"/>
  <c r="M884" i="1"/>
  <c r="L884" i="1"/>
  <c r="K884" i="1"/>
  <c r="J884" i="1"/>
  <c r="N883" i="1"/>
  <c r="M883" i="1"/>
  <c r="L883" i="1"/>
  <c r="K883" i="1"/>
  <c r="J883" i="1"/>
  <c r="N882" i="1"/>
  <c r="M882" i="1"/>
  <c r="L882" i="1"/>
  <c r="K882" i="1"/>
  <c r="J882" i="1"/>
  <c r="N881" i="1"/>
  <c r="M881" i="1"/>
  <c r="L881" i="1"/>
  <c r="K881" i="1"/>
  <c r="J881" i="1"/>
  <c r="N880" i="1"/>
  <c r="M880" i="1"/>
  <c r="L880" i="1"/>
  <c r="K880" i="1"/>
  <c r="J880" i="1"/>
  <c r="N879" i="1"/>
  <c r="M879" i="1"/>
  <c r="L879" i="1"/>
  <c r="K879" i="1"/>
  <c r="J879" i="1"/>
  <c r="N878" i="1"/>
  <c r="M878" i="1"/>
  <c r="L878" i="1"/>
  <c r="K878" i="1"/>
  <c r="J878" i="1"/>
  <c r="N877" i="1"/>
  <c r="M877" i="1"/>
  <c r="L877" i="1"/>
  <c r="K877" i="1"/>
  <c r="J877" i="1"/>
  <c r="N876" i="1"/>
  <c r="M876" i="1"/>
  <c r="L876" i="1"/>
  <c r="K876" i="1"/>
  <c r="J876" i="1"/>
  <c r="N875" i="1"/>
  <c r="M875" i="1"/>
  <c r="L875" i="1"/>
  <c r="K875" i="1"/>
  <c r="J875" i="1"/>
  <c r="N874" i="1"/>
  <c r="M874" i="1"/>
  <c r="L874" i="1"/>
  <c r="K874" i="1"/>
  <c r="J874" i="1"/>
  <c r="N873" i="1"/>
  <c r="M873" i="1"/>
  <c r="L873" i="1"/>
  <c r="K873" i="1"/>
  <c r="J873" i="1"/>
  <c r="N872" i="1"/>
  <c r="M872" i="1"/>
  <c r="L872" i="1"/>
  <c r="K872" i="1"/>
  <c r="J872" i="1"/>
  <c r="N871" i="1"/>
  <c r="M871" i="1"/>
  <c r="L871" i="1"/>
  <c r="K871" i="1"/>
  <c r="J871" i="1"/>
  <c r="N870" i="1"/>
  <c r="M870" i="1"/>
  <c r="L870" i="1"/>
  <c r="K870" i="1"/>
  <c r="J870" i="1"/>
  <c r="N869" i="1"/>
  <c r="M869" i="1"/>
  <c r="L869" i="1"/>
  <c r="K869" i="1"/>
  <c r="J869" i="1"/>
  <c r="N868" i="1"/>
  <c r="M868" i="1"/>
  <c r="L868" i="1"/>
  <c r="K868" i="1"/>
  <c r="J868" i="1"/>
  <c r="N867" i="1"/>
  <c r="M867" i="1"/>
  <c r="L867" i="1"/>
  <c r="K867" i="1"/>
  <c r="J867" i="1"/>
  <c r="N866" i="1"/>
  <c r="M866" i="1"/>
  <c r="L866" i="1"/>
  <c r="K866" i="1"/>
  <c r="J866" i="1"/>
  <c r="N865" i="1"/>
  <c r="M865" i="1"/>
  <c r="L865" i="1"/>
  <c r="K865" i="1"/>
  <c r="J865" i="1"/>
  <c r="N864" i="1"/>
  <c r="M864" i="1"/>
  <c r="L864" i="1"/>
  <c r="K864" i="1"/>
  <c r="J864" i="1"/>
  <c r="N863" i="1"/>
  <c r="M863" i="1"/>
  <c r="L863" i="1"/>
  <c r="K863" i="1"/>
  <c r="J863" i="1"/>
  <c r="N862" i="1"/>
  <c r="M862" i="1"/>
  <c r="L862" i="1"/>
  <c r="K862" i="1"/>
  <c r="J862" i="1"/>
  <c r="N861" i="1"/>
  <c r="M861" i="1"/>
  <c r="L861" i="1"/>
  <c r="K861" i="1"/>
  <c r="J861" i="1"/>
  <c r="N860" i="1"/>
  <c r="M860" i="1"/>
  <c r="L860" i="1"/>
  <c r="K860" i="1"/>
  <c r="J860" i="1"/>
  <c r="N859" i="1"/>
  <c r="M859" i="1"/>
  <c r="L859" i="1"/>
  <c r="K859" i="1"/>
  <c r="J859" i="1"/>
  <c r="N858" i="1"/>
  <c r="M858" i="1"/>
  <c r="L858" i="1"/>
  <c r="K858" i="1"/>
  <c r="J858" i="1"/>
  <c r="N857" i="1"/>
  <c r="M857" i="1"/>
  <c r="L857" i="1"/>
  <c r="K857" i="1"/>
  <c r="J857" i="1"/>
  <c r="N856" i="1"/>
  <c r="M856" i="1"/>
  <c r="L856" i="1"/>
  <c r="K856" i="1"/>
  <c r="J856" i="1"/>
  <c r="N855" i="1"/>
  <c r="M855" i="1"/>
  <c r="L855" i="1"/>
  <c r="K855" i="1"/>
  <c r="J855" i="1"/>
  <c r="N854" i="1"/>
  <c r="M854" i="1"/>
  <c r="L854" i="1"/>
  <c r="K854" i="1"/>
  <c r="J854" i="1"/>
  <c r="N853" i="1"/>
  <c r="M853" i="1"/>
  <c r="L853" i="1"/>
  <c r="K853" i="1"/>
  <c r="J853" i="1"/>
  <c r="N852" i="1"/>
  <c r="M852" i="1"/>
  <c r="L852" i="1"/>
  <c r="K852" i="1"/>
  <c r="J852" i="1"/>
  <c r="N851" i="1"/>
  <c r="M851" i="1"/>
  <c r="L851" i="1"/>
  <c r="K851" i="1"/>
  <c r="J851" i="1"/>
  <c r="N850" i="1"/>
  <c r="M850" i="1"/>
  <c r="L850" i="1"/>
  <c r="K850" i="1"/>
  <c r="J850" i="1"/>
  <c r="N849" i="1"/>
  <c r="M849" i="1"/>
  <c r="L849" i="1"/>
  <c r="K849" i="1"/>
  <c r="J849" i="1"/>
  <c r="N848" i="1"/>
  <c r="M848" i="1"/>
  <c r="L848" i="1"/>
  <c r="K848" i="1"/>
  <c r="J848" i="1"/>
  <c r="N847" i="1"/>
  <c r="M847" i="1"/>
  <c r="L847" i="1"/>
  <c r="K847" i="1"/>
  <c r="J847" i="1"/>
  <c r="N846" i="1"/>
  <c r="M846" i="1"/>
  <c r="L846" i="1"/>
  <c r="K846" i="1"/>
  <c r="J846" i="1"/>
  <c r="N845" i="1"/>
  <c r="M845" i="1"/>
  <c r="L845" i="1"/>
  <c r="K845" i="1"/>
  <c r="J845" i="1"/>
  <c r="N844" i="1"/>
  <c r="M844" i="1"/>
  <c r="L844" i="1"/>
  <c r="K844" i="1"/>
  <c r="J844" i="1"/>
  <c r="N843" i="1"/>
  <c r="M843" i="1"/>
  <c r="L843" i="1"/>
  <c r="K843" i="1"/>
  <c r="J843" i="1"/>
  <c r="N842" i="1"/>
  <c r="M842" i="1"/>
  <c r="L842" i="1"/>
  <c r="K842" i="1"/>
  <c r="J842" i="1"/>
  <c r="N841" i="1"/>
  <c r="M841" i="1"/>
  <c r="L841" i="1"/>
  <c r="K841" i="1"/>
  <c r="J841" i="1"/>
  <c r="N840" i="1"/>
  <c r="M840" i="1"/>
  <c r="L840" i="1"/>
  <c r="K840" i="1"/>
  <c r="J840" i="1"/>
  <c r="N839" i="1"/>
  <c r="M839" i="1"/>
  <c r="L839" i="1"/>
  <c r="K839" i="1"/>
  <c r="J839" i="1"/>
  <c r="N838" i="1"/>
  <c r="M838" i="1"/>
  <c r="L838" i="1"/>
  <c r="K838" i="1"/>
  <c r="J838" i="1"/>
  <c r="N837" i="1"/>
  <c r="M837" i="1"/>
  <c r="L837" i="1"/>
  <c r="K837" i="1"/>
  <c r="J837" i="1"/>
  <c r="N836" i="1"/>
  <c r="M836" i="1"/>
  <c r="L836" i="1"/>
  <c r="K836" i="1"/>
  <c r="J836" i="1"/>
  <c r="N835" i="1"/>
  <c r="M835" i="1"/>
  <c r="L835" i="1"/>
  <c r="K835" i="1"/>
  <c r="J835" i="1"/>
  <c r="N834" i="1"/>
  <c r="M834" i="1"/>
  <c r="L834" i="1"/>
  <c r="K834" i="1"/>
  <c r="J834" i="1"/>
  <c r="N833" i="1"/>
  <c r="M833" i="1"/>
  <c r="L833" i="1"/>
  <c r="K833" i="1"/>
  <c r="J833" i="1"/>
  <c r="N832" i="1"/>
  <c r="M832" i="1"/>
  <c r="L832" i="1"/>
  <c r="K832" i="1"/>
  <c r="J832" i="1"/>
  <c r="N831" i="1"/>
  <c r="M831" i="1"/>
  <c r="L831" i="1"/>
  <c r="K831" i="1"/>
  <c r="J831" i="1"/>
  <c r="N830" i="1"/>
  <c r="M830" i="1"/>
  <c r="L830" i="1"/>
  <c r="K830" i="1"/>
  <c r="J830" i="1"/>
  <c r="N829" i="1"/>
  <c r="M829" i="1"/>
  <c r="L829" i="1"/>
  <c r="K829" i="1"/>
  <c r="J829" i="1"/>
  <c r="N828" i="1"/>
  <c r="M828" i="1"/>
  <c r="L828" i="1"/>
  <c r="K828" i="1"/>
  <c r="J828" i="1"/>
  <c r="N827" i="1"/>
  <c r="M827" i="1"/>
  <c r="L827" i="1"/>
  <c r="K827" i="1"/>
  <c r="J827" i="1"/>
  <c r="N826" i="1"/>
  <c r="M826" i="1"/>
  <c r="L826" i="1"/>
  <c r="K826" i="1"/>
  <c r="J826" i="1"/>
  <c r="N825" i="1"/>
  <c r="M825" i="1"/>
  <c r="L825" i="1"/>
  <c r="K825" i="1"/>
  <c r="J825" i="1"/>
  <c r="N824" i="1"/>
  <c r="M824" i="1"/>
  <c r="L824" i="1"/>
  <c r="K824" i="1"/>
  <c r="J824" i="1"/>
  <c r="N823" i="1"/>
  <c r="M823" i="1"/>
  <c r="L823" i="1"/>
  <c r="K823" i="1"/>
  <c r="J823" i="1"/>
  <c r="N822" i="1"/>
  <c r="M822" i="1"/>
  <c r="L822" i="1"/>
  <c r="K822" i="1"/>
  <c r="J822" i="1"/>
  <c r="N821" i="1"/>
  <c r="M821" i="1"/>
  <c r="L821" i="1"/>
  <c r="K821" i="1"/>
  <c r="J821" i="1"/>
  <c r="N820" i="1"/>
  <c r="M820" i="1"/>
  <c r="L820" i="1"/>
  <c r="K820" i="1"/>
  <c r="J820" i="1"/>
  <c r="N819" i="1"/>
  <c r="M819" i="1"/>
  <c r="L819" i="1"/>
  <c r="K819" i="1"/>
  <c r="J819" i="1"/>
  <c r="N818" i="1"/>
  <c r="M818" i="1"/>
  <c r="L818" i="1"/>
  <c r="K818" i="1"/>
  <c r="J818" i="1"/>
  <c r="N817" i="1"/>
  <c r="M817" i="1"/>
  <c r="L817" i="1"/>
  <c r="K817" i="1"/>
  <c r="J817" i="1"/>
  <c r="N816" i="1"/>
  <c r="M816" i="1"/>
  <c r="L816" i="1"/>
  <c r="K816" i="1"/>
  <c r="J816" i="1"/>
  <c r="N815" i="1"/>
  <c r="M815" i="1"/>
  <c r="L815" i="1"/>
  <c r="K815" i="1"/>
  <c r="J815" i="1"/>
  <c r="N814" i="1"/>
  <c r="M814" i="1"/>
  <c r="L814" i="1"/>
  <c r="K814" i="1"/>
  <c r="J814" i="1"/>
  <c r="N813" i="1"/>
  <c r="M813" i="1"/>
  <c r="L813" i="1"/>
  <c r="K813" i="1"/>
  <c r="J813" i="1"/>
  <c r="N812" i="1"/>
  <c r="M812" i="1"/>
  <c r="L812" i="1"/>
  <c r="K812" i="1"/>
  <c r="J812" i="1"/>
  <c r="N811" i="1"/>
  <c r="M811" i="1"/>
  <c r="L811" i="1"/>
  <c r="K811" i="1"/>
  <c r="J811" i="1"/>
  <c r="N810" i="1"/>
  <c r="M810" i="1"/>
  <c r="L810" i="1"/>
  <c r="K810" i="1"/>
  <c r="J810" i="1"/>
  <c r="N809" i="1"/>
  <c r="M809" i="1"/>
  <c r="L809" i="1"/>
  <c r="K809" i="1"/>
  <c r="J809" i="1"/>
  <c r="N808" i="1"/>
  <c r="M808" i="1"/>
  <c r="L808" i="1"/>
  <c r="K808" i="1"/>
  <c r="J808" i="1"/>
  <c r="N807" i="1"/>
  <c r="M807" i="1"/>
  <c r="L807" i="1"/>
  <c r="K807" i="1"/>
  <c r="J807" i="1"/>
  <c r="N806" i="1"/>
  <c r="M806" i="1"/>
  <c r="L806" i="1"/>
  <c r="K806" i="1"/>
  <c r="J806" i="1"/>
  <c r="N805" i="1"/>
  <c r="M805" i="1"/>
  <c r="L805" i="1"/>
  <c r="K805" i="1"/>
  <c r="J805" i="1"/>
  <c r="N804" i="1"/>
  <c r="M804" i="1"/>
  <c r="L804" i="1"/>
  <c r="K804" i="1"/>
  <c r="J804" i="1"/>
  <c r="N803" i="1"/>
  <c r="M803" i="1"/>
  <c r="L803" i="1"/>
  <c r="K803" i="1"/>
  <c r="J803" i="1"/>
  <c r="N802" i="1"/>
  <c r="M802" i="1"/>
  <c r="L802" i="1"/>
  <c r="K802" i="1"/>
  <c r="J802" i="1"/>
  <c r="N801" i="1"/>
  <c r="M801" i="1"/>
  <c r="L801" i="1"/>
  <c r="K801" i="1"/>
  <c r="J801" i="1"/>
  <c r="N800" i="1"/>
  <c r="M800" i="1"/>
  <c r="L800" i="1"/>
  <c r="K800" i="1"/>
  <c r="J800" i="1"/>
  <c r="N799" i="1"/>
  <c r="M799" i="1"/>
  <c r="L799" i="1"/>
  <c r="K799" i="1"/>
  <c r="J799" i="1"/>
  <c r="N798" i="1"/>
  <c r="M798" i="1"/>
  <c r="L798" i="1"/>
  <c r="K798" i="1"/>
  <c r="J798" i="1"/>
  <c r="N797" i="1"/>
  <c r="M797" i="1"/>
  <c r="L797" i="1"/>
  <c r="K797" i="1"/>
  <c r="J797" i="1"/>
  <c r="N796" i="1"/>
  <c r="M796" i="1"/>
  <c r="L796" i="1"/>
  <c r="K796" i="1"/>
  <c r="J796" i="1"/>
  <c r="N795" i="1"/>
  <c r="M795" i="1"/>
  <c r="L795" i="1"/>
  <c r="K795" i="1"/>
  <c r="J795" i="1"/>
  <c r="N794" i="1"/>
  <c r="M794" i="1"/>
  <c r="L794" i="1"/>
  <c r="K794" i="1"/>
  <c r="J794" i="1"/>
  <c r="N793" i="1"/>
  <c r="M793" i="1"/>
  <c r="L793" i="1"/>
  <c r="K793" i="1"/>
  <c r="J793" i="1"/>
  <c r="N792" i="1"/>
  <c r="M792" i="1"/>
  <c r="L792" i="1"/>
  <c r="K792" i="1"/>
  <c r="J792" i="1"/>
  <c r="N791" i="1"/>
  <c r="M791" i="1"/>
  <c r="L791" i="1"/>
  <c r="K791" i="1"/>
  <c r="J791" i="1"/>
  <c r="N790" i="1"/>
  <c r="M790" i="1"/>
  <c r="L790" i="1"/>
  <c r="K790" i="1"/>
  <c r="J790" i="1"/>
  <c r="N789" i="1"/>
  <c r="M789" i="1"/>
  <c r="L789" i="1"/>
  <c r="K789" i="1"/>
  <c r="J789" i="1"/>
  <c r="N788" i="1"/>
  <c r="M788" i="1"/>
  <c r="L788" i="1"/>
  <c r="K788" i="1"/>
  <c r="J788" i="1"/>
  <c r="N787" i="1"/>
  <c r="M787" i="1"/>
  <c r="L787" i="1"/>
  <c r="K787" i="1"/>
  <c r="J787" i="1"/>
  <c r="N786" i="1"/>
  <c r="M786" i="1"/>
  <c r="L786" i="1"/>
  <c r="K786" i="1"/>
  <c r="J786" i="1"/>
  <c r="N785" i="1"/>
  <c r="M785" i="1"/>
  <c r="L785" i="1"/>
  <c r="K785" i="1"/>
  <c r="J785" i="1"/>
  <c r="N784" i="1"/>
  <c r="M784" i="1"/>
  <c r="L784" i="1"/>
  <c r="K784" i="1"/>
  <c r="J784" i="1"/>
  <c r="N783" i="1"/>
  <c r="M783" i="1"/>
  <c r="L783" i="1"/>
  <c r="K783" i="1"/>
  <c r="J783" i="1"/>
  <c r="N782" i="1"/>
  <c r="M782" i="1"/>
  <c r="L782" i="1"/>
  <c r="K782" i="1"/>
  <c r="J782" i="1"/>
  <c r="N781" i="1"/>
  <c r="M781" i="1"/>
  <c r="L781" i="1"/>
  <c r="K781" i="1"/>
  <c r="J781" i="1"/>
  <c r="N780" i="1"/>
  <c r="M780" i="1"/>
  <c r="L780" i="1"/>
  <c r="K780" i="1"/>
  <c r="J780" i="1"/>
  <c r="N779" i="1"/>
  <c r="M779" i="1"/>
  <c r="L779" i="1"/>
  <c r="K779" i="1"/>
  <c r="J779" i="1"/>
  <c r="N778" i="1"/>
  <c r="M778" i="1"/>
  <c r="L778" i="1"/>
  <c r="K778" i="1"/>
  <c r="J778" i="1"/>
  <c r="N777" i="1"/>
  <c r="M777" i="1"/>
  <c r="L777" i="1"/>
  <c r="K777" i="1"/>
  <c r="J777" i="1"/>
  <c r="N776" i="1"/>
  <c r="M776" i="1"/>
  <c r="L776" i="1"/>
  <c r="K776" i="1"/>
  <c r="J776" i="1"/>
  <c r="N775" i="1"/>
  <c r="M775" i="1"/>
  <c r="L775" i="1"/>
  <c r="K775" i="1"/>
  <c r="J775" i="1"/>
  <c r="N774" i="1"/>
  <c r="M774" i="1"/>
  <c r="L774" i="1"/>
  <c r="K774" i="1"/>
  <c r="J774" i="1"/>
  <c r="N773" i="1"/>
  <c r="M773" i="1"/>
  <c r="L773" i="1"/>
  <c r="K773" i="1"/>
  <c r="J773" i="1"/>
  <c r="N772" i="1"/>
  <c r="M772" i="1"/>
  <c r="L772" i="1"/>
  <c r="K772" i="1"/>
  <c r="J772" i="1"/>
  <c r="N771" i="1"/>
  <c r="M771" i="1"/>
  <c r="L771" i="1"/>
  <c r="K771" i="1"/>
  <c r="J771" i="1"/>
  <c r="N770" i="1"/>
  <c r="M770" i="1"/>
  <c r="L770" i="1"/>
  <c r="K770" i="1"/>
  <c r="J770" i="1"/>
  <c r="N769" i="1"/>
  <c r="M769" i="1"/>
  <c r="L769" i="1"/>
  <c r="K769" i="1"/>
  <c r="J769" i="1"/>
  <c r="N768" i="1"/>
  <c r="M768" i="1"/>
  <c r="L768" i="1"/>
  <c r="K768" i="1"/>
  <c r="J768" i="1"/>
  <c r="N767" i="1"/>
  <c r="M767" i="1"/>
  <c r="L767" i="1"/>
  <c r="K767" i="1"/>
  <c r="J767" i="1"/>
  <c r="N766" i="1"/>
  <c r="M766" i="1"/>
  <c r="L766" i="1"/>
  <c r="K766" i="1"/>
  <c r="J766" i="1"/>
  <c r="N765" i="1"/>
  <c r="M765" i="1"/>
  <c r="L765" i="1"/>
  <c r="K765" i="1"/>
  <c r="J765" i="1"/>
  <c r="N764" i="1"/>
  <c r="M764" i="1"/>
  <c r="L764" i="1"/>
  <c r="K764" i="1"/>
  <c r="J764" i="1"/>
  <c r="N763" i="1"/>
  <c r="M763" i="1"/>
  <c r="L763" i="1"/>
  <c r="K763" i="1"/>
  <c r="J763" i="1"/>
  <c r="N762" i="1"/>
  <c r="M762" i="1"/>
  <c r="L762" i="1"/>
  <c r="K762" i="1"/>
  <c r="J762" i="1"/>
  <c r="N761" i="1"/>
  <c r="M761" i="1"/>
  <c r="L761" i="1"/>
  <c r="K761" i="1"/>
  <c r="J761" i="1"/>
  <c r="N760" i="1"/>
  <c r="M760" i="1"/>
  <c r="L760" i="1"/>
  <c r="K760" i="1"/>
  <c r="J760" i="1"/>
  <c r="N759" i="1"/>
  <c r="M759" i="1"/>
  <c r="L759" i="1"/>
  <c r="K759" i="1"/>
  <c r="J759" i="1"/>
  <c r="N758" i="1"/>
  <c r="M758" i="1"/>
  <c r="L758" i="1"/>
  <c r="K758" i="1"/>
  <c r="J758" i="1"/>
  <c r="N757" i="1"/>
  <c r="M757" i="1"/>
  <c r="L757" i="1"/>
  <c r="K757" i="1"/>
  <c r="J757" i="1"/>
  <c r="N756" i="1"/>
  <c r="M756" i="1"/>
  <c r="L756" i="1"/>
  <c r="K756" i="1"/>
  <c r="J756" i="1"/>
  <c r="N755" i="1"/>
  <c r="M755" i="1"/>
  <c r="L755" i="1"/>
  <c r="K755" i="1"/>
  <c r="J755" i="1"/>
  <c r="N754" i="1"/>
  <c r="M754" i="1"/>
  <c r="L754" i="1"/>
  <c r="K754" i="1"/>
  <c r="J754" i="1"/>
  <c r="N753" i="1"/>
  <c r="M753" i="1"/>
  <c r="L753" i="1"/>
  <c r="K753" i="1"/>
  <c r="J753" i="1"/>
  <c r="N752" i="1"/>
  <c r="M752" i="1"/>
  <c r="L752" i="1"/>
  <c r="K752" i="1"/>
  <c r="J752" i="1"/>
  <c r="N751" i="1"/>
  <c r="M751" i="1"/>
  <c r="L751" i="1"/>
  <c r="K751" i="1"/>
  <c r="J751" i="1"/>
  <c r="N750" i="1"/>
  <c r="M750" i="1"/>
  <c r="L750" i="1"/>
  <c r="K750" i="1"/>
  <c r="J750" i="1"/>
  <c r="N749" i="1"/>
  <c r="M749" i="1"/>
  <c r="L749" i="1"/>
  <c r="K749" i="1"/>
  <c r="J749" i="1"/>
  <c r="N748" i="1"/>
  <c r="M748" i="1"/>
  <c r="L748" i="1"/>
  <c r="K748" i="1"/>
  <c r="J748" i="1"/>
  <c r="N747" i="1"/>
  <c r="M747" i="1"/>
  <c r="L747" i="1"/>
  <c r="K747" i="1"/>
  <c r="J747" i="1"/>
  <c r="N746" i="1"/>
  <c r="M746" i="1"/>
  <c r="L746" i="1"/>
  <c r="K746" i="1"/>
  <c r="J746" i="1"/>
  <c r="N745" i="1"/>
  <c r="M745" i="1"/>
  <c r="L745" i="1"/>
  <c r="K745" i="1"/>
  <c r="J745" i="1"/>
  <c r="N744" i="1"/>
  <c r="M744" i="1"/>
  <c r="L744" i="1"/>
  <c r="K744" i="1"/>
  <c r="J744" i="1"/>
  <c r="N743" i="1"/>
  <c r="M743" i="1"/>
  <c r="L743" i="1"/>
  <c r="K743" i="1"/>
  <c r="J743" i="1"/>
  <c r="N742" i="1"/>
  <c r="M742" i="1"/>
  <c r="L742" i="1"/>
  <c r="K742" i="1"/>
  <c r="J742" i="1"/>
  <c r="N741" i="1"/>
  <c r="M741" i="1"/>
  <c r="L741" i="1"/>
  <c r="K741" i="1"/>
  <c r="J741" i="1"/>
  <c r="N740" i="1"/>
  <c r="M740" i="1"/>
  <c r="L740" i="1"/>
  <c r="K740" i="1"/>
  <c r="J740" i="1"/>
  <c r="N739" i="1"/>
  <c r="M739" i="1"/>
  <c r="L739" i="1"/>
  <c r="K739" i="1"/>
  <c r="J739" i="1"/>
  <c r="N738" i="1"/>
  <c r="M738" i="1"/>
  <c r="L738" i="1"/>
  <c r="K738" i="1"/>
  <c r="J738" i="1"/>
  <c r="N737" i="1"/>
  <c r="M737" i="1"/>
  <c r="L737" i="1"/>
  <c r="K737" i="1"/>
  <c r="J737" i="1"/>
  <c r="N736" i="1"/>
  <c r="M736" i="1"/>
  <c r="L736" i="1"/>
  <c r="K736" i="1"/>
  <c r="J736" i="1"/>
  <c r="N735" i="1"/>
  <c r="M735" i="1"/>
  <c r="L735" i="1"/>
  <c r="K735" i="1"/>
  <c r="J735" i="1"/>
  <c r="N734" i="1"/>
  <c r="M734" i="1"/>
  <c r="L734" i="1"/>
  <c r="K734" i="1"/>
  <c r="J734" i="1"/>
  <c r="N733" i="1"/>
  <c r="M733" i="1"/>
  <c r="L733" i="1"/>
  <c r="K733" i="1"/>
  <c r="J733" i="1"/>
  <c r="N732" i="1"/>
  <c r="M732" i="1"/>
  <c r="L732" i="1"/>
  <c r="K732" i="1"/>
  <c r="J732" i="1"/>
  <c r="N731" i="1"/>
  <c r="M731" i="1"/>
  <c r="L731" i="1"/>
  <c r="K731" i="1"/>
  <c r="J731" i="1"/>
  <c r="N730" i="1"/>
  <c r="M730" i="1"/>
  <c r="L730" i="1"/>
  <c r="K730" i="1"/>
  <c r="J730" i="1"/>
  <c r="N729" i="1"/>
  <c r="M729" i="1"/>
  <c r="L729" i="1"/>
  <c r="K729" i="1"/>
  <c r="J729" i="1"/>
  <c r="N728" i="1"/>
  <c r="M728" i="1"/>
  <c r="L728" i="1"/>
  <c r="K728" i="1"/>
  <c r="J728" i="1"/>
  <c r="N727" i="1"/>
  <c r="M727" i="1"/>
  <c r="L727" i="1"/>
  <c r="K727" i="1"/>
  <c r="J727" i="1"/>
  <c r="N726" i="1"/>
  <c r="M726" i="1"/>
  <c r="L726" i="1"/>
  <c r="K726" i="1"/>
  <c r="J726" i="1"/>
  <c r="N725" i="1"/>
  <c r="M725" i="1"/>
  <c r="L725" i="1"/>
  <c r="K725" i="1"/>
  <c r="J725" i="1"/>
  <c r="N724" i="1"/>
  <c r="M724" i="1"/>
  <c r="L724" i="1"/>
  <c r="K724" i="1"/>
  <c r="J724" i="1"/>
  <c r="N723" i="1"/>
  <c r="M723" i="1"/>
  <c r="L723" i="1"/>
  <c r="K723" i="1"/>
  <c r="J723" i="1"/>
  <c r="N722" i="1"/>
  <c r="M722" i="1"/>
  <c r="L722" i="1"/>
  <c r="K722" i="1"/>
  <c r="J722" i="1"/>
  <c r="N721" i="1"/>
  <c r="M721" i="1"/>
  <c r="L721" i="1"/>
  <c r="K721" i="1"/>
  <c r="J721" i="1"/>
  <c r="N720" i="1"/>
  <c r="M720" i="1"/>
  <c r="L720" i="1"/>
  <c r="K720" i="1"/>
  <c r="J720" i="1"/>
  <c r="N719" i="1"/>
  <c r="M719" i="1"/>
  <c r="L719" i="1"/>
  <c r="K719" i="1"/>
  <c r="J719" i="1"/>
  <c r="N718" i="1"/>
  <c r="M718" i="1"/>
  <c r="L718" i="1"/>
  <c r="K718" i="1"/>
  <c r="J718" i="1"/>
  <c r="N717" i="1"/>
  <c r="M717" i="1"/>
  <c r="L717" i="1"/>
  <c r="K717" i="1"/>
  <c r="J717" i="1"/>
  <c r="N716" i="1"/>
  <c r="M716" i="1"/>
  <c r="L716" i="1"/>
  <c r="K716" i="1"/>
  <c r="J716" i="1"/>
  <c r="N715" i="1"/>
  <c r="M715" i="1"/>
  <c r="L715" i="1"/>
  <c r="K715" i="1"/>
  <c r="J715" i="1"/>
  <c r="N714" i="1"/>
  <c r="M714" i="1"/>
  <c r="L714" i="1"/>
  <c r="K714" i="1"/>
  <c r="J714" i="1"/>
  <c r="N713" i="1"/>
  <c r="M713" i="1"/>
  <c r="L713" i="1"/>
  <c r="K713" i="1"/>
  <c r="J713" i="1"/>
  <c r="N712" i="1"/>
  <c r="M712" i="1"/>
  <c r="L712" i="1"/>
  <c r="K712" i="1"/>
  <c r="J712" i="1"/>
  <c r="N711" i="1"/>
  <c r="M711" i="1"/>
  <c r="L711" i="1"/>
  <c r="K711" i="1"/>
  <c r="J711" i="1"/>
  <c r="N710" i="1"/>
  <c r="M710" i="1"/>
  <c r="L710" i="1"/>
  <c r="K710" i="1"/>
  <c r="J710" i="1"/>
  <c r="N709" i="1"/>
  <c r="M709" i="1"/>
  <c r="L709" i="1"/>
  <c r="K709" i="1"/>
  <c r="J709" i="1"/>
  <c r="N708" i="1"/>
  <c r="M708" i="1"/>
  <c r="L708" i="1"/>
  <c r="K708" i="1"/>
  <c r="J708" i="1"/>
  <c r="N707" i="1"/>
  <c r="M707" i="1"/>
  <c r="L707" i="1"/>
  <c r="K707" i="1"/>
  <c r="J707" i="1"/>
  <c r="N706" i="1"/>
  <c r="M706" i="1"/>
  <c r="L706" i="1"/>
  <c r="K706" i="1"/>
  <c r="J706" i="1"/>
  <c r="N705" i="1"/>
  <c r="M705" i="1"/>
  <c r="L705" i="1"/>
  <c r="K705" i="1"/>
  <c r="J705" i="1"/>
  <c r="N704" i="1"/>
  <c r="M704" i="1"/>
  <c r="L704" i="1"/>
  <c r="K704" i="1"/>
  <c r="J704" i="1"/>
  <c r="N703" i="1"/>
  <c r="M703" i="1"/>
  <c r="L703" i="1"/>
  <c r="K703" i="1"/>
  <c r="J703" i="1"/>
  <c r="N702" i="1"/>
  <c r="M702" i="1"/>
  <c r="L702" i="1"/>
  <c r="K702" i="1"/>
  <c r="J702" i="1"/>
  <c r="N701" i="1"/>
  <c r="M701" i="1"/>
  <c r="L701" i="1"/>
  <c r="K701" i="1"/>
  <c r="J701" i="1"/>
  <c r="N700" i="1"/>
  <c r="M700" i="1"/>
  <c r="L700" i="1"/>
  <c r="K700" i="1"/>
  <c r="J700" i="1"/>
  <c r="N699" i="1"/>
  <c r="M699" i="1"/>
  <c r="L699" i="1"/>
  <c r="K699" i="1"/>
  <c r="J699" i="1"/>
  <c r="N698" i="1"/>
  <c r="M698" i="1"/>
  <c r="L698" i="1"/>
  <c r="K698" i="1"/>
  <c r="J698" i="1"/>
  <c r="N697" i="1"/>
  <c r="M697" i="1"/>
  <c r="L697" i="1"/>
  <c r="K697" i="1"/>
  <c r="J697" i="1"/>
  <c r="N696" i="1"/>
  <c r="M696" i="1"/>
  <c r="L696" i="1"/>
  <c r="K696" i="1"/>
  <c r="J696" i="1"/>
  <c r="N695" i="1"/>
  <c r="M695" i="1"/>
  <c r="L695" i="1"/>
  <c r="K695" i="1"/>
  <c r="J695" i="1"/>
  <c r="N694" i="1"/>
  <c r="M694" i="1"/>
  <c r="L694" i="1"/>
  <c r="K694" i="1"/>
  <c r="J694" i="1"/>
  <c r="N693" i="1"/>
  <c r="M693" i="1"/>
  <c r="L693" i="1"/>
  <c r="K693" i="1"/>
  <c r="J693" i="1"/>
  <c r="N692" i="1"/>
  <c r="M692" i="1"/>
  <c r="L692" i="1"/>
  <c r="K692" i="1"/>
  <c r="J692" i="1"/>
  <c r="N691" i="1"/>
  <c r="M691" i="1"/>
  <c r="L691" i="1"/>
  <c r="K691" i="1"/>
  <c r="J691" i="1"/>
  <c r="N690" i="1"/>
  <c r="M690" i="1"/>
  <c r="L690" i="1"/>
  <c r="K690" i="1"/>
  <c r="J690" i="1"/>
  <c r="N689" i="1"/>
  <c r="M689" i="1"/>
  <c r="L689" i="1"/>
  <c r="K689" i="1"/>
  <c r="J689" i="1"/>
  <c r="N688" i="1"/>
  <c r="M688" i="1"/>
  <c r="L688" i="1"/>
  <c r="K688" i="1"/>
  <c r="J688" i="1"/>
  <c r="N687" i="1"/>
  <c r="M687" i="1"/>
  <c r="L687" i="1"/>
  <c r="K687" i="1"/>
  <c r="J687" i="1"/>
  <c r="N686" i="1"/>
  <c r="M686" i="1"/>
  <c r="L686" i="1"/>
  <c r="K686" i="1"/>
  <c r="J686" i="1"/>
  <c r="N685" i="1"/>
  <c r="M685" i="1"/>
  <c r="L685" i="1"/>
  <c r="K685" i="1"/>
  <c r="J685" i="1"/>
  <c r="N684" i="1"/>
  <c r="M684" i="1"/>
  <c r="L684" i="1"/>
  <c r="K684" i="1"/>
  <c r="J684" i="1"/>
  <c r="N683" i="1"/>
  <c r="M683" i="1"/>
  <c r="L683" i="1"/>
  <c r="K683" i="1"/>
  <c r="J683" i="1"/>
  <c r="N682" i="1"/>
  <c r="M682" i="1"/>
  <c r="L682" i="1"/>
  <c r="K682" i="1"/>
  <c r="J682" i="1"/>
  <c r="N681" i="1"/>
  <c r="M681" i="1"/>
  <c r="L681" i="1"/>
  <c r="K681" i="1"/>
  <c r="J681" i="1"/>
  <c r="N680" i="1"/>
  <c r="M680" i="1"/>
  <c r="L680" i="1"/>
  <c r="K680" i="1"/>
  <c r="J680" i="1"/>
  <c r="N679" i="1"/>
  <c r="M679" i="1"/>
  <c r="L679" i="1"/>
  <c r="K679" i="1"/>
  <c r="J679" i="1"/>
  <c r="N678" i="1"/>
  <c r="M678" i="1"/>
  <c r="L678" i="1"/>
  <c r="K678" i="1"/>
  <c r="J678" i="1"/>
  <c r="N677" i="1"/>
  <c r="M677" i="1"/>
  <c r="L677" i="1"/>
  <c r="K677" i="1"/>
  <c r="J677" i="1"/>
  <c r="N676" i="1"/>
  <c r="M676" i="1"/>
  <c r="L676" i="1"/>
  <c r="K676" i="1"/>
  <c r="J676" i="1"/>
  <c r="N675" i="1"/>
  <c r="M675" i="1"/>
  <c r="L675" i="1"/>
  <c r="K675" i="1"/>
  <c r="J675" i="1"/>
  <c r="N674" i="1"/>
  <c r="M674" i="1"/>
  <c r="L674" i="1"/>
  <c r="K674" i="1"/>
  <c r="J674" i="1"/>
  <c r="N673" i="1"/>
  <c r="M673" i="1"/>
  <c r="L673" i="1"/>
  <c r="K673" i="1"/>
  <c r="J673" i="1"/>
  <c r="N672" i="1"/>
  <c r="M672" i="1"/>
  <c r="L672" i="1"/>
  <c r="K672" i="1"/>
  <c r="J672" i="1"/>
  <c r="N671" i="1"/>
  <c r="M671" i="1"/>
  <c r="L671" i="1"/>
  <c r="K671" i="1"/>
  <c r="J671" i="1"/>
  <c r="N670" i="1"/>
  <c r="M670" i="1"/>
  <c r="L670" i="1"/>
  <c r="K670" i="1"/>
  <c r="J670" i="1"/>
  <c r="N669" i="1"/>
  <c r="M669" i="1"/>
  <c r="L669" i="1"/>
  <c r="K669" i="1"/>
  <c r="J669" i="1"/>
  <c r="N668" i="1"/>
  <c r="M668" i="1"/>
  <c r="L668" i="1"/>
  <c r="K668" i="1"/>
  <c r="J668" i="1"/>
  <c r="N667" i="1"/>
  <c r="M667" i="1"/>
  <c r="L667" i="1"/>
  <c r="K667" i="1"/>
  <c r="J667" i="1"/>
  <c r="N666" i="1"/>
  <c r="M666" i="1"/>
  <c r="L666" i="1"/>
  <c r="K666" i="1"/>
  <c r="J666" i="1"/>
  <c r="N665" i="1"/>
  <c r="M665" i="1"/>
  <c r="L665" i="1"/>
  <c r="K665" i="1"/>
  <c r="J665" i="1"/>
  <c r="N664" i="1"/>
  <c r="M664" i="1"/>
  <c r="L664" i="1"/>
  <c r="K664" i="1"/>
  <c r="J664" i="1"/>
  <c r="N663" i="1"/>
  <c r="M663" i="1"/>
  <c r="L663" i="1"/>
  <c r="K663" i="1"/>
  <c r="J663" i="1"/>
  <c r="N662" i="1"/>
  <c r="M662" i="1"/>
  <c r="L662" i="1"/>
  <c r="K662" i="1"/>
  <c r="J662" i="1"/>
  <c r="N661" i="1"/>
  <c r="M661" i="1"/>
  <c r="L661" i="1"/>
  <c r="K661" i="1"/>
  <c r="J661" i="1"/>
  <c r="N660" i="1"/>
  <c r="M660" i="1"/>
  <c r="L660" i="1"/>
  <c r="K660" i="1"/>
  <c r="J660" i="1"/>
  <c r="N659" i="1"/>
  <c r="M659" i="1"/>
  <c r="L659" i="1"/>
  <c r="K659" i="1"/>
  <c r="J659" i="1"/>
  <c r="N658" i="1"/>
  <c r="M658" i="1"/>
  <c r="L658" i="1"/>
  <c r="K658" i="1"/>
  <c r="J658" i="1"/>
  <c r="N657" i="1"/>
  <c r="M657" i="1"/>
  <c r="L657" i="1"/>
  <c r="K657" i="1"/>
  <c r="J657" i="1"/>
  <c r="N656" i="1"/>
  <c r="M656" i="1"/>
  <c r="L656" i="1"/>
  <c r="K656" i="1"/>
  <c r="J656" i="1"/>
  <c r="N655" i="1"/>
  <c r="M655" i="1"/>
  <c r="L655" i="1"/>
  <c r="K655" i="1"/>
  <c r="J655" i="1"/>
  <c r="N654" i="1"/>
  <c r="M654" i="1"/>
  <c r="L654" i="1"/>
  <c r="K654" i="1"/>
  <c r="J654" i="1"/>
  <c r="N653" i="1"/>
  <c r="M653" i="1"/>
  <c r="L653" i="1"/>
  <c r="K653" i="1"/>
  <c r="J653" i="1"/>
  <c r="N652" i="1"/>
  <c r="M652" i="1"/>
  <c r="L652" i="1"/>
  <c r="K652" i="1"/>
  <c r="J652" i="1"/>
  <c r="N651" i="1"/>
  <c r="M651" i="1"/>
  <c r="L651" i="1"/>
  <c r="K651" i="1"/>
  <c r="J651" i="1"/>
  <c r="N650" i="1"/>
  <c r="M650" i="1"/>
  <c r="L650" i="1"/>
  <c r="K650" i="1"/>
  <c r="J650" i="1"/>
  <c r="N649" i="1"/>
  <c r="M649" i="1"/>
  <c r="L649" i="1"/>
  <c r="K649" i="1"/>
  <c r="J649" i="1"/>
  <c r="N648" i="1"/>
  <c r="M648" i="1"/>
  <c r="L648" i="1"/>
  <c r="K648" i="1"/>
  <c r="J648" i="1"/>
  <c r="N647" i="1"/>
  <c r="M647" i="1"/>
  <c r="L647" i="1"/>
  <c r="K647" i="1"/>
  <c r="J647" i="1"/>
  <c r="N646" i="1"/>
  <c r="M646" i="1"/>
  <c r="L646" i="1"/>
  <c r="K646" i="1"/>
  <c r="J646" i="1"/>
  <c r="N645" i="1"/>
  <c r="M645" i="1"/>
  <c r="L645" i="1"/>
  <c r="K645" i="1"/>
  <c r="J645" i="1"/>
  <c r="N644" i="1"/>
  <c r="M644" i="1"/>
  <c r="L644" i="1"/>
  <c r="K644" i="1"/>
  <c r="J644" i="1"/>
  <c r="N643" i="1"/>
  <c r="M643" i="1"/>
  <c r="L643" i="1"/>
  <c r="K643" i="1"/>
  <c r="J643" i="1"/>
  <c r="N642" i="1"/>
  <c r="M642" i="1"/>
  <c r="L642" i="1"/>
  <c r="K642" i="1"/>
  <c r="J642" i="1"/>
  <c r="N641" i="1"/>
  <c r="M641" i="1"/>
  <c r="L641" i="1"/>
  <c r="K641" i="1"/>
  <c r="J641" i="1"/>
  <c r="N640" i="1"/>
  <c r="M640" i="1"/>
  <c r="L640" i="1"/>
  <c r="K640" i="1"/>
  <c r="J640" i="1"/>
  <c r="N639" i="1"/>
  <c r="M639" i="1"/>
  <c r="L639" i="1"/>
  <c r="K639" i="1"/>
  <c r="J639" i="1"/>
  <c r="N638" i="1"/>
  <c r="M638" i="1"/>
  <c r="L638" i="1"/>
  <c r="K638" i="1"/>
  <c r="J638" i="1"/>
  <c r="N637" i="1"/>
  <c r="M637" i="1"/>
  <c r="L637" i="1"/>
  <c r="K637" i="1"/>
  <c r="J637" i="1"/>
  <c r="N636" i="1"/>
  <c r="M636" i="1"/>
  <c r="L636" i="1"/>
  <c r="K636" i="1"/>
  <c r="J636" i="1"/>
  <c r="N635" i="1"/>
  <c r="M635" i="1"/>
  <c r="L635" i="1"/>
  <c r="K635" i="1"/>
  <c r="J635" i="1"/>
  <c r="N634" i="1"/>
  <c r="M634" i="1"/>
  <c r="L634" i="1"/>
  <c r="K634" i="1"/>
  <c r="J634" i="1"/>
  <c r="N633" i="1"/>
  <c r="M633" i="1"/>
  <c r="L633" i="1"/>
  <c r="K633" i="1"/>
  <c r="J633" i="1"/>
  <c r="N632" i="1"/>
  <c r="M632" i="1"/>
  <c r="L632" i="1"/>
  <c r="K632" i="1"/>
  <c r="J632" i="1"/>
  <c r="N631" i="1"/>
  <c r="M631" i="1"/>
  <c r="L631" i="1"/>
  <c r="K631" i="1"/>
  <c r="J631" i="1"/>
  <c r="N630" i="1"/>
  <c r="M630" i="1"/>
  <c r="L630" i="1"/>
  <c r="K630" i="1"/>
  <c r="J630" i="1"/>
  <c r="N629" i="1"/>
  <c r="M629" i="1"/>
  <c r="L629" i="1"/>
  <c r="K629" i="1"/>
  <c r="J629" i="1"/>
  <c r="N628" i="1"/>
  <c r="M628" i="1"/>
  <c r="L628" i="1"/>
  <c r="K628" i="1"/>
  <c r="J628" i="1"/>
  <c r="N627" i="1"/>
  <c r="M627" i="1"/>
  <c r="L627" i="1"/>
  <c r="K627" i="1"/>
  <c r="J627" i="1"/>
  <c r="N626" i="1"/>
  <c r="M626" i="1"/>
  <c r="L626" i="1"/>
  <c r="K626" i="1"/>
  <c r="J626" i="1"/>
  <c r="N625" i="1"/>
  <c r="M625" i="1"/>
  <c r="L625" i="1"/>
  <c r="K625" i="1"/>
  <c r="J625" i="1"/>
  <c r="N624" i="1"/>
  <c r="M624" i="1"/>
  <c r="L624" i="1"/>
  <c r="K624" i="1"/>
  <c r="J624" i="1"/>
  <c r="N623" i="1"/>
  <c r="M623" i="1"/>
  <c r="L623" i="1"/>
  <c r="K623" i="1"/>
  <c r="J623" i="1"/>
  <c r="N622" i="1"/>
  <c r="M622" i="1"/>
  <c r="L622" i="1"/>
  <c r="K622" i="1"/>
  <c r="J622" i="1"/>
  <c r="N621" i="1"/>
  <c r="M621" i="1"/>
  <c r="L621" i="1"/>
  <c r="K621" i="1"/>
  <c r="J621" i="1"/>
  <c r="N620" i="1"/>
  <c r="M620" i="1"/>
  <c r="L620" i="1"/>
  <c r="K620" i="1"/>
  <c r="J620" i="1"/>
  <c r="N619" i="1"/>
  <c r="M619" i="1"/>
  <c r="L619" i="1"/>
  <c r="K619" i="1"/>
  <c r="J619" i="1"/>
  <c r="N618" i="1"/>
  <c r="M618" i="1"/>
  <c r="L618" i="1"/>
  <c r="K618" i="1"/>
  <c r="J618" i="1"/>
  <c r="N617" i="1"/>
  <c r="M617" i="1"/>
  <c r="L617" i="1"/>
  <c r="K617" i="1"/>
  <c r="J617" i="1"/>
  <c r="N616" i="1"/>
  <c r="M616" i="1"/>
  <c r="L616" i="1"/>
  <c r="K616" i="1"/>
  <c r="J616" i="1"/>
  <c r="N615" i="1"/>
  <c r="M615" i="1"/>
  <c r="L615" i="1"/>
  <c r="K615" i="1"/>
  <c r="J615" i="1"/>
  <c r="N614" i="1"/>
  <c r="M614" i="1"/>
  <c r="L614" i="1"/>
  <c r="K614" i="1"/>
  <c r="J614" i="1"/>
  <c r="N613" i="1"/>
  <c r="M613" i="1"/>
  <c r="L613" i="1"/>
  <c r="K613" i="1"/>
  <c r="J613" i="1"/>
  <c r="N612" i="1"/>
  <c r="M612" i="1"/>
  <c r="L612" i="1"/>
  <c r="K612" i="1"/>
  <c r="J612" i="1"/>
  <c r="N611" i="1"/>
  <c r="M611" i="1"/>
  <c r="L611" i="1"/>
  <c r="K611" i="1"/>
  <c r="J611" i="1"/>
  <c r="N610" i="1"/>
  <c r="M610" i="1"/>
  <c r="L610" i="1"/>
  <c r="K610" i="1"/>
  <c r="J610" i="1"/>
  <c r="N609" i="1"/>
  <c r="M609" i="1"/>
  <c r="L609" i="1"/>
  <c r="K609" i="1"/>
  <c r="J609" i="1"/>
  <c r="N608" i="1"/>
  <c r="M608" i="1"/>
  <c r="L608" i="1"/>
  <c r="K608" i="1"/>
  <c r="J608" i="1"/>
  <c r="N607" i="1"/>
  <c r="M607" i="1"/>
  <c r="L607" i="1"/>
  <c r="K607" i="1"/>
  <c r="J607" i="1"/>
  <c r="N606" i="1"/>
  <c r="M606" i="1"/>
  <c r="L606" i="1"/>
  <c r="K606" i="1"/>
  <c r="J606" i="1"/>
  <c r="N605" i="1"/>
  <c r="M605" i="1"/>
  <c r="L605" i="1"/>
  <c r="K605" i="1"/>
  <c r="J605" i="1"/>
  <c r="N604" i="1"/>
  <c r="M604" i="1"/>
  <c r="L604" i="1"/>
  <c r="K604" i="1"/>
  <c r="J604" i="1"/>
  <c r="N603" i="1"/>
  <c r="M603" i="1"/>
  <c r="L603" i="1"/>
  <c r="K603" i="1"/>
  <c r="J603" i="1"/>
  <c r="N602" i="1"/>
  <c r="M602" i="1"/>
  <c r="L602" i="1"/>
  <c r="K602" i="1"/>
  <c r="J602" i="1"/>
  <c r="N601" i="1"/>
  <c r="M601" i="1"/>
  <c r="L601" i="1"/>
  <c r="K601" i="1"/>
  <c r="J601" i="1"/>
  <c r="N600" i="1"/>
  <c r="M600" i="1"/>
  <c r="L600" i="1"/>
  <c r="K600" i="1"/>
  <c r="J600" i="1"/>
  <c r="N599" i="1"/>
  <c r="M599" i="1"/>
  <c r="L599" i="1"/>
  <c r="K599" i="1"/>
  <c r="J599" i="1"/>
  <c r="N598" i="1"/>
  <c r="M598" i="1"/>
  <c r="L598" i="1"/>
  <c r="K598" i="1"/>
  <c r="J598" i="1"/>
  <c r="N597" i="1"/>
  <c r="M597" i="1"/>
  <c r="L597" i="1"/>
  <c r="K597" i="1"/>
  <c r="J597" i="1"/>
  <c r="N596" i="1"/>
  <c r="M596" i="1"/>
  <c r="L596" i="1"/>
  <c r="K596" i="1"/>
  <c r="J596" i="1"/>
  <c r="N595" i="1"/>
  <c r="M595" i="1"/>
  <c r="L595" i="1"/>
  <c r="K595" i="1"/>
  <c r="J595" i="1"/>
  <c r="N594" i="1"/>
  <c r="M594" i="1"/>
  <c r="L594" i="1"/>
  <c r="K594" i="1"/>
  <c r="J594" i="1"/>
  <c r="N593" i="1"/>
  <c r="M593" i="1"/>
  <c r="L593" i="1"/>
  <c r="K593" i="1"/>
  <c r="J593" i="1"/>
  <c r="N592" i="1"/>
  <c r="M592" i="1"/>
  <c r="L592" i="1"/>
  <c r="K592" i="1"/>
  <c r="J592" i="1"/>
  <c r="N591" i="1"/>
  <c r="M591" i="1"/>
  <c r="L591" i="1"/>
  <c r="K591" i="1"/>
  <c r="J591" i="1"/>
  <c r="N590" i="1"/>
  <c r="M590" i="1"/>
  <c r="L590" i="1"/>
  <c r="K590" i="1"/>
  <c r="J590" i="1"/>
  <c r="N589" i="1"/>
  <c r="M589" i="1"/>
  <c r="L589" i="1"/>
  <c r="K589" i="1"/>
  <c r="J589" i="1"/>
  <c r="N588" i="1"/>
  <c r="M588" i="1"/>
  <c r="L588" i="1"/>
  <c r="K588" i="1"/>
  <c r="J588" i="1"/>
  <c r="N587" i="1"/>
  <c r="M587" i="1"/>
  <c r="L587" i="1"/>
  <c r="K587" i="1"/>
  <c r="J587" i="1"/>
  <c r="N586" i="1"/>
  <c r="M586" i="1"/>
  <c r="L586" i="1"/>
  <c r="K586" i="1"/>
  <c r="J586" i="1"/>
  <c r="N585" i="1"/>
  <c r="M585" i="1"/>
  <c r="L585" i="1"/>
  <c r="K585" i="1"/>
  <c r="J585" i="1"/>
  <c r="N584" i="1"/>
  <c r="M584" i="1"/>
  <c r="L584" i="1"/>
  <c r="K584" i="1"/>
  <c r="J584" i="1"/>
  <c r="N583" i="1"/>
  <c r="M583" i="1"/>
  <c r="L583" i="1"/>
  <c r="K583" i="1"/>
  <c r="J583" i="1"/>
  <c r="N582" i="1"/>
  <c r="M582" i="1"/>
  <c r="L582" i="1"/>
  <c r="K582" i="1"/>
  <c r="J582" i="1"/>
  <c r="N581" i="1"/>
  <c r="M581" i="1"/>
  <c r="L581" i="1"/>
  <c r="K581" i="1"/>
  <c r="J581" i="1"/>
  <c r="N580" i="1"/>
  <c r="M580" i="1"/>
  <c r="L580" i="1"/>
  <c r="K580" i="1"/>
  <c r="J580" i="1"/>
  <c r="N579" i="1"/>
  <c r="M579" i="1"/>
  <c r="L579" i="1"/>
  <c r="K579" i="1"/>
  <c r="J579" i="1"/>
  <c r="N578" i="1"/>
  <c r="M578" i="1"/>
  <c r="L578" i="1"/>
  <c r="K578" i="1"/>
  <c r="J578" i="1"/>
  <c r="N577" i="1"/>
  <c r="M577" i="1"/>
  <c r="L577" i="1"/>
  <c r="K577" i="1"/>
  <c r="J577" i="1"/>
  <c r="N576" i="1"/>
  <c r="M576" i="1"/>
  <c r="L576" i="1"/>
  <c r="K576" i="1"/>
  <c r="J576" i="1"/>
  <c r="N575" i="1"/>
  <c r="M575" i="1"/>
  <c r="L575" i="1"/>
  <c r="K575" i="1"/>
  <c r="J575" i="1"/>
  <c r="N574" i="1"/>
  <c r="M574" i="1"/>
  <c r="L574" i="1"/>
  <c r="K574" i="1"/>
  <c r="J574" i="1"/>
  <c r="N573" i="1"/>
  <c r="M573" i="1"/>
  <c r="L573" i="1"/>
  <c r="K573" i="1"/>
  <c r="J573" i="1"/>
  <c r="N572" i="1"/>
  <c r="M572" i="1"/>
  <c r="L572" i="1"/>
  <c r="K572" i="1"/>
  <c r="J572" i="1"/>
  <c r="N571" i="1"/>
  <c r="M571" i="1"/>
  <c r="L571" i="1"/>
  <c r="K571" i="1"/>
  <c r="J571" i="1"/>
  <c r="N570" i="1"/>
  <c r="M570" i="1"/>
  <c r="L570" i="1"/>
  <c r="K570" i="1"/>
  <c r="J570" i="1"/>
  <c r="N569" i="1"/>
  <c r="M569" i="1"/>
  <c r="L569" i="1"/>
  <c r="K569" i="1"/>
  <c r="J569" i="1"/>
  <c r="N568" i="1"/>
  <c r="M568" i="1"/>
  <c r="L568" i="1"/>
  <c r="K568" i="1"/>
  <c r="J568" i="1"/>
  <c r="N567" i="1"/>
  <c r="M567" i="1"/>
  <c r="L567" i="1"/>
  <c r="K567" i="1"/>
  <c r="J567" i="1"/>
  <c r="N566" i="1"/>
  <c r="M566" i="1"/>
  <c r="L566" i="1"/>
  <c r="K566" i="1"/>
  <c r="J566" i="1"/>
  <c r="N565" i="1"/>
  <c r="M565" i="1"/>
  <c r="L565" i="1"/>
  <c r="K565" i="1"/>
  <c r="J565" i="1"/>
  <c r="N564" i="1"/>
  <c r="M564" i="1"/>
  <c r="L564" i="1"/>
  <c r="K564" i="1"/>
  <c r="J564" i="1"/>
  <c r="N563" i="1"/>
  <c r="M563" i="1"/>
  <c r="L563" i="1"/>
  <c r="K563" i="1"/>
  <c r="J563" i="1"/>
  <c r="N562" i="1"/>
  <c r="M562" i="1"/>
  <c r="L562" i="1"/>
  <c r="K562" i="1"/>
  <c r="J562" i="1"/>
  <c r="N561" i="1"/>
  <c r="M561" i="1"/>
  <c r="L561" i="1"/>
  <c r="K561" i="1"/>
  <c r="J561" i="1"/>
  <c r="N560" i="1"/>
  <c r="M560" i="1"/>
  <c r="L560" i="1"/>
  <c r="K560" i="1"/>
  <c r="J560" i="1"/>
  <c r="N559" i="1"/>
  <c r="M559" i="1"/>
  <c r="L559" i="1"/>
  <c r="K559" i="1"/>
  <c r="J559" i="1"/>
  <c r="N558" i="1"/>
  <c r="M558" i="1"/>
  <c r="L558" i="1"/>
  <c r="K558" i="1"/>
  <c r="J558" i="1"/>
  <c r="N557" i="1"/>
  <c r="M557" i="1"/>
  <c r="L557" i="1"/>
  <c r="K557" i="1"/>
  <c r="J557" i="1"/>
  <c r="N556" i="1"/>
  <c r="M556" i="1"/>
  <c r="L556" i="1"/>
  <c r="K556" i="1"/>
  <c r="J556" i="1"/>
  <c r="N555" i="1"/>
  <c r="M555" i="1"/>
  <c r="L555" i="1"/>
  <c r="K555" i="1"/>
  <c r="J555" i="1"/>
  <c r="N554" i="1"/>
  <c r="M554" i="1"/>
  <c r="L554" i="1"/>
  <c r="K554" i="1"/>
  <c r="J554" i="1"/>
  <c r="N553" i="1"/>
  <c r="M553" i="1"/>
  <c r="L553" i="1"/>
  <c r="K553" i="1"/>
  <c r="J553" i="1"/>
  <c r="N552" i="1"/>
  <c r="M552" i="1"/>
  <c r="L552" i="1"/>
  <c r="K552" i="1"/>
  <c r="J552" i="1"/>
  <c r="N551" i="1"/>
  <c r="M551" i="1"/>
  <c r="L551" i="1"/>
  <c r="K551" i="1"/>
  <c r="J551" i="1"/>
  <c r="N550" i="1"/>
  <c r="M550" i="1"/>
  <c r="L550" i="1"/>
  <c r="K550" i="1"/>
  <c r="J550" i="1"/>
  <c r="N549" i="1"/>
  <c r="M549" i="1"/>
  <c r="L549" i="1"/>
  <c r="K549" i="1"/>
  <c r="J549" i="1"/>
  <c r="N548" i="1"/>
  <c r="M548" i="1"/>
  <c r="L548" i="1"/>
  <c r="K548" i="1"/>
  <c r="J548" i="1"/>
  <c r="N547" i="1"/>
  <c r="M547" i="1"/>
  <c r="L547" i="1"/>
  <c r="K547" i="1"/>
  <c r="J547" i="1"/>
  <c r="N546" i="1"/>
  <c r="M546" i="1"/>
  <c r="L546" i="1"/>
  <c r="K546" i="1"/>
  <c r="J546" i="1"/>
  <c r="N545" i="1"/>
  <c r="M545" i="1"/>
  <c r="L545" i="1"/>
  <c r="K545" i="1"/>
  <c r="J545" i="1"/>
  <c r="N544" i="1"/>
  <c r="M544" i="1"/>
  <c r="L544" i="1"/>
  <c r="K544" i="1"/>
  <c r="J544" i="1"/>
  <c r="N543" i="1"/>
  <c r="M543" i="1"/>
  <c r="L543" i="1"/>
  <c r="K543" i="1"/>
  <c r="J543" i="1"/>
  <c r="N542" i="1"/>
  <c r="M542" i="1"/>
  <c r="L542" i="1"/>
  <c r="K542" i="1"/>
  <c r="J542" i="1"/>
  <c r="N541" i="1"/>
  <c r="M541" i="1"/>
  <c r="L541" i="1"/>
  <c r="K541" i="1"/>
  <c r="J541" i="1"/>
  <c r="N540" i="1"/>
  <c r="M540" i="1"/>
  <c r="L540" i="1"/>
  <c r="K540" i="1"/>
  <c r="J540" i="1"/>
  <c r="N539" i="1"/>
  <c r="M539" i="1"/>
  <c r="L539" i="1"/>
  <c r="K539" i="1"/>
  <c r="J539" i="1"/>
  <c r="N538" i="1"/>
  <c r="M538" i="1"/>
  <c r="L538" i="1"/>
  <c r="K538" i="1"/>
  <c r="J538" i="1"/>
  <c r="N537" i="1"/>
  <c r="M537" i="1"/>
  <c r="L537" i="1"/>
  <c r="K537" i="1"/>
  <c r="J537" i="1"/>
  <c r="N536" i="1"/>
  <c r="M536" i="1"/>
  <c r="L536" i="1"/>
  <c r="K536" i="1"/>
  <c r="J536" i="1"/>
  <c r="N535" i="1"/>
  <c r="M535" i="1"/>
  <c r="L535" i="1"/>
  <c r="K535" i="1"/>
  <c r="J535" i="1"/>
  <c r="N534" i="1"/>
  <c r="M534" i="1"/>
  <c r="L534" i="1"/>
  <c r="K534" i="1"/>
  <c r="J534" i="1"/>
  <c r="N533" i="1"/>
  <c r="M533" i="1"/>
  <c r="L533" i="1"/>
  <c r="K533" i="1"/>
  <c r="J533" i="1"/>
  <c r="N532" i="1"/>
  <c r="M532" i="1"/>
  <c r="L532" i="1"/>
  <c r="K532" i="1"/>
  <c r="J532" i="1"/>
  <c r="N531" i="1"/>
  <c r="M531" i="1"/>
  <c r="L531" i="1"/>
  <c r="K531" i="1"/>
  <c r="J531" i="1"/>
  <c r="N530" i="1"/>
  <c r="M530" i="1"/>
  <c r="L530" i="1"/>
  <c r="K530" i="1"/>
  <c r="J530" i="1"/>
  <c r="N529" i="1"/>
  <c r="M529" i="1"/>
  <c r="L529" i="1"/>
  <c r="K529" i="1"/>
  <c r="J529" i="1"/>
  <c r="N528" i="1"/>
  <c r="M528" i="1"/>
  <c r="L528" i="1"/>
  <c r="K528" i="1"/>
  <c r="J528" i="1"/>
  <c r="N527" i="1"/>
  <c r="M527" i="1"/>
  <c r="L527" i="1"/>
  <c r="K527" i="1"/>
  <c r="J527" i="1"/>
  <c r="N526" i="1"/>
  <c r="M526" i="1"/>
  <c r="L526" i="1"/>
  <c r="K526" i="1"/>
  <c r="J526" i="1"/>
  <c r="N525" i="1"/>
  <c r="M525" i="1"/>
  <c r="L525" i="1"/>
  <c r="K525" i="1"/>
  <c r="J525" i="1"/>
  <c r="N524" i="1"/>
  <c r="M524" i="1"/>
  <c r="L524" i="1"/>
  <c r="K524" i="1"/>
  <c r="J524" i="1"/>
  <c r="N523" i="1"/>
  <c r="M523" i="1"/>
  <c r="L523" i="1"/>
  <c r="K523" i="1"/>
  <c r="J523" i="1"/>
  <c r="N522" i="1"/>
  <c r="M522" i="1"/>
  <c r="L522" i="1"/>
  <c r="K522" i="1"/>
  <c r="J522" i="1"/>
  <c r="N521" i="1"/>
  <c r="M521" i="1"/>
  <c r="L521" i="1"/>
  <c r="K521" i="1"/>
  <c r="J521" i="1"/>
  <c r="N520" i="1"/>
  <c r="M520" i="1"/>
  <c r="L520" i="1"/>
  <c r="K520" i="1"/>
  <c r="J520" i="1"/>
  <c r="N519" i="1"/>
  <c r="M519" i="1"/>
  <c r="L519" i="1"/>
  <c r="K519" i="1"/>
  <c r="J519" i="1"/>
  <c r="N518" i="1"/>
  <c r="M518" i="1"/>
  <c r="L518" i="1"/>
  <c r="K518" i="1"/>
  <c r="J518" i="1"/>
  <c r="N517" i="1"/>
  <c r="M517" i="1"/>
  <c r="L517" i="1"/>
  <c r="K517" i="1"/>
  <c r="J517" i="1"/>
  <c r="N516" i="1"/>
  <c r="M516" i="1"/>
  <c r="L516" i="1"/>
  <c r="K516" i="1"/>
  <c r="J516" i="1"/>
  <c r="N515" i="1"/>
  <c r="M515" i="1"/>
  <c r="L515" i="1"/>
  <c r="K515" i="1"/>
  <c r="J515" i="1"/>
  <c r="N514" i="1"/>
  <c r="M514" i="1"/>
  <c r="L514" i="1"/>
  <c r="K514" i="1"/>
  <c r="J514" i="1"/>
  <c r="N513" i="1"/>
  <c r="M513" i="1"/>
  <c r="L513" i="1"/>
  <c r="K513" i="1"/>
  <c r="J513" i="1"/>
  <c r="N512" i="1"/>
  <c r="M512" i="1"/>
  <c r="L512" i="1"/>
  <c r="K512" i="1"/>
  <c r="J512" i="1"/>
  <c r="N511" i="1"/>
  <c r="M511" i="1"/>
  <c r="L511" i="1"/>
  <c r="K511" i="1"/>
  <c r="J511" i="1"/>
  <c r="N510" i="1"/>
  <c r="M510" i="1"/>
  <c r="L510" i="1"/>
  <c r="K510" i="1"/>
  <c r="J510" i="1"/>
  <c r="N509" i="1"/>
  <c r="M509" i="1"/>
  <c r="L509" i="1"/>
  <c r="K509" i="1"/>
  <c r="J509" i="1"/>
  <c r="N508" i="1"/>
  <c r="M508" i="1"/>
  <c r="L508" i="1"/>
  <c r="K508" i="1"/>
  <c r="J508" i="1"/>
  <c r="N507" i="1"/>
  <c r="M507" i="1"/>
  <c r="L507" i="1"/>
  <c r="K507" i="1"/>
  <c r="J507" i="1"/>
  <c r="N506" i="1"/>
  <c r="M506" i="1"/>
  <c r="L506" i="1"/>
  <c r="K506" i="1"/>
  <c r="J506" i="1"/>
  <c r="N505" i="1"/>
  <c r="M505" i="1"/>
  <c r="L505" i="1"/>
  <c r="K505" i="1"/>
  <c r="J505" i="1"/>
  <c r="N504" i="1"/>
  <c r="M504" i="1"/>
  <c r="L504" i="1"/>
  <c r="K504" i="1"/>
  <c r="J504" i="1"/>
  <c r="N503" i="1"/>
  <c r="M503" i="1"/>
  <c r="L503" i="1"/>
  <c r="K503" i="1"/>
  <c r="J503" i="1"/>
  <c r="N502" i="1"/>
  <c r="M502" i="1"/>
  <c r="L502" i="1"/>
  <c r="K502" i="1"/>
  <c r="J502" i="1"/>
  <c r="N501" i="1"/>
  <c r="M501" i="1"/>
  <c r="L501" i="1"/>
  <c r="K501" i="1"/>
  <c r="J501" i="1"/>
  <c r="N500" i="1"/>
  <c r="M500" i="1"/>
  <c r="L500" i="1"/>
  <c r="K500" i="1"/>
  <c r="J500" i="1"/>
  <c r="N499" i="1"/>
  <c r="M499" i="1"/>
  <c r="L499" i="1"/>
  <c r="K499" i="1"/>
  <c r="J499" i="1"/>
  <c r="N498" i="1"/>
  <c r="M498" i="1"/>
  <c r="L498" i="1"/>
  <c r="K498" i="1"/>
  <c r="J498" i="1"/>
  <c r="N497" i="1"/>
  <c r="M497" i="1"/>
  <c r="L497" i="1"/>
  <c r="K497" i="1"/>
  <c r="J497" i="1"/>
  <c r="N496" i="1"/>
  <c r="M496" i="1"/>
  <c r="L496" i="1"/>
  <c r="K496" i="1"/>
  <c r="J496" i="1"/>
  <c r="N495" i="1"/>
  <c r="M495" i="1"/>
  <c r="L495" i="1"/>
  <c r="K495" i="1"/>
  <c r="J495" i="1"/>
  <c r="N494" i="1"/>
  <c r="M494" i="1"/>
  <c r="L494" i="1"/>
  <c r="K494" i="1"/>
  <c r="J494" i="1"/>
  <c r="N493" i="1"/>
  <c r="M493" i="1"/>
  <c r="L493" i="1"/>
  <c r="K493" i="1"/>
  <c r="J493" i="1"/>
  <c r="N492" i="1"/>
  <c r="M492" i="1"/>
  <c r="L492" i="1"/>
  <c r="K492" i="1"/>
  <c r="J492" i="1"/>
  <c r="N491" i="1"/>
  <c r="M491" i="1"/>
  <c r="L491" i="1"/>
  <c r="K491" i="1"/>
  <c r="J491" i="1"/>
  <c r="N490" i="1"/>
  <c r="M490" i="1"/>
  <c r="L490" i="1"/>
  <c r="K490" i="1"/>
  <c r="J490" i="1"/>
  <c r="N489" i="1"/>
  <c r="M489" i="1"/>
  <c r="L489" i="1"/>
  <c r="K489" i="1"/>
  <c r="J489" i="1"/>
  <c r="N488" i="1"/>
  <c r="M488" i="1"/>
  <c r="L488" i="1"/>
  <c r="K488" i="1"/>
  <c r="J488" i="1"/>
  <c r="N487" i="1"/>
  <c r="M487" i="1"/>
  <c r="L487" i="1"/>
  <c r="K487" i="1"/>
  <c r="J487" i="1"/>
  <c r="N486" i="1"/>
  <c r="M486" i="1"/>
  <c r="L486" i="1"/>
  <c r="K486" i="1"/>
  <c r="J486" i="1"/>
  <c r="N485" i="1"/>
  <c r="M485" i="1"/>
  <c r="L485" i="1"/>
  <c r="K485" i="1"/>
  <c r="J485" i="1"/>
  <c r="N484" i="1"/>
  <c r="M484" i="1"/>
  <c r="L484" i="1"/>
  <c r="K484" i="1"/>
  <c r="J484" i="1"/>
  <c r="N483" i="1"/>
  <c r="M483" i="1"/>
  <c r="L483" i="1"/>
  <c r="K483" i="1"/>
  <c r="J483" i="1"/>
  <c r="N482" i="1"/>
  <c r="M482" i="1"/>
  <c r="L482" i="1"/>
  <c r="K482" i="1"/>
  <c r="J482" i="1"/>
  <c r="N481" i="1"/>
  <c r="M481" i="1"/>
  <c r="L481" i="1"/>
  <c r="K481" i="1"/>
  <c r="J481" i="1"/>
  <c r="N480" i="1"/>
  <c r="M480" i="1"/>
  <c r="L480" i="1"/>
  <c r="K480" i="1"/>
  <c r="J480" i="1"/>
  <c r="N479" i="1"/>
  <c r="M479" i="1"/>
  <c r="L479" i="1"/>
  <c r="K479" i="1"/>
  <c r="J479" i="1"/>
  <c r="N478" i="1"/>
  <c r="M478" i="1"/>
  <c r="L478" i="1"/>
  <c r="K478" i="1"/>
  <c r="J478" i="1"/>
  <c r="N477" i="1"/>
  <c r="M477" i="1"/>
  <c r="L477" i="1"/>
  <c r="K477" i="1"/>
  <c r="J477" i="1"/>
  <c r="N476" i="1"/>
  <c r="M476" i="1"/>
  <c r="L476" i="1"/>
  <c r="K476" i="1"/>
  <c r="J476" i="1"/>
  <c r="N475" i="1"/>
  <c r="M475" i="1"/>
  <c r="L475" i="1"/>
  <c r="K475" i="1"/>
  <c r="J475" i="1"/>
  <c r="N474" i="1"/>
  <c r="M474" i="1"/>
  <c r="L474" i="1"/>
  <c r="K474" i="1"/>
  <c r="J474" i="1"/>
  <c r="N473" i="1"/>
  <c r="M473" i="1"/>
  <c r="L473" i="1"/>
  <c r="K473" i="1"/>
  <c r="J473" i="1"/>
  <c r="N472" i="1"/>
  <c r="M472" i="1"/>
  <c r="L472" i="1"/>
  <c r="K472" i="1"/>
  <c r="J472" i="1"/>
  <c r="N471" i="1"/>
  <c r="M471" i="1"/>
  <c r="L471" i="1"/>
  <c r="K471" i="1"/>
  <c r="J471" i="1"/>
  <c r="N470" i="1"/>
  <c r="M470" i="1"/>
  <c r="L470" i="1"/>
  <c r="K470" i="1"/>
  <c r="J470" i="1"/>
  <c r="N469" i="1"/>
  <c r="M469" i="1"/>
  <c r="L469" i="1"/>
  <c r="K469" i="1"/>
  <c r="J469" i="1"/>
  <c r="N468" i="1"/>
  <c r="M468" i="1"/>
  <c r="L468" i="1"/>
  <c r="K468" i="1"/>
  <c r="J468" i="1"/>
  <c r="N467" i="1"/>
  <c r="M467" i="1"/>
  <c r="L467" i="1"/>
  <c r="K467" i="1"/>
  <c r="J467" i="1"/>
  <c r="N466" i="1"/>
  <c r="M466" i="1"/>
  <c r="L466" i="1"/>
  <c r="K466" i="1"/>
  <c r="J466" i="1"/>
  <c r="N465" i="1"/>
  <c r="M465" i="1"/>
  <c r="L465" i="1"/>
  <c r="K465" i="1"/>
  <c r="J465" i="1"/>
  <c r="N464" i="1"/>
  <c r="M464" i="1"/>
  <c r="L464" i="1"/>
  <c r="K464" i="1"/>
  <c r="J464" i="1"/>
  <c r="N463" i="1"/>
  <c r="M463" i="1"/>
  <c r="L463" i="1"/>
  <c r="K463" i="1"/>
  <c r="J463" i="1"/>
  <c r="N462" i="1"/>
  <c r="M462" i="1"/>
  <c r="L462" i="1"/>
  <c r="K462" i="1"/>
  <c r="J462" i="1"/>
  <c r="N461" i="1"/>
  <c r="M461" i="1"/>
  <c r="L461" i="1"/>
  <c r="K461" i="1"/>
  <c r="J461" i="1"/>
  <c r="N460" i="1"/>
  <c r="M460" i="1"/>
  <c r="L460" i="1"/>
  <c r="K460" i="1"/>
  <c r="J460" i="1"/>
  <c r="N459" i="1"/>
  <c r="M459" i="1"/>
  <c r="L459" i="1"/>
  <c r="K459" i="1"/>
  <c r="J459" i="1"/>
  <c r="N458" i="1"/>
  <c r="M458" i="1"/>
  <c r="L458" i="1"/>
  <c r="K458" i="1"/>
  <c r="J458" i="1"/>
  <c r="N457" i="1"/>
  <c r="M457" i="1"/>
  <c r="L457" i="1"/>
  <c r="K457" i="1"/>
  <c r="J457" i="1"/>
  <c r="N456" i="1"/>
  <c r="M456" i="1"/>
  <c r="L456" i="1"/>
  <c r="K456" i="1"/>
  <c r="J456" i="1"/>
  <c r="N455" i="1"/>
  <c r="M455" i="1"/>
  <c r="L455" i="1"/>
  <c r="K455" i="1"/>
  <c r="J455" i="1"/>
  <c r="N454" i="1"/>
  <c r="M454" i="1"/>
  <c r="L454" i="1"/>
  <c r="K454" i="1"/>
  <c r="J454" i="1"/>
  <c r="N453" i="1"/>
  <c r="M453" i="1"/>
  <c r="L453" i="1"/>
  <c r="K453" i="1"/>
  <c r="J453" i="1"/>
  <c r="N452" i="1"/>
  <c r="M452" i="1"/>
  <c r="L452" i="1"/>
  <c r="K452" i="1"/>
  <c r="J452" i="1"/>
  <c r="N451" i="1"/>
  <c r="M451" i="1"/>
  <c r="L451" i="1"/>
  <c r="K451" i="1"/>
  <c r="J451" i="1"/>
  <c r="N450" i="1"/>
  <c r="M450" i="1"/>
  <c r="L450" i="1"/>
  <c r="K450" i="1"/>
  <c r="J450" i="1"/>
  <c r="N449" i="1"/>
  <c r="M449" i="1"/>
  <c r="L449" i="1"/>
  <c r="K449" i="1"/>
  <c r="J449" i="1"/>
  <c r="N448" i="1"/>
  <c r="M448" i="1"/>
  <c r="L448" i="1"/>
  <c r="K448" i="1"/>
  <c r="J448" i="1"/>
  <c r="N447" i="1"/>
  <c r="M447" i="1"/>
  <c r="L447" i="1"/>
  <c r="K447" i="1"/>
  <c r="J447" i="1"/>
  <c r="N446" i="1"/>
  <c r="M446" i="1"/>
  <c r="L446" i="1"/>
  <c r="K446" i="1"/>
  <c r="J446" i="1"/>
  <c r="N445" i="1"/>
  <c r="M445" i="1"/>
  <c r="L445" i="1"/>
  <c r="K445" i="1"/>
  <c r="J445" i="1"/>
  <c r="N444" i="1"/>
  <c r="M444" i="1"/>
  <c r="L444" i="1"/>
  <c r="K444" i="1"/>
  <c r="J444" i="1"/>
  <c r="N443" i="1"/>
  <c r="M443" i="1"/>
  <c r="L443" i="1"/>
  <c r="K443" i="1"/>
  <c r="J443" i="1"/>
  <c r="N442" i="1"/>
  <c r="M442" i="1"/>
  <c r="L442" i="1"/>
  <c r="K442" i="1"/>
  <c r="J442" i="1"/>
  <c r="N441" i="1"/>
  <c r="M441" i="1"/>
  <c r="L441" i="1"/>
  <c r="K441" i="1"/>
  <c r="J441" i="1"/>
  <c r="N440" i="1"/>
  <c r="M440" i="1"/>
  <c r="L440" i="1"/>
  <c r="K440" i="1"/>
  <c r="J440" i="1"/>
  <c r="N439" i="1"/>
  <c r="M439" i="1"/>
  <c r="L439" i="1"/>
  <c r="K439" i="1"/>
  <c r="J439" i="1"/>
  <c r="N438" i="1"/>
  <c r="M438" i="1"/>
  <c r="L438" i="1"/>
  <c r="K438" i="1"/>
  <c r="J438" i="1"/>
  <c r="N437" i="1"/>
  <c r="M437" i="1"/>
  <c r="L437" i="1"/>
  <c r="K437" i="1"/>
  <c r="J437" i="1"/>
  <c r="N436" i="1"/>
  <c r="M436" i="1"/>
  <c r="L436" i="1"/>
  <c r="K436" i="1"/>
  <c r="J436" i="1"/>
  <c r="N435" i="1"/>
  <c r="M435" i="1"/>
  <c r="L435" i="1"/>
  <c r="K435" i="1"/>
  <c r="J435" i="1"/>
  <c r="N434" i="1"/>
  <c r="M434" i="1"/>
  <c r="L434" i="1"/>
  <c r="K434" i="1"/>
  <c r="J434" i="1"/>
  <c r="N433" i="1"/>
  <c r="M433" i="1"/>
  <c r="L433" i="1"/>
  <c r="K433" i="1"/>
  <c r="J433" i="1"/>
  <c r="N432" i="1"/>
  <c r="M432" i="1"/>
  <c r="L432" i="1"/>
  <c r="K432" i="1"/>
  <c r="J432" i="1"/>
  <c r="N431" i="1"/>
  <c r="M431" i="1"/>
  <c r="L431" i="1"/>
  <c r="K431" i="1"/>
  <c r="J431" i="1"/>
  <c r="N430" i="1"/>
  <c r="M430" i="1"/>
  <c r="L430" i="1"/>
  <c r="K430" i="1"/>
  <c r="J430" i="1"/>
  <c r="N429" i="1"/>
  <c r="M429" i="1"/>
  <c r="L429" i="1"/>
  <c r="K429" i="1"/>
  <c r="J429" i="1"/>
  <c r="N428" i="1"/>
  <c r="M428" i="1"/>
  <c r="L428" i="1"/>
  <c r="K428" i="1"/>
  <c r="J428" i="1"/>
  <c r="N427" i="1"/>
  <c r="M427" i="1"/>
  <c r="L427" i="1"/>
  <c r="K427" i="1"/>
  <c r="J427" i="1"/>
  <c r="N426" i="1"/>
  <c r="M426" i="1"/>
  <c r="L426" i="1"/>
  <c r="K426" i="1"/>
  <c r="J426" i="1"/>
  <c r="N425" i="1"/>
  <c r="M425" i="1"/>
  <c r="L425" i="1"/>
  <c r="K425" i="1"/>
  <c r="J425" i="1"/>
  <c r="N424" i="1"/>
  <c r="M424" i="1"/>
  <c r="L424" i="1"/>
  <c r="K424" i="1"/>
  <c r="J424" i="1"/>
  <c r="N423" i="1"/>
  <c r="M423" i="1"/>
  <c r="L423" i="1"/>
  <c r="K423" i="1"/>
  <c r="J423" i="1"/>
  <c r="N422" i="1"/>
  <c r="M422" i="1"/>
  <c r="L422" i="1"/>
  <c r="K422" i="1"/>
  <c r="J422" i="1"/>
  <c r="N421" i="1"/>
  <c r="M421" i="1"/>
  <c r="L421" i="1"/>
  <c r="K421" i="1"/>
  <c r="J421" i="1"/>
  <c r="N420" i="1"/>
  <c r="M420" i="1"/>
  <c r="L420" i="1"/>
  <c r="K420" i="1"/>
  <c r="J420" i="1"/>
  <c r="N419" i="1"/>
  <c r="M419" i="1"/>
  <c r="L419" i="1"/>
  <c r="K419" i="1"/>
  <c r="J419" i="1"/>
  <c r="N418" i="1"/>
  <c r="M418" i="1"/>
  <c r="L418" i="1"/>
  <c r="K418" i="1"/>
  <c r="J418" i="1"/>
  <c r="N417" i="1"/>
  <c r="M417" i="1"/>
  <c r="L417" i="1"/>
  <c r="K417" i="1"/>
  <c r="J417" i="1"/>
  <c r="N416" i="1"/>
  <c r="M416" i="1"/>
  <c r="L416" i="1"/>
  <c r="K416" i="1"/>
  <c r="J416" i="1"/>
  <c r="N415" i="1"/>
  <c r="M415" i="1"/>
  <c r="L415" i="1"/>
  <c r="K415" i="1"/>
  <c r="J415" i="1"/>
  <c r="N414" i="1"/>
  <c r="M414" i="1"/>
  <c r="L414" i="1"/>
  <c r="K414" i="1"/>
  <c r="J414" i="1"/>
  <c r="N413" i="1"/>
  <c r="M413" i="1"/>
  <c r="L413" i="1"/>
  <c r="K413" i="1"/>
  <c r="J413" i="1"/>
  <c r="N412" i="1"/>
  <c r="M412" i="1"/>
  <c r="L412" i="1"/>
  <c r="K412" i="1"/>
  <c r="J412" i="1"/>
  <c r="N411" i="1"/>
  <c r="M411" i="1"/>
  <c r="L411" i="1"/>
  <c r="K411" i="1"/>
  <c r="J411" i="1"/>
  <c r="N410" i="1"/>
  <c r="M410" i="1"/>
  <c r="L410" i="1"/>
  <c r="K410" i="1"/>
  <c r="J410" i="1"/>
  <c r="N409" i="1"/>
  <c r="M409" i="1"/>
  <c r="L409" i="1"/>
  <c r="K409" i="1"/>
  <c r="J409" i="1"/>
  <c r="N408" i="1"/>
  <c r="M408" i="1"/>
  <c r="L408" i="1"/>
  <c r="K408" i="1"/>
  <c r="J408" i="1"/>
  <c r="N407" i="1"/>
  <c r="M407" i="1"/>
  <c r="L407" i="1"/>
  <c r="K407" i="1"/>
  <c r="J407" i="1"/>
  <c r="N406" i="1"/>
  <c r="M406" i="1"/>
  <c r="L406" i="1"/>
  <c r="K406" i="1"/>
  <c r="J406" i="1"/>
  <c r="N405" i="1"/>
  <c r="M405" i="1"/>
  <c r="L405" i="1"/>
  <c r="K405" i="1"/>
  <c r="J405" i="1"/>
  <c r="N404" i="1"/>
  <c r="M404" i="1"/>
  <c r="L404" i="1"/>
  <c r="K404" i="1"/>
  <c r="J404" i="1"/>
  <c r="N403" i="1"/>
  <c r="M403" i="1"/>
  <c r="L403" i="1"/>
  <c r="K403" i="1"/>
  <c r="J403" i="1"/>
  <c r="N402" i="1"/>
  <c r="M402" i="1"/>
  <c r="L402" i="1"/>
  <c r="K402" i="1"/>
  <c r="J402" i="1"/>
  <c r="N401" i="1"/>
  <c r="M401" i="1"/>
  <c r="L401" i="1"/>
  <c r="K401" i="1"/>
  <c r="J401" i="1"/>
  <c r="N400" i="1"/>
  <c r="M400" i="1"/>
  <c r="L400" i="1"/>
  <c r="K400" i="1"/>
  <c r="J400" i="1"/>
  <c r="N399" i="1"/>
  <c r="M399" i="1"/>
  <c r="L399" i="1"/>
  <c r="K399" i="1"/>
  <c r="J399" i="1"/>
  <c r="N398" i="1"/>
  <c r="M398" i="1"/>
  <c r="L398" i="1"/>
  <c r="K398" i="1"/>
  <c r="J398" i="1"/>
  <c r="N397" i="1"/>
  <c r="M397" i="1"/>
  <c r="L397" i="1"/>
  <c r="K397" i="1"/>
  <c r="J397" i="1"/>
  <c r="N396" i="1"/>
  <c r="M396" i="1"/>
  <c r="L396" i="1"/>
  <c r="K396" i="1"/>
  <c r="J396" i="1"/>
  <c r="N395" i="1"/>
  <c r="M395" i="1"/>
  <c r="L395" i="1"/>
  <c r="K395" i="1"/>
  <c r="J395" i="1"/>
  <c r="N394" i="1"/>
  <c r="M394" i="1"/>
  <c r="L394" i="1"/>
  <c r="K394" i="1"/>
  <c r="J394" i="1"/>
  <c r="N393" i="1"/>
  <c r="M393" i="1"/>
  <c r="L393" i="1"/>
  <c r="K393" i="1"/>
  <c r="J393" i="1"/>
  <c r="N392" i="1"/>
  <c r="M392" i="1"/>
  <c r="L392" i="1"/>
  <c r="K392" i="1"/>
  <c r="J392" i="1"/>
  <c r="N391" i="1"/>
  <c r="M391" i="1"/>
  <c r="L391" i="1"/>
  <c r="K391" i="1"/>
  <c r="J391" i="1"/>
  <c r="N390" i="1"/>
  <c r="M390" i="1"/>
  <c r="L390" i="1"/>
  <c r="K390" i="1"/>
  <c r="J390" i="1"/>
  <c r="N389" i="1"/>
  <c r="M389" i="1"/>
  <c r="L389" i="1"/>
  <c r="K389" i="1"/>
  <c r="J389" i="1"/>
  <c r="N388" i="1"/>
  <c r="M388" i="1"/>
  <c r="L388" i="1"/>
  <c r="K388" i="1"/>
  <c r="J388" i="1"/>
  <c r="N387" i="1"/>
  <c r="M387" i="1"/>
  <c r="L387" i="1"/>
  <c r="K387" i="1"/>
  <c r="J387" i="1"/>
  <c r="N386" i="1"/>
  <c r="M386" i="1"/>
  <c r="L386" i="1"/>
  <c r="K386" i="1"/>
  <c r="J386" i="1"/>
  <c r="N385" i="1"/>
  <c r="M385" i="1"/>
  <c r="L385" i="1"/>
  <c r="K385" i="1"/>
  <c r="J385" i="1"/>
  <c r="N384" i="1"/>
  <c r="M384" i="1"/>
  <c r="L384" i="1"/>
  <c r="K384" i="1"/>
  <c r="J384" i="1"/>
  <c r="N383" i="1"/>
  <c r="M383" i="1"/>
  <c r="L383" i="1"/>
  <c r="K383" i="1"/>
  <c r="J383" i="1"/>
  <c r="N382" i="1"/>
  <c r="M382" i="1"/>
  <c r="L382" i="1"/>
  <c r="K382" i="1"/>
  <c r="J382" i="1"/>
  <c r="N381" i="1"/>
  <c r="M381" i="1"/>
  <c r="L381" i="1"/>
  <c r="K381" i="1"/>
  <c r="J381" i="1"/>
  <c r="N380" i="1"/>
  <c r="M380" i="1"/>
  <c r="L380" i="1"/>
  <c r="K380" i="1"/>
  <c r="J380" i="1"/>
  <c r="N379" i="1"/>
  <c r="M379" i="1"/>
  <c r="L379" i="1"/>
  <c r="K379" i="1"/>
  <c r="J379" i="1"/>
  <c r="N378" i="1"/>
  <c r="M378" i="1"/>
  <c r="L378" i="1"/>
  <c r="K378" i="1"/>
  <c r="J378" i="1"/>
  <c r="N377" i="1"/>
  <c r="M377" i="1"/>
  <c r="L377" i="1"/>
  <c r="K377" i="1"/>
  <c r="J377" i="1"/>
  <c r="N376" i="1"/>
  <c r="M376" i="1"/>
  <c r="L376" i="1"/>
  <c r="K376" i="1"/>
  <c r="J376" i="1"/>
  <c r="N375" i="1"/>
  <c r="M375" i="1"/>
  <c r="L375" i="1"/>
  <c r="K375" i="1"/>
  <c r="J375" i="1"/>
  <c r="N374" i="1"/>
  <c r="M374" i="1"/>
  <c r="L374" i="1"/>
  <c r="K374" i="1"/>
  <c r="J374" i="1"/>
  <c r="N373" i="1"/>
  <c r="M373" i="1"/>
  <c r="L373" i="1"/>
  <c r="K373" i="1"/>
  <c r="J373" i="1"/>
  <c r="N372" i="1"/>
  <c r="M372" i="1"/>
  <c r="L372" i="1"/>
  <c r="K372" i="1"/>
  <c r="J372" i="1"/>
  <c r="N371" i="1"/>
  <c r="M371" i="1"/>
  <c r="L371" i="1"/>
  <c r="K371" i="1"/>
  <c r="J371" i="1"/>
  <c r="N370" i="1"/>
  <c r="M370" i="1"/>
  <c r="L370" i="1"/>
  <c r="K370" i="1"/>
  <c r="J370" i="1"/>
  <c r="N369" i="1"/>
  <c r="M369" i="1"/>
  <c r="L369" i="1"/>
  <c r="K369" i="1"/>
  <c r="J369" i="1"/>
  <c r="N368" i="1"/>
  <c r="M368" i="1"/>
  <c r="L368" i="1"/>
  <c r="K368" i="1"/>
  <c r="J368" i="1"/>
  <c r="N367" i="1"/>
  <c r="M367" i="1"/>
  <c r="L367" i="1"/>
  <c r="K367" i="1"/>
  <c r="J367" i="1"/>
  <c r="N366" i="1"/>
  <c r="M366" i="1"/>
  <c r="L366" i="1"/>
  <c r="K366" i="1"/>
  <c r="J366" i="1"/>
  <c r="N365" i="1"/>
  <c r="M365" i="1"/>
  <c r="L365" i="1"/>
  <c r="K365" i="1"/>
  <c r="J365" i="1"/>
  <c r="N364" i="1"/>
  <c r="M364" i="1"/>
  <c r="L364" i="1"/>
  <c r="K364" i="1"/>
  <c r="J364" i="1"/>
  <c r="N363" i="1"/>
  <c r="M363" i="1"/>
  <c r="L363" i="1"/>
  <c r="K363" i="1"/>
  <c r="J363" i="1"/>
  <c r="N362" i="1"/>
  <c r="M362" i="1"/>
  <c r="L362" i="1"/>
  <c r="K362" i="1"/>
  <c r="J362" i="1"/>
  <c r="N361" i="1"/>
  <c r="M361" i="1"/>
  <c r="L361" i="1"/>
  <c r="K361" i="1"/>
  <c r="J361" i="1"/>
  <c r="N360" i="1"/>
  <c r="M360" i="1"/>
  <c r="L360" i="1"/>
  <c r="K360" i="1"/>
  <c r="J360" i="1"/>
  <c r="N359" i="1"/>
  <c r="M359" i="1"/>
  <c r="L359" i="1"/>
  <c r="K359" i="1"/>
  <c r="J359" i="1"/>
  <c r="N358" i="1"/>
  <c r="M358" i="1"/>
  <c r="L358" i="1"/>
  <c r="K358" i="1"/>
  <c r="J358" i="1"/>
  <c r="N357" i="1"/>
  <c r="M357" i="1"/>
  <c r="L357" i="1"/>
  <c r="K357" i="1"/>
  <c r="J357" i="1"/>
  <c r="N356" i="1"/>
  <c r="M356" i="1"/>
  <c r="L356" i="1"/>
  <c r="K356" i="1"/>
  <c r="J356" i="1"/>
  <c r="N355" i="1"/>
  <c r="M355" i="1"/>
  <c r="L355" i="1"/>
  <c r="K355" i="1"/>
  <c r="J355" i="1"/>
  <c r="N354" i="1"/>
  <c r="M354" i="1"/>
  <c r="L354" i="1"/>
  <c r="K354" i="1"/>
  <c r="J354" i="1"/>
  <c r="N353" i="1"/>
  <c r="M353" i="1"/>
  <c r="L353" i="1"/>
  <c r="K353" i="1"/>
  <c r="J353" i="1"/>
  <c r="N352" i="1"/>
  <c r="M352" i="1"/>
  <c r="L352" i="1"/>
  <c r="K352" i="1"/>
  <c r="J352" i="1"/>
  <c r="N351" i="1"/>
  <c r="M351" i="1"/>
  <c r="L351" i="1"/>
  <c r="K351" i="1"/>
  <c r="J351" i="1"/>
  <c r="N350" i="1"/>
  <c r="M350" i="1"/>
  <c r="L350" i="1"/>
  <c r="K350" i="1"/>
  <c r="J350" i="1"/>
  <c r="N349" i="1"/>
  <c r="M349" i="1"/>
  <c r="L349" i="1"/>
  <c r="K349" i="1"/>
  <c r="J349" i="1"/>
  <c r="N348" i="1"/>
  <c r="M348" i="1"/>
  <c r="L348" i="1"/>
  <c r="K348" i="1"/>
  <c r="J348" i="1"/>
  <c r="N347" i="1"/>
  <c r="M347" i="1"/>
  <c r="L347" i="1"/>
  <c r="K347" i="1"/>
  <c r="J347" i="1"/>
  <c r="N346" i="1"/>
  <c r="M346" i="1"/>
  <c r="L346" i="1"/>
  <c r="K346" i="1"/>
  <c r="J346" i="1"/>
  <c r="N345" i="1"/>
  <c r="M345" i="1"/>
  <c r="L345" i="1"/>
  <c r="K345" i="1"/>
  <c r="J345" i="1"/>
  <c r="N344" i="1"/>
  <c r="M344" i="1"/>
  <c r="L344" i="1"/>
  <c r="K344" i="1"/>
  <c r="J344" i="1"/>
  <c r="N343" i="1"/>
  <c r="M343" i="1"/>
  <c r="L343" i="1"/>
  <c r="K343" i="1"/>
  <c r="J343" i="1"/>
  <c r="N342" i="1"/>
  <c r="M342" i="1"/>
  <c r="L342" i="1"/>
  <c r="K342" i="1"/>
  <c r="J342" i="1"/>
  <c r="N341" i="1"/>
  <c r="M341" i="1"/>
  <c r="L341" i="1"/>
  <c r="K341" i="1"/>
  <c r="J341" i="1"/>
  <c r="N340" i="1"/>
  <c r="M340" i="1"/>
  <c r="L340" i="1"/>
  <c r="K340" i="1"/>
  <c r="J340" i="1"/>
  <c r="N339" i="1"/>
  <c r="M339" i="1"/>
  <c r="L339" i="1"/>
  <c r="K339" i="1"/>
  <c r="J339" i="1"/>
  <c r="N338" i="1"/>
  <c r="M338" i="1"/>
  <c r="L338" i="1"/>
  <c r="K338" i="1"/>
  <c r="J338" i="1"/>
  <c r="N337" i="1"/>
  <c r="M337" i="1"/>
  <c r="L337" i="1"/>
  <c r="K337" i="1"/>
  <c r="J337" i="1"/>
  <c r="N336" i="1"/>
  <c r="M336" i="1"/>
  <c r="L336" i="1"/>
  <c r="K336" i="1"/>
  <c r="J336" i="1"/>
  <c r="N335" i="1"/>
  <c r="M335" i="1"/>
  <c r="L335" i="1"/>
  <c r="K335" i="1"/>
  <c r="J335" i="1"/>
  <c r="N334" i="1"/>
  <c r="M334" i="1"/>
  <c r="L334" i="1"/>
  <c r="K334" i="1"/>
  <c r="J334" i="1"/>
  <c r="N333" i="1"/>
  <c r="M333" i="1"/>
  <c r="L333" i="1"/>
  <c r="K333" i="1"/>
  <c r="J333" i="1"/>
  <c r="N332" i="1"/>
  <c r="M332" i="1"/>
  <c r="L332" i="1"/>
  <c r="K332" i="1"/>
  <c r="J332" i="1"/>
  <c r="N331" i="1"/>
  <c r="M331" i="1"/>
  <c r="L331" i="1"/>
  <c r="K331" i="1"/>
  <c r="J331" i="1"/>
  <c r="N330" i="1"/>
  <c r="M330" i="1"/>
  <c r="L330" i="1"/>
  <c r="K330" i="1"/>
  <c r="J330" i="1"/>
  <c r="N329" i="1"/>
  <c r="M329" i="1"/>
  <c r="L329" i="1"/>
  <c r="K329" i="1"/>
  <c r="J329" i="1"/>
  <c r="N328" i="1"/>
  <c r="M328" i="1"/>
  <c r="L328" i="1"/>
  <c r="K328" i="1"/>
  <c r="J328" i="1"/>
  <c r="N327" i="1"/>
  <c r="M327" i="1"/>
  <c r="L327" i="1"/>
  <c r="K327" i="1"/>
  <c r="J327" i="1"/>
  <c r="N326" i="1"/>
  <c r="M326" i="1"/>
  <c r="L326" i="1"/>
  <c r="K326" i="1"/>
  <c r="J326" i="1"/>
  <c r="N325" i="1"/>
  <c r="M325" i="1"/>
  <c r="L325" i="1"/>
  <c r="K325" i="1"/>
  <c r="J325" i="1"/>
  <c r="N324" i="1"/>
  <c r="M324" i="1"/>
  <c r="L324" i="1"/>
  <c r="K324" i="1"/>
  <c r="J324" i="1"/>
  <c r="N323" i="1"/>
  <c r="M323" i="1"/>
  <c r="L323" i="1"/>
  <c r="K323" i="1"/>
  <c r="J323" i="1"/>
  <c r="N322" i="1"/>
  <c r="M322" i="1"/>
  <c r="L322" i="1"/>
  <c r="K322" i="1"/>
  <c r="J322" i="1"/>
  <c r="N321" i="1"/>
  <c r="M321" i="1"/>
  <c r="L321" i="1"/>
  <c r="K321" i="1"/>
  <c r="J321" i="1"/>
  <c r="N320" i="1"/>
  <c r="M320" i="1"/>
  <c r="L320" i="1"/>
  <c r="K320" i="1"/>
  <c r="J320" i="1"/>
  <c r="N319" i="1"/>
  <c r="M319" i="1"/>
  <c r="L319" i="1"/>
  <c r="K319" i="1"/>
  <c r="J319" i="1"/>
  <c r="N318" i="1"/>
  <c r="M318" i="1"/>
  <c r="L318" i="1"/>
  <c r="K318" i="1"/>
  <c r="J318" i="1"/>
  <c r="N317" i="1"/>
  <c r="M317" i="1"/>
  <c r="L317" i="1"/>
  <c r="K317" i="1"/>
  <c r="J317" i="1"/>
  <c r="N316" i="1"/>
  <c r="M316" i="1"/>
  <c r="L316" i="1"/>
  <c r="K316" i="1"/>
  <c r="J316" i="1"/>
  <c r="N315" i="1"/>
  <c r="M315" i="1"/>
  <c r="L315" i="1"/>
  <c r="K315" i="1"/>
  <c r="J315" i="1"/>
  <c r="N314" i="1"/>
  <c r="M314" i="1"/>
  <c r="L314" i="1"/>
  <c r="K314" i="1"/>
  <c r="J314" i="1"/>
  <c r="N313" i="1"/>
  <c r="M313" i="1"/>
  <c r="L313" i="1"/>
  <c r="K313" i="1"/>
  <c r="J313" i="1"/>
  <c r="N312" i="1"/>
  <c r="M312" i="1"/>
  <c r="L312" i="1"/>
  <c r="K312" i="1"/>
  <c r="J312" i="1"/>
  <c r="N311" i="1"/>
  <c r="M311" i="1"/>
  <c r="L311" i="1"/>
  <c r="K311" i="1"/>
  <c r="J311" i="1"/>
  <c r="N310" i="1"/>
  <c r="M310" i="1"/>
  <c r="L310" i="1"/>
  <c r="K310" i="1"/>
  <c r="J310" i="1"/>
  <c r="N309" i="1"/>
  <c r="M309" i="1"/>
  <c r="L309" i="1"/>
  <c r="K309" i="1"/>
  <c r="J309" i="1"/>
  <c r="N308" i="1"/>
  <c r="M308" i="1"/>
  <c r="L308" i="1"/>
  <c r="K308" i="1"/>
  <c r="J308" i="1"/>
  <c r="N307" i="1"/>
  <c r="M307" i="1"/>
  <c r="L307" i="1"/>
  <c r="K307" i="1"/>
  <c r="J307" i="1"/>
  <c r="N306" i="1"/>
  <c r="M306" i="1"/>
  <c r="L306" i="1"/>
  <c r="K306" i="1"/>
  <c r="J306" i="1"/>
  <c r="N305" i="1"/>
  <c r="M305" i="1"/>
  <c r="L305" i="1"/>
  <c r="K305" i="1"/>
  <c r="J305" i="1"/>
  <c r="N304" i="1"/>
  <c r="M304" i="1"/>
  <c r="L304" i="1"/>
  <c r="K304" i="1"/>
  <c r="J304" i="1"/>
  <c r="N303" i="1"/>
  <c r="M303" i="1"/>
  <c r="L303" i="1"/>
  <c r="K303" i="1"/>
  <c r="J303" i="1"/>
  <c r="N302" i="1"/>
  <c r="M302" i="1"/>
  <c r="L302" i="1"/>
  <c r="K302" i="1"/>
  <c r="J302" i="1"/>
  <c r="N301" i="1"/>
  <c r="M301" i="1"/>
  <c r="L301" i="1"/>
  <c r="K301" i="1"/>
  <c r="J301" i="1"/>
  <c r="N300" i="1"/>
  <c r="M300" i="1"/>
  <c r="L300" i="1"/>
  <c r="K300" i="1"/>
  <c r="J300" i="1"/>
  <c r="N299" i="1"/>
  <c r="M299" i="1"/>
  <c r="L299" i="1"/>
  <c r="K299" i="1"/>
  <c r="J299" i="1"/>
  <c r="N298" i="1"/>
  <c r="M298" i="1"/>
  <c r="L298" i="1"/>
  <c r="K298" i="1"/>
  <c r="J298" i="1"/>
  <c r="N297" i="1"/>
  <c r="M297" i="1"/>
  <c r="L297" i="1"/>
  <c r="K297" i="1"/>
  <c r="J297" i="1"/>
  <c r="N296" i="1"/>
  <c r="M296" i="1"/>
  <c r="L296" i="1"/>
  <c r="K296" i="1"/>
  <c r="J296" i="1"/>
  <c r="N295" i="1"/>
  <c r="M295" i="1"/>
  <c r="L295" i="1"/>
  <c r="K295" i="1"/>
  <c r="J295" i="1"/>
  <c r="N294" i="1"/>
  <c r="M294" i="1"/>
  <c r="L294" i="1"/>
  <c r="K294" i="1"/>
  <c r="J294" i="1"/>
  <c r="N293" i="1"/>
  <c r="M293" i="1"/>
  <c r="L293" i="1"/>
  <c r="K293" i="1"/>
  <c r="J293" i="1"/>
  <c r="N292" i="1"/>
  <c r="M292" i="1"/>
  <c r="L292" i="1"/>
  <c r="K292" i="1"/>
  <c r="J292" i="1"/>
  <c r="N291" i="1"/>
  <c r="M291" i="1"/>
  <c r="L291" i="1"/>
  <c r="K291" i="1"/>
  <c r="J291" i="1"/>
  <c r="N290" i="1"/>
  <c r="M290" i="1"/>
  <c r="L290" i="1"/>
  <c r="K290" i="1"/>
  <c r="J290" i="1"/>
  <c r="N289" i="1"/>
  <c r="M289" i="1"/>
  <c r="L289" i="1"/>
  <c r="K289" i="1"/>
  <c r="J289" i="1"/>
  <c r="N288" i="1"/>
  <c r="M288" i="1"/>
  <c r="L288" i="1"/>
  <c r="K288" i="1"/>
  <c r="J288" i="1"/>
  <c r="N287" i="1"/>
  <c r="M287" i="1"/>
  <c r="L287" i="1"/>
  <c r="K287" i="1"/>
  <c r="J287" i="1"/>
  <c r="N286" i="1"/>
  <c r="M286" i="1"/>
  <c r="L286" i="1"/>
  <c r="K286" i="1"/>
  <c r="J286" i="1"/>
  <c r="N285" i="1"/>
  <c r="M285" i="1"/>
  <c r="L285" i="1"/>
  <c r="K285" i="1"/>
  <c r="J285" i="1"/>
  <c r="N284" i="1"/>
  <c r="M284" i="1"/>
  <c r="L284" i="1"/>
  <c r="K284" i="1"/>
  <c r="J284" i="1"/>
  <c r="N283" i="1"/>
  <c r="M283" i="1"/>
  <c r="L283" i="1"/>
  <c r="K283" i="1"/>
  <c r="J283" i="1"/>
  <c r="N282" i="1"/>
  <c r="M282" i="1"/>
  <c r="L282" i="1"/>
  <c r="K282" i="1"/>
  <c r="J282" i="1"/>
  <c r="N281" i="1"/>
  <c r="M281" i="1"/>
  <c r="L281" i="1"/>
  <c r="K281" i="1"/>
  <c r="J281" i="1"/>
  <c r="N280" i="1"/>
  <c r="M280" i="1"/>
  <c r="L280" i="1"/>
  <c r="K280" i="1"/>
  <c r="J280" i="1"/>
  <c r="N279" i="1"/>
  <c r="M279" i="1"/>
  <c r="L279" i="1"/>
  <c r="K279" i="1"/>
  <c r="J279" i="1"/>
  <c r="N278" i="1"/>
  <c r="M278" i="1"/>
  <c r="L278" i="1"/>
  <c r="K278" i="1"/>
  <c r="J278" i="1"/>
  <c r="N277" i="1"/>
  <c r="M277" i="1"/>
  <c r="L277" i="1"/>
  <c r="K277" i="1"/>
  <c r="J277" i="1"/>
  <c r="N276" i="1"/>
  <c r="M276" i="1"/>
  <c r="L276" i="1"/>
  <c r="K276" i="1"/>
  <c r="J276" i="1"/>
  <c r="N275" i="1"/>
  <c r="M275" i="1"/>
  <c r="L275" i="1"/>
  <c r="K275" i="1"/>
  <c r="J275" i="1"/>
  <c r="N274" i="1"/>
  <c r="M274" i="1"/>
  <c r="L274" i="1"/>
  <c r="K274" i="1"/>
  <c r="J274" i="1"/>
  <c r="N273" i="1"/>
  <c r="M273" i="1"/>
  <c r="L273" i="1"/>
  <c r="K273" i="1"/>
  <c r="J273" i="1"/>
  <c r="N272" i="1"/>
  <c r="M272" i="1"/>
  <c r="L272" i="1"/>
  <c r="K272" i="1"/>
  <c r="J272" i="1"/>
  <c r="N271" i="1"/>
  <c r="M271" i="1"/>
  <c r="L271" i="1"/>
  <c r="K271" i="1"/>
  <c r="J271" i="1"/>
  <c r="N270" i="1"/>
  <c r="M270" i="1"/>
  <c r="L270" i="1"/>
  <c r="K270" i="1"/>
  <c r="J270" i="1"/>
  <c r="N269" i="1"/>
  <c r="M269" i="1"/>
  <c r="L269" i="1"/>
  <c r="K269" i="1"/>
  <c r="J269" i="1"/>
  <c r="N268" i="1"/>
  <c r="M268" i="1"/>
  <c r="L268" i="1"/>
  <c r="K268" i="1"/>
  <c r="J268" i="1"/>
  <c r="N267" i="1"/>
  <c r="M267" i="1"/>
  <c r="L267" i="1"/>
  <c r="K267" i="1"/>
  <c r="J267" i="1"/>
  <c r="N266" i="1"/>
  <c r="M266" i="1"/>
  <c r="L266" i="1"/>
  <c r="K266" i="1"/>
  <c r="J266" i="1"/>
  <c r="N265" i="1"/>
  <c r="M265" i="1"/>
  <c r="L265" i="1"/>
  <c r="K265" i="1"/>
  <c r="J265" i="1"/>
  <c r="N264" i="1"/>
  <c r="M264" i="1"/>
  <c r="L264" i="1"/>
  <c r="K264" i="1"/>
  <c r="J264" i="1"/>
  <c r="N263" i="1"/>
  <c r="M263" i="1"/>
  <c r="L263" i="1"/>
  <c r="K263" i="1"/>
  <c r="J263" i="1"/>
  <c r="N262" i="1"/>
  <c r="M262" i="1"/>
  <c r="L262" i="1"/>
  <c r="K262" i="1"/>
  <c r="J262" i="1"/>
  <c r="N261" i="1"/>
  <c r="M261" i="1"/>
  <c r="L261" i="1"/>
  <c r="K261" i="1"/>
  <c r="J261" i="1"/>
  <c r="N260" i="1"/>
  <c r="M260" i="1"/>
  <c r="L260" i="1"/>
  <c r="K260" i="1"/>
  <c r="J260" i="1"/>
  <c r="N259" i="1"/>
  <c r="M259" i="1"/>
  <c r="L259" i="1"/>
  <c r="K259" i="1"/>
  <c r="J259" i="1"/>
  <c r="N258" i="1"/>
  <c r="M258" i="1"/>
  <c r="L258" i="1"/>
  <c r="K258" i="1"/>
  <c r="J258" i="1"/>
  <c r="N257" i="1"/>
  <c r="M257" i="1"/>
  <c r="L257" i="1"/>
  <c r="K257" i="1"/>
  <c r="J257" i="1"/>
  <c r="N256" i="1"/>
  <c r="M256" i="1"/>
  <c r="L256" i="1"/>
  <c r="K256" i="1"/>
  <c r="J256" i="1"/>
  <c r="N255" i="1"/>
  <c r="M255" i="1"/>
  <c r="L255" i="1"/>
  <c r="K255" i="1"/>
  <c r="J255" i="1"/>
  <c r="N254" i="1"/>
  <c r="M254" i="1"/>
  <c r="L254" i="1"/>
  <c r="K254" i="1"/>
  <c r="J254" i="1"/>
  <c r="N253" i="1"/>
  <c r="M253" i="1"/>
  <c r="L253" i="1"/>
  <c r="K253" i="1"/>
  <c r="J253" i="1"/>
  <c r="N252" i="1"/>
  <c r="M252" i="1"/>
  <c r="L252" i="1"/>
  <c r="K252" i="1"/>
  <c r="J252" i="1"/>
  <c r="N251" i="1"/>
  <c r="M251" i="1"/>
  <c r="L251" i="1"/>
  <c r="K251" i="1"/>
  <c r="J251" i="1"/>
  <c r="N250" i="1"/>
  <c r="M250" i="1"/>
  <c r="L250" i="1"/>
  <c r="K250" i="1"/>
  <c r="J250" i="1"/>
  <c r="N249" i="1"/>
  <c r="M249" i="1"/>
  <c r="L249" i="1"/>
  <c r="K249" i="1"/>
  <c r="J249" i="1"/>
  <c r="N248" i="1"/>
  <c r="M248" i="1"/>
  <c r="L248" i="1"/>
  <c r="K248" i="1"/>
  <c r="J248" i="1"/>
  <c r="N247" i="1"/>
  <c r="M247" i="1"/>
  <c r="L247" i="1"/>
  <c r="K247" i="1"/>
  <c r="J247" i="1"/>
  <c r="N246" i="1"/>
  <c r="M246" i="1"/>
  <c r="L246" i="1"/>
  <c r="K246" i="1"/>
  <c r="J246" i="1"/>
  <c r="N245" i="1"/>
  <c r="M245" i="1"/>
  <c r="L245" i="1"/>
  <c r="K245" i="1"/>
  <c r="J245" i="1"/>
  <c r="N244" i="1"/>
  <c r="M244" i="1"/>
  <c r="L244" i="1"/>
  <c r="K244" i="1"/>
  <c r="J244" i="1"/>
  <c r="N243" i="1"/>
  <c r="M243" i="1"/>
  <c r="L243" i="1"/>
  <c r="K243" i="1"/>
  <c r="J243" i="1"/>
  <c r="N242" i="1"/>
  <c r="M242" i="1"/>
  <c r="L242" i="1"/>
  <c r="K242" i="1"/>
  <c r="J242" i="1"/>
  <c r="N241" i="1"/>
  <c r="M241" i="1"/>
  <c r="L241" i="1"/>
  <c r="K241" i="1"/>
  <c r="J241" i="1"/>
  <c r="N240" i="1"/>
  <c r="M240" i="1"/>
  <c r="L240" i="1"/>
  <c r="K240" i="1"/>
  <c r="J240" i="1"/>
  <c r="N239" i="1"/>
  <c r="M239" i="1"/>
  <c r="L239" i="1"/>
  <c r="K239" i="1"/>
  <c r="J239" i="1"/>
  <c r="N238" i="1"/>
  <c r="M238" i="1"/>
  <c r="L238" i="1"/>
  <c r="K238" i="1"/>
  <c r="J238" i="1"/>
  <c r="N237" i="1"/>
  <c r="M237" i="1"/>
  <c r="L237" i="1"/>
  <c r="K237" i="1"/>
  <c r="J237" i="1"/>
  <c r="N236" i="1"/>
  <c r="M236" i="1"/>
  <c r="L236" i="1"/>
  <c r="K236" i="1"/>
  <c r="J236" i="1"/>
  <c r="N235" i="1"/>
  <c r="M235" i="1"/>
  <c r="L235" i="1"/>
  <c r="K235" i="1"/>
  <c r="J235" i="1"/>
  <c r="N234" i="1"/>
  <c r="M234" i="1"/>
  <c r="L234" i="1"/>
  <c r="K234" i="1"/>
  <c r="J234" i="1"/>
  <c r="N233" i="1"/>
  <c r="M233" i="1"/>
  <c r="L233" i="1"/>
  <c r="K233" i="1"/>
  <c r="J233" i="1"/>
  <c r="N232" i="1"/>
  <c r="M232" i="1"/>
  <c r="L232" i="1"/>
  <c r="K232" i="1"/>
  <c r="J232" i="1"/>
  <c r="N231" i="1"/>
  <c r="M231" i="1"/>
  <c r="L231" i="1"/>
  <c r="K231" i="1"/>
  <c r="J231" i="1"/>
  <c r="N230" i="1"/>
  <c r="M230" i="1"/>
  <c r="L230" i="1"/>
  <c r="K230" i="1"/>
  <c r="J230" i="1"/>
  <c r="N229" i="1"/>
  <c r="M229" i="1"/>
  <c r="L229" i="1"/>
  <c r="K229" i="1"/>
  <c r="J229" i="1"/>
  <c r="N228" i="1"/>
  <c r="M228" i="1"/>
  <c r="L228" i="1"/>
  <c r="K228" i="1"/>
  <c r="J228" i="1"/>
  <c r="N227" i="1"/>
  <c r="M227" i="1"/>
  <c r="L227" i="1"/>
  <c r="K227" i="1"/>
  <c r="J227" i="1"/>
  <c r="N226" i="1"/>
  <c r="M226" i="1"/>
  <c r="L226" i="1"/>
  <c r="K226" i="1"/>
  <c r="J226" i="1"/>
  <c r="N225" i="1"/>
  <c r="M225" i="1"/>
  <c r="L225" i="1"/>
  <c r="K225" i="1"/>
  <c r="J225" i="1"/>
  <c r="N224" i="1"/>
  <c r="M224" i="1"/>
  <c r="L224" i="1"/>
  <c r="K224" i="1"/>
  <c r="J224" i="1"/>
  <c r="N223" i="1"/>
  <c r="M223" i="1"/>
  <c r="L223" i="1"/>
  <c r="K223" i="1"/>
  <c r="J223" i="1"/>
  <c r="N222" i="1"/>
  <c r="M222" i="1"/>
  <c r="L222" i="1"/>
  <c r="K222" i="1"/>
  <c r="J222" i="1"/>
  <c r="N221" i="1"/>
  <c r="M221" i="1"/>
  <c r="L221" i="1"/>
  <c r="K221" i="1"/>
  <c r="J221" i="1"/>
  <c r="N220" i="1"/>
  <c r="M220" i="1"/>
  <c r="L220" i="1"/>
  <c r="K220" i="1"/>
  <c r="J220" i="1"/>
  <c r="N219" i="1"/>
  <c r="M219" i="1"/>
  <c r="L219" i="1"/>
  <c r="K219" i="1"/>
  <c r="J219" i="1"/>
  <c r="N218" i="1"/>
  <c r="M218" i="1"/>
  <c r="L218" i="1"/>
  <c r="K218" i="1"/>
  <c r="J218" i="1"/>
  <c r="N217" i="1"/>
  <c r="M217" i="1"/>
  <c r="L217" i="1"/>
  <c r="K217" i="1"/>
  <c r="J217" i="1"/>
  <c r="N216" i="1"/>
  <c r="M216" i="1"/>
  <c r="L216" i="1"/>
  <c r="K216" i="1"/>
  <c r="J216" i="1"/>
  <c r="N215" i="1"/>
  <c r="M215" i="1"/>
  <c r="L215" i="1"/>
  <c r="K215" i="1"/>
  <c r="J215" i="1"/>
  <c r="N214" i="1"/>
  <c r="M214" i="1"/>
  <c r="L214" i="1"/>
  <c r="K214" i="1"/>
  <c r="J214" i="1"/>
  <c r="N213" i="1"/>
  <c r="M213" i="1"/>
  <c r="L213" i="1"/>
  <c r="K213" i="1"/>
  <c r="J213" i="1"/>
  <c r="N212" i="1"/>
  <c r="M212" i="1"/>
  <c r="L212" i="1"/>
  <c r="K212" i="1"/>
  <c r="J212" i="1"/>
  <c r="N211" i="1"/>
  <c r="M211" i="1"/>
  <c r="L211" i="1"/>
  <c r="K211" i="1"/>
  <c r="J211" i="1"/>
  <c r="N210" i="1"/>
  <c r="M210" i="1"/>
  <c r="L210" i="1"/>
  <c r="K210" i="1"/>
  <c r="J210" i="1"/>
  <c r="N209" i="1"/>
  <c r="M209" i="1"/>
  <c r="L209" i="1"/>
  <c r="K209" i="1"/>
  <c r="J209" i="1"/>
  <c r="N208" i="1"/>
  <c r="M208" i="1"/>
  <c r="L208" i="1"/>
  <c r="K208" i="1"/>
  <c r="J208" i="1"/>
  <c r="N207" i="1"/>
  <c r="M207" i="1"/>
  <c r="L207" i="1"/>
  <c r="K207" i="1"/>
  <c r="J207" i="1"/>
  <c r="N206" i="1"/>
  <c r="M206" i="1"/>
  <c r="L206" i="1"/>
  <c r="K206" i="1"/>
  <c r="J206" i="1"/>
  <c r="N205" i="1"/>
  <c r="M205" i="1"/>
  <c r="L205" i="1"/>
  <c r="K205" i="1"/>
  <c r="J205" i="1"/>
  <c r="N204" i="1"/>
  <c r="M204" i="1"/>
  <c r="L204" i="1"/>
  <c r="K204" i="1"/>
  <c r="J204" i="1"/>
  <c r="N203" i="1"/>
  <c r="M203" i="1"/>
  <c r="L203" i="1"/>
  <c r="K203" i="1"/>
  <c r="J203" i="1"/>
  <c r="N202" i="1"/>
  <c r="M202" i="1"/>
  <c r="L202" i="1"/>
  <c r="K202" i="1"/>
  <c r="J202" i="1"/>
  <c r="N201" i="1"/>
  <c r="M201" i="1"/>
  <c r="L201" i="1"/>
  <c r="K201" i="1"/>
  <c r="J201" i="1"/>
  <c r="N200" i="1"/>
  <c r="M200" i="1"/>
  <c r="L200" i="1"/>
  <c r="K200" i="1"/>
  <c r="J200" i="1"/>
  <c r="N199" i="1"/>
  <c r="M199" i="1"/>
  <c r="L199" i="1"/>
  <c r="K199" i="1"/>
  <c r="J199" i="1"/>
  <c r="N198" i="1"/>
  <c r="M198" i="1"/>
  <c r="L198" i="1"/>
  <c r="K198" i="1"/>
  <c r="J198" i="1"/>
  <c r="N197" i="1"/>
  <c r="M197" i="1"/>
  <c r="L197" i="1"/>
  <c r="K197" i="1"/>
  <c r="J197" i="1"/>
  <c r="N196" i="1"/>
  <c r="M196" i="1"/>
  <c r="L196" i="1"/>
  <c r="K196" i="1"/>
  <c r="J196" i="1"/>
  <c r="N195" i="1"/>
  <c r="M195" i="1"/>
  <c r="L195" i="1"/>
  <c r="K195" i="1"/>
  <c r="J195" i="1"/>
  <c r="N194" i="1"/>
  <c r="M194" i="1"/>
  <c r="L194" i="1"/>
  <c r="K194" i="1"/>
  <c r="J194" i="1"/>
  <c r="N193" i="1"/>
  <c r="M193" i="1"/>
  <c r="L193" i="1"/>
  <c r="K193" i="1"/>
  <c r="J193" i="1"/>
  <c r="N192" i="1"/>
  <c r="M192" i="1"/>
  <c r="L192" i="1"/>
  <c r="K192" i="1"/>
  <c r="J192" i="1"/>
  <c r="N191" i="1"/>
  <c r="M191" i="1"/>
  <c r="L191" i="1"/>
  <c r="K191" i="1"/>
  <c r="J191" i="1"/>
  <c r="N190" i="1"/>
  <c r="M190" i="1"/>
  <c r="L190" i="1"/>
  <c r="K190" i="1"/>
  <c r="J190" i="1"/>
  <c r="N189" i="1"/>
  <c r="M189" i="1"/>
  <c r="L189" i="1"/>
  <c r="K189" i="1"/>
  <c r="J189" i="1"/>
  <c r="N188" i="1"/>
  <c r="M188" i="1"/>
  <c r="L188" i="1"/>
  <c r="K188" i="1"/>
  <c r="J188" i="1"/>
  <c r="N187" i="1"/>
  <c r="M187" i="1"/>
  <c r="L187" i="1"/>
  <c r="K187" i="1"/>
  <c r="J187" i="1"/>
  <c r="N186" i="1"/>
  <c r="M186" i="1"/>
  <c r="L186" i="1"/>
  <c r="K186" i="1"/>
  <c r="J186" i="1"/>
  <c r="N185" i="1"/>
  <c r="M185" i="1"/>
  <c r="L185" i="1"/>
  <c r="K185" i="1"/>
  <c r="J185" i="1"/>
  <c r="N184" i="1"/>
  <c r="M184" i="1"/>
  <c r="L184" i="1"/>
  <c r="K184" i="1"/>
  <c r="J184" i="1"/>
  <c r="N183" i="1"/>
  <c r="M183" i="1"/>
  <c r="L183" i="1"/>
  <c r="K183" i="1"/>
  <c r="J183" i="1"/>
  <c r="N182" i="1"/>
  <c r="M182" i="1"/>
  <c r="L182" i="1"/>
  <c r="K182" i="1"/>
  <c r="J182" i="1"/>
  <c r="N181" i="1"/>
  <c r="M181" i="1"/>
  <c r="L181" i="1"/>
  <c r="K181" i="1"/>
  <c r="J181" i="1"/>
  <c r="N180" i="1"/>
  <c r="M180" i="1"/>
  <c r="L180" i="1"/>
  <c r="K180" i="1"/>
  <c r="J180" i="1"/>
  <c r="N179" i="1"/>
  <c r="M179" i="1"/>
  <c r="L179" i="1"/>
  <c r="K179" i="1"/>
  <c r="J179" i="1"/>
  <c r="N178" i="1"/>
  <c r="M178" i="1"/>
  <c r="L178" i="1"/>
  <c r="K178" i="1"/>
  <c r="J178" i="1"/>
  <c r="N177" i="1"/>
  <c r="M177" i="1"/>
  <c r="L177" i="1"/>
  <c r="K177" i="1"/>
  <c r="J177" i="1"/>
  <c r="N176" i="1"/>
  <c r="M176" i="1"/>
  <c r="L176" i="1"/>
  <c r="K176" i="1"/>
  <c r="J176" i="1"/>
  <c r="N175" i="1"/>
  <c r="M175" i="1"/>
  <c r="L175" i="1"/>
  <c r="K175" i="1"/>
  <c r="J175" i="1"/>
  <c r="N174" i="1"/>
  <c r="M174" i="1"/>
  <c r="L174" i="1"/>
  <c r="K174" i="1"/>
  <c r="J174" i="1"/>
  <c r="N173" i="1"/>
  <c r="M173" i="1"/>
  <c r="L173" i="1"/>
  <c r="K173" i="1"/>
  <c r="J173" i="1"/>
  <c r="N172" i="1"/>
  <c r="M172" i="1"/>
  <c r="L172" i="1"/>
  <c r="K172" i="1"/>
  <c r="J172" i="1"/>
  <c r="N171" i="1"/>
  <c r="M171" i="1"/>
  <c r="L171" i="1"/>
  <c r="K171" i="1"/>
  <c r="J171" i="1"/>
  <c r="N170" i="1"/>
  <c r="M170" i="1"/>
  <c r="L170" i="1"/>
  <c r="K170" i="1"/>
  <c r="J170" i="1"/>
  <c r="N169" i="1"/>
  <c r="M169" i="1"/>
  <c r="L169" i="1"/>
  <c r="K169" i="1"/>
  <c r="J169" i="1"/>
  <c r="N168" i="1"/>
  <c r="M168" i="1"/>
  <c r="L168" i="1"/>
  <c r="K168" i="1"/>
  <c r="J168" i="1"/>
  <c r="N167" i="1"/>
  <c r="M167" i="1"/>
  <c r="L167" i="1"/>
  <c r="K167" i="1"/>
  <c r="J167" i="1"/>
  <c r="N166" i="1"/>
  <c r="M166" i="1"/>
  <c r="L166" i="1"/>
  <c r="K166" i="1"/>
  <c r="J166" i="1"/>
  <c r="N165" i="1"/>
  <c r="M165" i="1"/>
  <c r="L165" i="1"/>
  <c r="K165" i="1"/>
  <c r="J165" i="1"/>
  <c r="N164" i="1"/>
  <c r="M164" i="1"/>
  <c r="L164" i="1"/>
  <c r="K164" i="1"/>
  <c r="J164" i="1"/>
  <c r="N163" i="1"/>
  <c r="M163" i="1"/>
  <c r="L163" i="1"/>
  <c r="K163" i="1"/>
  <c r="J163" i="1"/>
  <c r="N162" i="1"/>
  <c r="M162" i="1"/>
  <c r="L162" i="1"/>
  <c r="K162" i="1"/>
  <c r="J162" i="1"/>
  <c r="N161" i="1"/>
  <c r="M161" i="1"/>
  <c r="L161" i="1"/>
  <c r="K161" i="1"/>
  <c r="J161" i="1"/>
  <c r="N160" i="1"/>
  <c r="M160" i="1"/>
  <c r="L160" i="1"/>
  <c r="K160" i="1"/>
  <c r="J160" i="1"/>
  <c r="N159" i="1"/>
  <c r="M159" i="1"/>
  <c r="L159" i="1"/>
  <c r="K159" i="1"/>
  <c r="J159" i="1"/>
  <c r="N158" i="1"/>
  <c r="M158" i="1"/>
  <c r="L158" i="1"/>
  <c r="K158" i="1"/>
  <c r="J158" i="1"/>
  <c r="N157" i="1"/>
  <c r="M157" i="1"/>
  <c r="L157" i="1"/>
  <c r="K157" i="1"/>
  <c r="J157" i="1"/>
  <c r="N156" i="1"/>
  <c r="M156" i="1"/>
  <c r="L156" i="1"/>
  <c r="K156" i="1"/>
  <c r="J156" i="1"/>
  <c r="N155" i="1"/>
  <c r="M155" i="1"/>
  <c r="L155" i="1"/>
  <c r="K155" i="1"/>
  <c r="J155" i="1"/>
  <c r="N154" i="1"/>
  <c r="M154" i="1"/>
  <c r="L154" i="1"/>
  <c r="K154" i="1"/>
  <c r="J154" i="1"/>
  <c r="N153" i="1"/>
  <c r="M153" i="1"/>
  <c r="L153" i="1"/>
  <c r="K153" i="1"/>
  <c r="J153" i="1"/>
  <c r="N152" i="1"/>
  <c r="M152" i="1"/>
  <c r="L152" i="1"/>
  <c r="K152" i="1"/>
  <c r="J152" i="1"/>
  <c r="N151" i="1"/>
  <c r="M151" i="1"/>
  <c r="L151" i="1"/>
  <c r="K151" i="1"/>
  <c r="J151" i="1"/>
  <c r="N150" i="1"/>
  <c r="M150" i="1"/>
  <c r="L150" i="1"/>
  <c r="K150" i="1"/>
  <c r="J150" i="1"/>
  <c r="N149" i="1"/>
  <c r="M149" i="1"/>
  <c r="L149" i="1"/>
  <c r="K149" i="1"/>
  <c r="J149" i="1"/>
  <c r="N148" i="1"/>
  <c r="M148" i="1"/>
  <c r="L148" i="1"/>
  <c r="K148" i="1"/>
  <c r="J148" i="1"/>
  <c r="N147" i="1"/>
  <c r="M147" i="1"/>
  <c r="L147" i="1"/>
  <c r="K147" i="1"/>
  <c r="J147" i="1"/>
  <c r="N146" i="1"/>
  <c r="M146" i="1"/>
  <c r="L146" i="1"/>
  <c r="K146" i="1"/>
  <c r="J146" i="1"/>
  <c r="N145" i="1"/>
  <c r="M145" i="1"/>
  <c r="L145" i="1"/>
  <c r="K145" i="1"/>
  <c r="J145" i="1"/>
  <c r="N144" i="1"/>
  <c r="M144" i="1"/>
  <c r="L144" i="1"/>
  <c r="K144" i="1"/>
  <c r="J144" i="1"/>
  <c r="N143" i="1"/>
  <c r="M143" i="1"/>
  <c r="L143" i="1"/>
  <c r="K143" i="1"/>
  <c r="J143" i="1"/>
  <c r="N142" i="1"/>
  <c r="M142" i="1"/>
  <c r="L142" i="1"/>
  <c r="K142" i="1"/>
  <c r="J142" i="1"/>
  <c r="N141" i="1"/>
  <c r="M141" i="1"/>
  <c r="L141" i="1"/>
  <c r="K141" i="1"/>
  <c r="J141" i="1"/>
  <c r="N140" i="1"/>
  <c r="M140" i="1"/>
  <c r="L140" i="1"/>
  <c r="K140" i="1"/>
  <c r="J140" i="1"/>
  <c r="N139" i="1"/>
  <c r="M139" i="1"/>
  <c r="L139" i="1"/>
  <c r="K139" i="1"/>
  <c r="J139" i="1"/>
  <c r="N138" i="1"/>
  <c r="M138" i="1"/>
  <c r="L138" i="1"/>
  <c r="K138" i="1"/>
  <c r="J138" i="1"/>
  <c r="N137" i="1"/>
  <c r="M137" i="1"/>
  <c r="L137" i="1"/>
  <c r="K137" i="1"/>
  <c r="J137" i="1"/>
  <c r="N136" i="1"/>
  <c r="M136" i="1"/>
  <c r="L136" i="1"/>
  <c r="K136" i="1"/>
  <c r="J136" i="1"/>
  <c r="N135" i="1"/>
  <c r="M135" i="1"/>
  <c r="L135" i="1"/>
  <c r="K135" i="1"/>
  <c r="J135" i="1"/>
  <c r="N134" i="1"/>
  <c r="M134" i="1"/>
  <c r="L134" i="1"/>
  <c r="K134" i="1"/>
  <c r="J134" i="1"/>
  <c r="N133" i="1"/>
  <c r="M133" i="1"/>
  <c r="L133" i="1"/>
  <c r="K133" i="1"/>
  <c r="J133" i="1"/>
  <c r="N132" i="1"/>
  <c r="M132" i="1"/>
  <c r="L132" i="1"/>
  <c r="K132" i="1"/>
  <c r="J132" i="1"/>
  <c r="N131" i="1"/>
  <c r="M131" i="1"/>
  <c r="L131" i="1"/>
  <c r="K131" i="1"/>
  <c r="J131" i="1"/>
  <c r="N130" i="1"/>
  <c r="M130" i="1"/>
  <c r="L130" i="1"/>
  <c r="K130" i="1"/>
  <c r="J130" i="1"/>
  <c r="N129" i="1"/>
  <c r="M129" i="1"/>
  <c r="L129" i="1"/>
  <c r="K129" i="1"/>
  <c r="J129" i="1"/>
  <c r="N128" i="1"/>
  <c r="M128" i="1"/>
  <c r="L128" i="1"/>
  <c r="K128" i="1"/>
  <c r="J128" i="1"/>
  <c r="N127" i="1"/>
  <c r="M127" i="1"/>
  <c r="L127" i="1"/>
  <c r="K127" i="1"/>
  <c r="J127" i="1"/>
  <c r="N126" i="1"/>
  <c r="M126" i="1"/>
  <c r="L126" i="1"/>
  <c r="K126" i="1"/>
  <c r="J126" i="1"/>
  <c r="N125" i="1"/>
  <c r="M125" i="1"/>
  <c r="L125" i="1"/>
  <c r="K125" i="1"/>
  <c r="J125" i="1"/>
  <c r="N124" i="1"/>
  <c r="M124" i="1"/>
  <c r="L124" i="1"/>
  <c r="K124" i="1"/>
  <c r="J124" i="1"/>
  <c r="N123" i="1"/>
  <c r="M123" i="1"/>
  <c r="L123" i="1"/>
  <c r="K123" i="1"/>
  <c r="J123" i="1"/>
  <c r="N122" i="1"/>
  <c r="M122" i="1"/>
  <c r="L122" i="1"/>
  <c r="K122" i="1"/>
  <c r="J122" i="1"/>
  <c r="N121" i="1"/>
  <c r="M121" i="1"/>
  <c r="L121" i="1"/>
  <c r="K121" i="1"/>
  <c r="J121" i="1"/>
  <c r="N120" i="1"/>
  <c r="M120" i="1"/>
  <c r="L120" i="1"/>
  <c r="K120" i="1"/>
  <c r="J120" i="1"/>
  <c r="N119" i="1"/>
  <c r="M119" i="1"/>
  <c r="L119" i="1"/>
  <c r="K119" i="1"/>
  <c r="J119" i="1"/>
  <c r="N118" i="1"/>
  <c r="M118" i="1"/>
  <c r="L118" i="1"/>
  <c r="K118" i="1"/>
  <c r="J118" i="1"/>
  <c r="N117" i="1"/>
  <c r="M117" i="1"/>
  <c r="L117" i="1"/>
  <c r="K117" i="1"/>
  <c r="J117" i="1"/>
  <c r="N116" i="1"/>
  <c r="M116" i="1"/>
  <c r="L116" i="1"/>
  <c r="K116" i="1"/>
  <c r="J116" i="1"/>
  <c r="N115" i="1"/>
  <c r="M115" i="1"/>
  <c r="L115" i="1"/>
  <c r="K115" i="1"/>
  <c r="J115" i="1"/>
  <c r="N114" i="1"/>
  <c r="M114" i="1"/>
  <c r="L114" i="1"/>
  <c r="K114" i="1"/>
  <c r="J114" i="1"/>
  <c r="N113" i="1"/>
  <c r="M113" i="1"/>
  <c r="L113" i="1"/>
  <c r="K113" i="1"/>
  <c r="J113" i="1"/>
  <c r="N112" i="1"/>
  <c r="M112" i="1"/>
  <c r="L112" i="1"/>
  <c r="K112" i="1"/>
  <c r="J112" i="1"/>
  <c r="N111" i="1"/>
  <c r="M111" i="1"/>
  <c r="L111" i="1"/>
  <c r="K111" i="1"/>
  <c r="J111" i="1"/>
  <c r="N110" i="1"/>
  <c r="M110" i="1"/>
  <c r="L110" i="1"/>
  <c r="K110" i="1"/>
  <c r="J110" i="1"/>
  <c r="N109" i="1"/>
  <c r="M109" i="1"/>
  <c r="L109" i="1"/>
  <c r="K109" i="1"/>
  <c r="J109" i="1"/>
  <c r="N108" i="1"/>
  <c r="M108" i="1"/>
  <c r="L108" i="1"/>
  <c r="K108" i="1"/>
  <c r="J108" i="1"/>
  <c r="N107" i="1"/>
  <c r="M107" i="1"/>
  <c r="L107" i="1"/>
  <c r="K107" i="1"/>
  <c r="J107" i="1"/>
  <c r="N106" i="1"/>
  <c r="M106" i="1"/>
  <c r="L106" i="1"/>
  <c r="K106" i="1"/>
  <c r="J106" i="1"/>
  <c r="N105" i="1"/>
  <c r="M105" i="1"/>
  <c r="L105" i="1"/>
  <c r="K105" i="1"/>
  <c r="J105" i="1"/>
  <c r="N104" i="1"/>
  <c r="M104" i="1"/>
  <c r="L104" i="1"/>
  <c r="K104" i="1"/>
  <c r="J104" i="1"/>
  <c r="N103" i="1"/>
  <c r="M103" i="1"/>
  <c r="L103" i="1"/>
  <c r="K103" i="1"/>
  <c r="J103" i="1"/>
  <c r="N102" i="1"/>
  <c r="M102" i="1"/>
  <c r="L102" i="1"/>
  <c r="K102" i="1"/>
  <c r="J102" i="1"/>
  <c r="N101" i="1"/>
  <c r="M101" i="1"/>
  <c r="L101" i="1"/>
  <c r="K101" i="1"/>
  <c r="J101" i="1"/>
  <c r="N100" i="1"/>
  <c r="M100" i="1"/>
  <c r="L100" i="1"/>
  <c r="K100" i="1"/>
  <c r="J100" i="1"/>
  <c r="N99" i="1"/>
  <c r="M99" i="1"/>
  <c r="L99" i="1"/>
  <c r="K99" i="1"/>
  <c r="J99" i="1"/>
  <c r="N98" i="1"/>
  <c r="M98" i="1"/>
  <c r="L98" i="1"/>
  <c r="K98" i="1"/>
  <c r="J98" i="1"/>
  <c r="N97" i="1"/>
  <c r="M97" i="1"/>
  <c r="L97" i="1"/>
  <c r="K97" i="1"/>
  <c r="J97" i="1"/>
  <c r="N96" i="1"/>
  <c r="M96" i="1"/>
  <c r="L96" i="1"/>
  <c r="K96" i="1"/>
  <c r="J96" i="1"/>
  <c r="N95" i="1"/>
  <c r="M95" i="1"/>
  <c r="L95" i="1"/>
  <c r="K95" i="1"/>
  <c r="J95" i="1"/>
  <c r="N94" i="1"/>
  <c r="M94" i="1"/>
  <c r="L94" i="1"/>
  <c r="K94" i="1"/>
  <c r="J94" i="1"/>
  <c r="N93" i="1"/>
  <c r="M93" i="1"/>
  <c r="L93" i="1"/>
  <c r="K93" i="1"/>
  <c r="J93" i="1"/>
  <c r="N92" i="1"/>
  <c r="M92" i="1"/>
  <c r="L92" i="1"/>
  <c r="K92" i="1"/>
  <c r="J92" i="1"/>
  <c r="N91" i="1"/>
  <c r="M91" i="1"/>
  <c r="L91" i="1"/>
  <c r="K91" i="1"/>
  <c r="J91" i="1"/>
  <c r="N90" i="1"/>
  <c r="M90" i="1"/>
  <c r="L90" i="1"/>
  <c r="K90" i="1"/>
  <c r="J90" i="1"/>
  <c r="N89" i="1"/>
  <c r="M89" i="1"/>
  <c r="L89" i="1"/>
  <c r="K89" i="1"/>
  <c r="J89" i="1"/>
  <c r="N88" i="1"/>
  <c r="M88" i="1"/>
  <c r="L88" i="1"/>
  <c r="K88" i="1"/>
  <c r="J88" i="1"/>
  <c r="N87" i="1"/>
  <c r="M87" i="1"/>
  <c r="L87" i="1"/>
  <c r="K87" i="1"/>
  <c r="J87" i="1"/>
  <c r="N86" i="1"/>
  <c r="M86" i="1"/>
  <c r="L86" i="1"/>
  <c r="K86" i="1"/>
  <c r="J86" i="1"/>
  <c r="N85" i="1"/>
  <c r="M85" i="1"/>
  <c r="L85" i="1"/>
  <c r="K85" i="1"/>
  <c r="J85" i="1"/>
  <c r="N84" i="1"/>
  <c r="M84" i="1"/>
  <c r="L84" i="1"/>
  <c r="K84" i="1"/>
  <c r="J84" i="1"/>
  <c r="N83" i="1"/>
  <c r="M83" i="1"/>
  <c r="L83" i="1"/>
  <c r="K83" i="1"/>
  <c r="J83" i="1"/>
  <c r="N82" i="1"/>
  <c r="M82" i="1"/>
  <c r="L82" i="1"/>
  <c r="K82" i="1"/>
  <c r="J82" i="1"/>
  <c r="N81" i="1"/>
  <c r="M81" i="1"/>
  <c r="L81" i="1"/>
  <c r="K81" i="1"/>
  <c r="J81" i="1"/>
  <c r="N80" i="1"/>
  <c r="M80" i="1"/>
  <c r="L80" i="1"/>
  <c r="K80" i="1"/>
  <c r="J80" i="1"/>
  <c r="N79" i="1"/>
  <c r="M79" i="1"/>
  <c r="L79" i="1"/>
  <c r="K79" i="1"/>
  <c r="J79" i="1"/>
  <c r="N78" i="1"/>
  <c r="M78" i="1"/>
  <c r="L78" i="1"/>
  <c r="K78" i="1"/>
  <c r="J78" i="1"/>
  <c r="N77" i="1"/>
  <c r="M77" i="1"/>
  <c r="L77" i="1"/>
  <c r="K77" i="1"/>
  <c r="J77" i="1"/>
  <c r="N76" i="1"/>
  <c r="M76" i="1"/>
  <c r="L76" i="1"/>
  <c r="K76" i="1"/>
  <c r="J76" i="1"/>
  <c r="N75" i="1"/>
  <c r="M75" i="1"/>
  <c r="L75" i="1"/>
  <c r="K75" i="1"/>
  <c r="J75" i="1"/>
  <c r="N74" i="1"/>
  <c r="M74" i="1"/>
  <c r="L74" i="1"/>
  <c r="K74" i="1"/>
  <c r="J74" i="1"/>
  <c r="N73" i="1"/>
  <c r="M73" i="1"/>
  <c r="L73" i="1"/>
  <c r="K73" i="1"/>
  <c r="J73" i="1"/>
  <c r="N72" i="1"/>
  <c r="M72" i="1"/>
  <c r="L72" i="1"/>
  <c r="K72" i="1"/>
  <c r="J72" i="1"/>
  <c r="N71" i="1"/>
  <c r="M71" i="1"/>
  <c r="L71" i="1"/>
  <c r="K71" i="1"/>
  <c r="J71" i="1"/>
  <c r="N70" i="1"/>
  <c r="M70" i="1"/>
  <c r="L70" i="1"/>
  <c r="K70" i="1"/>
  <c r="J70" i="1"/>
  <c r="N69" i="1"/>
  <c r="M69" i="1"/>
  <c r="L69" i="1"/>
  <c r="K69" i="1"/>
  <c r="J69" i="1"/>
  <c r="N68" i="1"/>
  <c r="M68" i="1"/>
  <c r="L68" i="1"/>
  <c r="K68" i="1"/>
  <c r="J68" i="1"/>
  <c r="N67" i="1"/>
  <c r="M67" i="1"/>
  <c r="L67" i="1"/>
  <c r="K67" i="1"/>
  <c r="J67" i="1"/>
  <c r="N66" i="1"/>
  <c r="M66" i="1"/>
  <c r="L66" i="1"/>
  <c r="K66" i="1"/>
  <c r="J66" i="1"/>
  <c r="N65" i="1"/>
  <c r="M65" i="1"/>
  <c r="L65" i="1"/>
  <c r="K65" i="1"/>
  <c r="J65" i="1"/>
  <c r="N64" i="1"/>
  <c r="M64" i="1"/>
  <c r="L64" i="1"/>
  <c r="K64" i="1"/>
  <c r="J64" i="1"/>
  <c r="N63" i="1"/>
  <c r="M63" i="1"/>
  <c r="L63" i="1"/>
  <c r="K63" i="1"/>
  <c r="J63" i="1"/>
  <c r="N62" i="1"/>
  <c r="M62" i="1"/>
  <c r="L62" i="1"/>
  <c r="K62" i="1"/>
  <c r="J62" i="1"/>
  <c r="N61" i="1"/>
  <c r="M61" i="1"/>
  <c r="L61" i="1"/>
  <c r="K61" i="1"/>
  <c r="J61" i="1"/>
  <c r="N60" i="1"/>
  <c r="M60" i="1"/>
  <c r="L60" i="1"/>
  <c r="K60" i="1"/>
  <c r="J60" i="1"/>
  <c r="N59" i="1"/>
  <c r="M59" i="1"/>
  <c r="L59" i="1"/>
  <c r="K59" i="1"/>
  <c r="J59" i="1"/>
  <c r="N58" i="1"/>
  <c r="M58" i="1"/>
  <c r="L58" i="1"/>
  <c r="K58" i="1"/>
  <c r="J58" i="1"/>
  <c r="N57" i="1"/>
  <c r="M57" i="1"/>
  <c r="L57" i="1"/>
  <c r="K57" i="1"/>
  <c r="J57" i="1"/>
  <c r="N56" i="1"/>
  <c r="M56" i="1"/>
  <c r="L56" i="1"/>
  <c r="K56" i="1"/>
  <c r="J56" i="1"/>
  <c r="N55" i="1"/>
  <c r="M55" i="1"/>
  <c r="L55" i="1"/>
  <c r="K55" i="1"/>
  <c r="J55" i="1"/>
  <c r="N54" i="1"/>
  <c r="M54" i="1"/>
  <c r="L54" i="1"/>
  <c r="K54" i="1"/>
  <c r="J54" i="1"/>
  <c r="N53" i="1"/>
  <c r="M53" i="1"/>
  <c r="L53" i="1"/>
  <c r="K53" i="1"/>
  <c r="J53" i="1"/>
  <c r="N52" i="1"/>
  <c r="M52" i="1"/>
  <c r="L52" i="1"/>
  <c r="K52" i="1"/>
  <c r="J52" i="1"/>
  <c r="N51" i="1"/>
  <c r="M51" i="1"/>
  <c r="L51" i="1"/>
  <c r="K51" i="1"/>
  <c r="J51" i="1"/>
  <c r="N50" i="1"/>
  <c r="M50" i="1"/>
  <c r="L50" i="1"/>
  <c r="K50" i="1"/>
  <c r="J50" i="1"/>
  <c r="N49" i="1"/>
  <c r="M49" i="1"/>
  <c r="L49" i="1"/>
  <c r="K49" i="1"/>
  <c r="J49" i="1"/>
  <c r="N48" i="1"/>
  <c r="M48" i="1"/>
  <c r="L48" i="1"/>
  <c r="K48" i="1"/>
  <c r="J48" i="1"/>
  <c r="N47" i="1"/>
  <c r="M47" i="1"/>
  <c r="L47" i="1"/>
  <c r="K47" i="1"/>
  <c r="J47" i="1"/>
  <c r="N46" i="1"/>
  <c r="M46" i="1"/>
  <c r="L46" i="1"/>
  <c r="K46" i="1"/>
  <c r="J46" i="1"/>
  <c r="N45" i="1"/>
  <c r="M45" i="1"/>
  <c r="L45" i="1"/>
  <c r="K45" i="1"/>
  <c r="J45" i="1"/>
  <c r="N44" i="1"/>
  <c r="M44" i="1"/>
  <c r="L44" i="1"/>
  <c r="K44" i="1"/>
  <c r="J44" i="1"/>
  <c r="N43" i="1"/>
  <c r="M43" i="1"/>
  <c r="L43" i="1"/>
  <c r="K43" i="1"/>
  <c r="J43" i="1"/>
  <c r="N42" i="1"/>
  <c r="M42" i="1"/>
  <c r="L42" i="1"/>
  <c r="K42" i="1"/>
  <c r="J42" i="1"/>
  <c r="N41" i="1"/>
  <c r="M41" i="1"/>
  <c r="L41" i="1"/>
  <c r="K41" i="1"/>
  <c r="J41" i="1"/>
  <c r="N40" i="1"/>
  <c r="M40" i="1"/>
  <c r="L40" i="1"/>
  <c r="K40" i="1"/>
  <c r="J40" i="1"/>
  <c r="N39" i="1"/>
  <c r="M39" i="1"/>
  <c r="L39" i="1"/>
  <c r="K39" i="1"/>
  <c r="J39" i="1"/>
  <c r="N38" i="1"/>
  <c r="M38" i="1"/>
  <c r="L38" i="1"/>
  <c r="K38" i="1"/>
  <c r="J38" i="1"/>
  <c r="N37" i="1"/>
  <c r="M37" i="1"/>
  <c r="L37" i="1"/>
  <c r="K37" i="1"/>
  <c r="J37" i="1"/>
  <c r="N36" i="1"/>
  <c r="M36" i="1"/>
  <c r="L36" i="1"/>
  <c r="K36" i="1"/>
  <c r="J36" i="1"/>
  <c r="N35" i="1"/>
  <c r="M35" i="1"/>
  <c r="L35" i="1"/>
  <c r="K35" i="1"/>
  <c r="J35" i="1"/>
  <c r="N34" i="1"/>
  <c r="M34" i="1"/>
  <c r="L34" i="1"/>
  <c r="K34" i="1"/>
  <c r="J34" i="1"/>
  <c r="N33" i="1"/>
  <c r="M33" i="1"/>
  <c r="L33" i="1"/>
  <c r="K33" i="1"/>
  <c r="J33" i="1"/>
  <c r="N32" i="1"/>
  <c r="M32" i="1"/>
  <c r="L32" i="1"/>
  <c r="K32" i="1"/>
  <c r="J32" i="1"/>
  <c r="N31" i="1"/>
  <c r="M31" i="1"/>
  <c r="L31" i="1"/>
  <c r="K31" i="1"/>
  <c r="J31" i="1"/>
  <c r="N30" i="1"/>
  <c r="M30" i="1"/>
  <c r="L30" i="1"/>
  <c r="K30" i="1"/>
  <c r="J30" i="1"/>
  <c r="N29" i="1"/>
  <c r="M29" i="1"/>
  <c r="L29" i="1"/>
  <c r="K29" i="1"/>
  <c r="J29" i="1"/>
  <c r="N28" i="1"/>
  <c r="M28" i="1"/>
  <c r="L28" i="1"/>
  <c r="K28" i="1"/>
  <c r="J28" i="1"/>
  <c r="N27" i="1"/>
  <c r="M27" i="1"/>
  <c r="L27" i="1"/>
  <c r="K27" i="1"/>
  <c r="J27" i="1"/>
  <c r="N26" i="1"/>
  <c r="M26" i="1"/>
  <c r="L26" i="1"/>
  <c r="K26" i="1"/>
  <c r="J26" i="1"/>
  <c r="N25" i="1"/>
  <c r="M25" i="1"/>
  <c r="L25" i="1"/>
  <c r="K25" i="1"/>
  <c r="J25" i="1"/>
  <c r="N24" i="1"/>
  <c r="M24" i="1"/>
  <c r="L24" i="1"/>
  <c r="K24" i="1"/>
  <c r="J24" i="1"/>
  <c r="N23" i="1"/>
  <c r="M23" i="1"/>
  <c r="L23" i="1"/>
  <c r="K23" i="1"/>
  <c r="J23" i="1"/>
  <c r="N22" i="1"/>
  <c r="M22" i="1"/>
  <c r="L22" i="1"/>
  <c r="K22" i="1"/>
  <c r="J22" i="1"/>
  <c r="N21" i="1"/>
  <c r="M21" i="1"/>
  <c r="L21" i="1"/>
  <c r="K21" i="1"/>
  <c r="J21" i="1"/>
  <c r="N20" i="1"/>
  <c r="M20" i="1"/>
  <c r="L20" i="1"/>
  <c r="K20" i="1"/>
  <c r="J20" i="1"/>
  <c r="N19" i="1"/>
  <c r="M19" i="1"/>
  <c r="L19" i="1"/>
  <c r="K19" i="1"/>
  <c r="J19" i="1"/>
  <c r="N18" i="1"/>
  <c r="M18" i="1"/>
  <c r="L18" i="1"/>
  <c r="K18" i="1"/>
  <c r="J18" i="1"/>
  <c r="N17" i="1"/>
  <c r="M17" i="1"/>
  <c r="L17" i="1"/>
  <c r="K17" i="1"/>
  <c r="J17" i="1"/>
  <c r="N16" i="1"/>
  <c r="M16" i="1"/>
  <c r="L16" i="1"/>
  <c r="K16" i="1"/>
  <c r="J16" i="1"/>
  <c r="N15" i="1"/>
  <c r="M15" i="1"/>
  <c r="L15" i="1"/>
  <c r="K15" i="1"/>
  <c r="J15" i="1"/>
  <c r="N14" i="1"/>
  <c r="M14" i="1"/>
  <c r="L14" i="1"/>
  <c r="K14" i="1"/>
  <c r="J14" i="1"/>
  <c r="N13" i="1"/>
  <c r="M13" i="1"/>
  <c r="L13" i="1"/>
  <c r="K13" i="1"/>
  <c r="J13" i="1"/>
  <c r="N12" i="1"/>
  <c r="M12" i="1"/>
  <c r="L12" i="1"/>
  <c r="K12" i="1"/>
  <c r="J12" i="1"/>
  <c r="N11" i="1"/>
  <c r="M11" i="1"/>
  <c r="L11" i="1"/>
  <c r="K11" i="1"/>
  <c r="J11" i="1"/>
  <c r="N10" i="1"/>
  <c r="M10" i="1"/>
  <c r="L10" i="1"/>
  <c r="K10" i="1"/>
  <c r="J10" i="1"/>
  <c r="N9" i="1"/>
  <c r="M9" i="1"/>
  <c r="L9" i="1"/>
  <c r="K9" i="1"/>
  <c r="J9" i="1"/>
  <c r="N8" i="1"/>
  <c r="M8" i="1"/>
  <c r="L8" i="1"/>
  <c r="K8" i="1"/>
  <c r="J8" i="1"/>
  <c r="N7" i="1"/>
  <c r="M7" i="1"/>
  <c r="L7" i="1"/>
  <c r="K7" i="1"/>
  <c r="J7" i="1"/>
  <c r="N6" i="1"/>
  <c r="M6" i="1"/>
  <c r="L6" i="1"/>
  <c r="K6" i="1"/>
  <c r="J6" i="1"/>
  <c r="N5" i="1"/>
  <c r="M5" i="1"/>
  <c r="L5" i="1"/>
  <c r="K5" i="1"/>
  <c r="J5" i="1"/>
  <c r="N4" i="1"/>
  <c r="M4" i="1"/>
  <c r="L4" i="1"/>
  <c r="K4" i="1"/>
  <c r="J4" i="1"/>
  <c r="N3" i="1"/>
  <c r="M3" i="1"/>
  <c r="L3" i="1"/>
  <c r="K3" i="1"/>
  <c r="J3" i="1"/>
  <c r="N2" i="1"/>
  <c r="M2" i="1"/>
  <c r="L2" i="1"/>
  <c r="K2" i="1"/>
  <c r="J2" i="1"/>
</calcChain>
</file>

<file path=xl/sharedStrings.xml><?xml version="1.0" encoding="utf-8"?>
<sst xmlns="http://schemas.openxmlformats.org/spreadsheetml/2006/main" count="10086" uniqueCount="69">
  <si>
    <t>Europe</t>
  </si>
  <si>
    <t>Software</t>
  </si>
  <si>
    <t>Small Business</t>
  </si>
  <si>
    <t>Priya Nair</t>
  </si>
  <si>
    <t>Check</t>
  </si>
  <si>
    <t>Furniture</t>
  </si>
  <si>
    <t>Home Office</t>
  </si>
  <si>
    <t>Michael Brown</t>
  </si>
  <si>
    <t>North America</t>
  </si>
  <si>
    <t>Corporate</t>
  </si>
  <si>
    <t>Ravi Patel</t>
  </si>
  <si>
    <t>Digital Wallet</t>
  </si>
  <si>
    <t>David Kim</t>
  </si>
  <si>
    <t>Asia Pacific</t>
  </si>
  <si>
    <t>Apparel</t>
  </si>
  <si>
    <t>Sarah Thompson</t>
  </si>
  <si>
    <t>Middle East &amp; Africa</t>
  </si>
  <si>
    <t>Cash</t>
  </si>
  <si>
    <t>Latin America</t>
  </si>
  <si>
    <t>Food &amp; Beverage</t>
  </si>
  <si>
    <t>Enterprise</t>
  </si>
  <si>
    <t>Carlos Rodriguez</t>
  </si>
  <si>
    <t>Bank Transfer</t>
  </si>
  <si>
    <t>Healthcare Products</t>
  </si>
  <si>
    <t>Aditi Sharma</t>
  </si>
  <si>
    <t>Credit Card</t>
  </si>
  <si>
    <t>Electronics</t>
  </si>
  <si>
    <t>PayPal</t>
  </si>
  <si>
    <t>James O'Brien</t>
  </si>
  <si>
    <t>Fatima Al-Farsi</t>
  </si>
  <si>
    <t>John Mitchell</t>
  </si>
  <si>
    <t>Office Supplies</t>
  </si>
  <si>
    <t>Consumer</t>
  </si>
  <si>
    <t>Anna Kowalski</t>
  </si>
  <si>
    <t>Maria Garcia</t>
  </si>
  <si>
    <t>Grace Okafor</t>
  </si>
  <si>
    <t>Liam Walsh</t>
  </si>
  <si>
    <t>Wei Chen</t>
  </si>
  <si>
    <t>Order_Date</t>
  </si>
  <si>
    <t>Region</t>
  </si>
  <si>
    <t>Product_Category</t>
  </si>
  <si>
    <t>Sales</t>
  </si>
  <si>
    <t>Cost</t>
  </si>
  <si>
    <t>Profit</t>
  </si>
  <si>
    <t>Customer_Segment</t>
  </si>
  <si>
    <t>Salesperson</t>
  </si>
  <si>
    <t>Payment_Method</t>
  </si>
  <si>
    <t>Profit Margin</t>
  </si>
  <si>
    <t>Sales Category</t>
  </si>
  <si>
    <t>Order Month</t>
  </si>
  <si>
    <t>Profit Status</t>
  </si>
  <si>
    <t>Year</t>
  </si>
  <si>
    <t>Region Wise Sales</t>
  </si>
  <si>
    <t>Sales Person Wise Sales</t>
  </si>
  <si>
    <t>Customer Segment Wise Revenue</t>
  </si>
  <si>
    <t>Row Labels</t>
  </si>
  <si>
    <t>Sum of Sales</t>
  </si>
  <si>
    <t>Grand Total</t>
  </si>
  <si>
    <t>Most Profitable Product Categories</t>
  </si>
  <si>
    <t>Sum of Profit</t>
  </si>
  <si>
    <t>Average Sales Per Order</t>
  </si>
  <si>
    <t>Average of Sales</t>
  </si>
  <si>
    <t>Lowest Sales Transaction</t>
  </si>
  <si>
    <t>Min of Sales</t>
  </si>
  <si>
    <t>Payment Method Wise Count</t>
  </si>
  <si>
    <t>Max of Profit</t>
  </si>
  <si>
    <t>Count of Payment_Method</t>
  </si>
  <si>
    <t>Average of Profit</t>
  </si>
  <si>
    <t>Average of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</si>
</sst>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quot;₹&quot;\ #,##0"/>
    <numFmt numFmtId="166" formatCode="_ &quot;₹&quot;\ * #,##0_ ;_ &quot;₹&quot;\ * \-#,##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2">
    <xf numFmtId="0" fontId="0" fillId="0" borderId="0"/>
    <xf numFmtId="44" fontId="2" fillId="0" borderId="0" applyFont="0" applyFill="0" applyBorder="0" applyAlignment="0" applyProtection="0"/>
  </cellStyleXfs>
  <cellXfs count="44">
    <xf numFmtId="0" fontId="0" fillId="0" borderId="0" xfId="0"/>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1" xfId="0" applyBorder="1"/>
    <xf numFmtId="9" fontId="0" fillId="0" borderId="1" xfId="0" applyNumberFormat="1" applyBorder="1"/>
    <xf numFmtId="0" fontId="0" fillId="0" borderId="6" xfId="0" applyBorder="1"/>
    <xf numFmtId="14" fontId="0" fillId="0" borderId="7" xfId="0" applyNumberFormat="1" applyBorder="1"/>
    <xf numFmtId="0" fontId="0" fillId="0" borderId="8" xfId="0" applyBorder="1"/>
    <xf numFmtId="9" fontId="0" fillId="0" borderId="8" xfId="0" applyNumberFormat="1" applyBorder="1"/>
    <xf numFmtId="0" fontId="0" fillId="0" borderId="9" xfId="0" applyBorder="1"/>
    <xf numFmtId="0" fontId="1" fillId="0" borderId="0" xfId="0" applyFont="1"/>
    <xf numFmtId="0" fontId="0" fillId="0" borderId="1" xfId="0" applyBorder="1" applyAlignment="1">
      <alignment horizontal="left"/>
    </xf>
    <xf numFmtId="0" fontId="0" fillId="0" borderId="1" xfId="0" applyNumberFormat="1" applyBorder="1"/>
    <xf numFmtId="0" fontId="0" fillId="2" borderId="1" xfId="0" applyFill="1" applyBorder="1" applyAlignment="1">
      <alignment horizontal="left"/>
    </xf>
    <xf numFmtId="0" fontId="0" fillId="2" borderId="1" xfId="0" applyNumberFormat="1" applyFill="1" applyBorder="1"/>
    <xf numFmtId="0" fontId="1" fillId="0" borderId="0" xfId="0" applyFont="1" applyAlignment="1">
      <alignment horizontal="left"/>
    </xf>
    <xf numFmtId="2" fontId="0" fillId="2" borderId="0" xfId="0" applyNumberFormat="1" applyFill="1" applyAlignment="1">
      <alignment horizontal="center"/>
    </xf>
    <xf numFmtId="0" fontId="0" fillId="0" borderId="0" xfId="0" pivotButton="1"/>
    <xf numFmtId="0" fontId="0" fillId="0" borderId="1" xfId="0" pivotButton="1" applyBorder="1"/>
    <xf numFmtId="0" fontId="1" fillId="0" borderId="0" xfId="0" pivotButton="1" applyFont="1" applyAlignment="1">
      <alignment horizontal="left"/>
    </xf>
    <xf numFmtId="164" fontId="0" fillId="0" borderId="3" xfId="0" applyNumberFormat="1" applyBorder="1"/>
    <xf numFmtId="164" fontId="0" fillId="0" borderId="1" xfId="0" applyNumberFormat="1" applyBorder="1"/>
    <xf numFmtId="164" fontId="0" fillId="0" borderId="8" xfId="0" applyNumberFormat="1" applyBorder="1"/>
    <xf numFmtId="164" fontId="0" fillId="0" borderId="0" xfId="0" applyNumberFormat="1"/>
    <xf numFmtId="164" fontId="0" fillId="2" borderId="1" xfId="0" applyNumberFormat="1" applyFill="1" applyBorder="1"/>
    <xf numFmtId="44" fontId="0" fillId="0" borderId="1" xfId="0" applyNumberFormat="1" applyBorder="1"/>
    <xf numFmtId="44" fontId="0" fillId="2" borderId="1" xfId="0" applyNumberFormat="1" applyFill="1" applyBorder="1"/>
    <xf numFmtId="44" fontId="1" fillId="3" borderId="1" xfId="0" applyNumberFormat="1" applyFont="1" applyFill="1" applyBorder="1"/>
    <xf numFmtId="164" fontId="0" fillId="0" borderId="0" xfId="0" applyNumberFormat="1" applyBorder="1"/>
    <xf numFmtId="0" fontId="1" fillId="3" borderId="1" xfId="0" applyFont="1" applyFill="1" applyBorder="1"/>
    <xf numFmtId="0" fontId="0" fillId="0" borderId="0" xfId="0" applyNumberFormat="1"/>
    <xf numFmtId="0" fontId="0" fillId="4" borderId="0" xfId="0" applyFill="1"/>
    <xf numFmtId="164" fontId="0" fillId="2" borderId="10" xfId="0" applyNumberFormat="1" applyFill="1" applyBorder="1"/>
    <xf numFmtId="164" fontId="0" fillId="0" borderId="10" xfId="0" applyNumberFormat="1" applyBorder="1"/>
    <xf numFmtId="0" fontId="0" fillId="2" borderId="10" xfId="0" applyFill="1"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0" xfId="0" applyAlignment="1">
      <alignment horizontal="center"/>
    </xf>
    <xf numFmtId="165" fontId="0" fillId="2" borderId="0" xfId="0" applyNumberFormat="1" applyFill="1" applyAlignment="1">
      <alignment horizontal="center"/>
    </xf>
    <xf numFmtId="166" fontId="0" fillId="2" borderId="0" xfId="0" applyNumberFormat="1" applyFill="1" applyAlignment="1">
      <alignment horizontal="center"/>
    </xf>
    <xf numFmtId="1" fontId="0" fillId="2" borderId="0" xfId="0" applyNumberFormat="1" applyFill="1" applyAlignment="1">
      <alignment horizontal="center"/>
    </xf>
    <xf numFmtId="166" fontId="0" fillId="0" borderId="0" xfId="1" applyNumberFormat="1" applyFont="1"/>
  </cellXfs>
  <cellStyles count="2">
    <cellStyle name="Currency" xfId="1" builtinId="4"/>
    <cellStyle name="Normal" xfId="0" builtinId="0"/>
  </cellStyles>
  <dxfs count="93">
    <dxf>
      <alignment horizontal="center"/>
    </dxf>
    <dxf>
      <alignment horizontal="center"/>
    </dxf>
    <dxf>
      <fill>
        <patternFill patternType="solid">
          <bgColor theme="8" tint="0.59999389629810485"/>
        </patternFill>
      </fill>
    </dxf>
    <dxf>
      <numFmt numFmtId="2" formatCode="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numFmt numFmtId="166" formatCode="_ &quot;₹&quot;\ * #,##0_ ;_ &quot;₹&quot;\ * \-#,##0_ ;_ &quot;₹&quot;\ * &quot;-&quot;??_ ;_ @_ "/>
    </dxf>
    <dxf>
      <alignment horizontal="center"/>
    </dxf>
    <dxf>
      <alignment horizontal="center"/>
    </dxf>
    <dxf>
      <fill>
        <patternFill patternType="solid">
          <bgColor theme="8" tint="0.59999389629810485"/>
        </patternFill>
      </fill>
    </dxf>
    <dxf>
      <numFmt numFmtId="2" formatCode="0.00"/>
    </dxf>
    <dxf>
      <numFmt numFmtId="165" formatCode="&quot;₹&quot;\ #,##0"/>
    </dxf>
    <dxf>
      <alignment horizontal="center"/>
    </dxf>
    <dxf>
      <alignment horizontal="center"/>
    </dxf>
    <dxf>
      <fill>
        <patternFill patternType="solid">
          <bgColor theme="8" tint="0.59999389629810485"/>
        </patternFill>
      </fill>
    </dxf>
    <dxf>
      <numFmt numFmtId="2" formatCode="0.00"/>
    </dxf>
    <dxf>
      <fill>
        <patternFill patternType="solid">
          <bgColor theme="8" tint="0.59999389629810485"/>
        </patternFill>
      </fill>
    </dxf>
    <dxf>
      <alignment horizontal="center"/>
    </dxf>
    <dxf>
      <alignment horizontal="center"/>
    </dxf>
    <dxf>
      <numFmt numFmtId="2" formatCode="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numFmt numFmtId="164" formatCode="&quot;₹&quot;\ #,##0.00"/>
    </dxf>
    <dxf>
      <numFmt numFmtId="164" formatCode="&quot;₹&quot;\ #,##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numFmt numFmtId="1" formatCode="0"/>
    </dxf>
    <dxf>
      <alignment horizontal="center"/>
    </dxf>
    <dxf>
      <alignment horizontal="center"/>
    </dxf>
    <dxf>
      <fill>
        <patternFill patternType="solid">
          <bgColor theme="8" tint="0.59999389629810485"/>
        </patternFill>
      </fill>
    </dxf>
    <dxf>
      <numFmt numFmtId="2" formatCode="0.00"/>
    </dxf>
    <dxf>
      <alignment horizontal="center"/>
    </dxf>
    <dxf>
      <alignment horizontal="center"/>
    </dxf>
    <dxf>
      <fill>
        <patternFill patternType="solid">
          <bgColor theme="8" tint="0.59999389629810485"/>
        </patternFill>
      </fill>
    </dxf>
    <dxf>
      <numFmt numFmtId="2" formatCode="0.00"/>
    </dxf>
    <dxf>
      <numFmt numFmtId="34" formatCode="_ &quot;₹&quot;\ * #,##0.00_ ;_ &quot;₹&quot;\ * \-#,##0.00_ ;_ &quot;₹&quot;\ * &quot;-&quot;??_ ;_ @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3BD0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Dataset.xlsx]Pivot Analysis!PivotTable17</c:name>
    <c:fmtId val="2"/>
  </c:pivotSource>
  <c:chart>
    <c:title>
      <c:tx>
        <c:rich>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r>
              <a:rPr lang="en-US" sz="1100" b="1">
                <a:solidFill>
                  <a:schemeClr val="bg2">
                    <a:lumMod val="25000"/>
                  </a:schemeClr>
                </a:solidFill>
              </a:rPr>
              <a:t>Sales By Region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pivotFmt>
    </c:pivotFmts>
    <c:plotArea>
      <c:layout/>
      <c:barChart>
        <c:barDir val="col"/>
        <c:grouping val="clustered"/>
        <c:varyColors val="0"/>
        <c:ser>
          <c:idx val="0"/>
          <c:order val="0"/>
          <c:tx>
            <c:strRef>
              <c:f>'Pivot Analysis'!$B$2</c:f>
              <c:strCache>
                <c:ptCount val="1"/>
                <c:pt idx="0">
                  <c:v>Total</c:v>
                </c:pt>
              </c:strCache>
            </c:strRef>
          </c:tx>
          <c:spPr>
            <a:solidFill>
              <a:schemeClr val="accent1">
                <a:lumMod val="75000"/>
              </a:schemeClr>
            </a:solidFill>
            <a:ln>
              <a:noFill/>
            </a:ln>
            <a:effectLst/>
          </c:spPr>
          <c:invertIfNegative val="0"/>
          <c:cat>
            <c:strRef>
              <c:f>'Pivot Analysis'!$A$3:$A$8</c:f>
              <c:strCache>
                <c:ptCount val="5"/>
                <c:pt idx="0">
                  <c:v>Asia Pacific</c:v>
                </c:pt>
                <c:pt idx="1">
                  <c:v>Europe</c:v>
                </c:pt>
                <c:pt idx="2">
                  <c:v>Latin America</c:v>
                </c:pt>
                <c:pt idx="3">
                  <c:v>Middle East &amp; Africa</c:v>
                </c:pt>
                <c:pt idx="4">
                  <c:v>North America</c:v>
                </c:pt>
              </c:strCache>
            </c:strRef>
          </c:cat>
          <c:val>
            <c:numRef>
              <c:f>'Pivot Analysis'!$B$3:$B$8</c:f>
              <c:numCache>
                <c:formatCode>"₹"\ #,##0.00</c:formatCode>
                <c:ptCount val="5"/>
                <c:pt idx="0">
                  <c:v>203133.96999999988</c:v>
                </c:pt>
                <c:pt idx="1">
                  <c:v>209603.58999999985</c:v>
                </c:pt>
                <c:pt idx="2">
                  <c:v>249747.28000000006</c:v>
                </c:pt>
                <c:pt idx="3">
                  <c:v>177343.23999999993</c:v>
                </c:pt>
                <c:pt idx="4">
                  <c:v>219451.50999999995</c:v>
                </c:pt>
              </c:numCache>
            </c:numRef>
          </c:val>
          <c:extLst>
            <c:ext xmlns:c16="http://schemas.microsoft.com/office/drawing/2014/chart" uri="{C3380CC4-5D6E-409C-BE32-E72D297353CC}">
              <c16:uniqueId val="{00000000-E987-43E0-A8EC-5C3864821103}"/>
            </c:ext>
          </c:extLst>
        </c:ser>
        <c:dLbls>
          <c:showLegendKey val="0"/>
          <c:showVal val="0"/>
          <c:showCatName val="0"/>
          <c:showSerName val="0"/>
          <c:showPercent val="0"/>
          <c:showBubbleSize val="0"/>
        </c:dLbls>
        <c:gapWidth val="219"/>
        <c:overlap val="-27"/>
        <c:axId val="322671871"/>
        <c:axId val="324486575"/>
      </c:barChart>
      <c:catAx>
        <c:axId val="32267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324486575"/>
        <c:crosses val="autoZero"/>
        <c:auto val="1"/>
        <c:lblAlgn val="ctr"/>
        <c:lblOffset val="100"/>
        <c:noMultiLvlLbl val="0"/>
      </c:catAx>
      <c:valAx>
        <c:axId val="324486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32267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accent1">
          <a:shade val="50000"/>
        </a:schemeClr>
      </a:solidFill>
      <a:round/>
    </a:ln>
    <a:effectLst>
      <a:outerShdw blurRad="50800" dist="50800" dir="5400000" algn="ctr" rotWithShape="0">
        <a:srgbClr val="000000">
          <a:alpha val="7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Analysis Dataset.xlsx]Pivot Analysis!PivotTable16</c:name>
    <c:fmtId val="5"/>
  </c:pivotSource>
  <c:chart>
    <c:title>
      <c:tx>
        <c:rich>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r>
              <a:rPr lang="en-US" sz="1100" b="1">
                <a:solidFill>
                  <a:schemeClr val="bg2">
                    <a:lumMod val="25000"/>
                  </a:schemeClr>
                </a:solidFill>
              </a:rPr>
              <a:t>Sales By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Analysis'!$B$11</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Analysis'!$A$12:$A$19</c:f>
              <c:strCache>
                <c:ptCount val="7"/>
                <c:pt idx="0">
                  <c:v>Apparel</c:v>
                </c:pt>
                <c:pt idx="1">
                  <c:v>Electronics</c:v>
                </c:pt>
                <c:pt idx="2">
                  <c:v>Food &amp; Beverage</c:v>
                </c:pt>
                <c:pt idx="3">
                  <c:v>Furniture</c:v>
                </c:pt>
                <c:pt idx="4">
                  <c:v>Healthcare Products</c:v>
                </c:pt>
                <c:pt idx="5">
                  <c:v>Office Supplies</c:v>
                </c:pt>
                <c:pt idx="6">
                  <c:v>Software</c:v>
                </c:pt>
              </c:strCache>
            </c:strRef>
          </c:cat>
          <c:val>
            <c:numRef>
              <c:f>'Pivot Analysis'!$B$12:$B$19</c:f>
              <c:numCache>
                <c:formatCode>"₹"\ #,##0.00</c:formatCode>
                <c:ptCount val="7"/>
                <c:pt idx="0">
                  <c:v>35895.65</c:v>
                </c:pt>
                <c:pt idx="1">
                  <c:v>119678.31999999996</c:v>
                </c:pt>
                <c:pt idx="2">
                  <c:v>13333.409999999985</c:v>
                </c:pt>
                <c:pt idx="3">
                  <c:v>229841.36999999991</c:v>
                </c:pt>
                <c:pt idx="4">
                  <c:v>84519.099999999977</c:v>
                </c:pt>
                <c:pt idx="5">
                  <c:v>30556.81</c:v>
                </c:pt>
                <c:pt idx="6">
                  <c:v>98037.48000000004</c:v>
                </c:pt>
              </c:numCache>
            </c:numRef>
          </c:val>
          <c:extLst>
            <c:ext xmlns:c16="http://schemas.microsoft.com/office/drawing/2014/chart" uri="{C3380CC4-5D6E-409C-BE32-E72D297353CC}">
              <c16:uniqueId val="{00000000-57E5-4C04-9D4E-A3C4AF9CC64F}"/>
            </c:ext>
          </c:extLst>
        </c:ser>
        <c:dLbls>
          <c:dLblPos val="outEnd"/>
          <c:showLegendKey val="0"/>
          <c:showVal val="1"/>
          <c:showCatName val="0"/>
          <c:showSerName val="0"/>
          <c:showPercent val="0"/>
          <c:showBubbleSize val="0"/>
        </c:dLbls>
        <c:gapWidth val="35"/>
        <c:overlap val="-84"/>
        <c:axId val="373613599"/>
        <c:axId val="678350351"/>
      </c:barChart>
      <c:catAx>
        <c:axId val="373613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678350351"/>
        <c:crosses val="autoZero"/>
        <c:auto val="1"/>
        <c:lblAlgn val="ctr"/>
        <c:lblOffset val="100"/>
        <c:noMultiLvlLbl val="0"/>
      </c:catAx>
      <c:valAx>
        <c:axId val="678350351"/>
        <c:scaling>
          <c:orientation val="minMax"/>
        </c:scaling>
        <c:delete val="0"/>
        <c:axPos val="b"/>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373613599"/>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accent1">
          <a:shade val="50000"/>
        </a:schemeClr>
      </a:solidFill>
      <a:round/>
    </a:ln>
    <a:effectLst>
      <a:outerShdw blurRad="50800" dist="50800" dir="5400000" algn="ctr" rotWithShape="0">
        <a:srgbClr val="000000">
          <a:alpha val="7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100" b="1" i="0" u="none" strike="noStrike" baseline="0">
                <a:solidFill>
                  <a:schemeClr val="bg2">
                    <a:lumMod val="25000"/>
                  </a:schemeClr>
                </a:solidFill>
                <a:latin typeface="Calibri" panose="020F0502020204030204"/>
              </a:rPr>
              <a:t>Sales By Salesperson</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702041950624215"/>
          <c:y val="0.19601805784864501"/>
          <c:w val="0.57991060682998918"/>
          <c:h val="0.73948302990681136"/>
        </c:manualLayout>
      </c:layout>
      <c:barChart>
        <c:barDir val="bar"/>
        <c:grouping val="clustered"/>
        <c:varyColors val="0"/>
        <c:ser>
          <c:idx val="0"/>
          <c:order val="0"/>
          <c:spPr>
            <a:solidFill>
              <a:schemeClr val="accent1">
                <a:lumMod val="75000"/>
              </a:schemeClr>
            </a:solidFill>
            <a:ln>
              <a:noFill/>
            </a:ln>
            <a:effectLst/>
          </c:spPr>
          <c:invertIfNegative val="0"/>
          <c:dLbls>
            <c:dLbl>
              <c:idx val="15"/>
              <c:delete val="1"/>
              <c:extLst>
                <c:ext xmlns:c15="http://schemas.microsoft.com/office/drawing/2012/chart" uri="{CE6537A1-D6FC-4f65-9D91-7224C49458BB}"/>
                <c:ext xmlns:c16="http://schemas.microsoft.com/office/drawing/2014/chart" uri="{C3380CC4-5D6E-409C-BE32-E72D297353CC}">
                  <c16:uniqueId val="{00000001-D751-48A1-89CC-7251797D7B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Analysis'!$D$3:$D$18</c:f>
              <c:strCache>
                <c:ptCount val="16"/>
                <c:pt idx="0">
                  <c:v>Aditi Sharma</c:v>
                </c:pt>
                <c:pt idx="1">
                  <c:v>Anna Kowalski</c:v>
                </c:pt>
                <c:pt idx="2">
                  <c:v>Carlos Rodriguez</c:v>
                </c:pt>
                <c:pt idx="3">
                  <c:v>David Kim</c:v>
                </c:pt>
                <c:pt idx="4">
                  <c:v>Fatima Al-Farsi</c:v>
                </c:pt>
                <c:pt idx="5">
                  <c:v>Grace Okafor</c:v>
                </c:pt>
                <c:pt idx="6">
                  <c:v>James O'Brien</c:v>
                </c:pt>
                <c:pt idx="7">
                  <c:v>John Mitchell</c:v>
                </c:pt>
                <c:pt idx="8">
                  <c:v>Liam Walsh</c:v>
                </c:pt>
                <c:pt idx="9">
                  <c:v>Maria Garcia</c:v>
                </c:pt>
                <c:pt idx="10">
                  <c:v>Michael Brown</c:v>
                </c:pt>
                <c:pt idx="11">
                  <c:v>Priya Nair</c:v>
                </c:pt>
                <c:pt idx="12">
                  <c:v>Ravi Patel</c:v>
                </c:pt>
                <c:pt idx="13">
                  <c:v>Sarah Thompson</c:v>
                </c:pt>
                <c:pt idx="14">
                  <c:v>Wei Chen</c:v>
                </c:pt>
                <c:pt idx="15">
                  <c:v>Grand Total</c:v>
                </c:pt>
              </c:strCache>
            </c:strRef>
          </c:cat>
          <c:val>
            <c:numRef>
              <c:f>'Pivot Analysis'!$E$3:$E$18</c:f>
              <c:numCache>
                <c:formatCode>"₹"\ #,##0.00</c:formatCode>
                <c:ptCount val="16"/>
                <c:pt idx="0">
                  <c:v>61748.280000000021</c:v>
                </c:pt>
                <c:pt idx="1">
                  <c:v>62475.620000000017</c:v>
                </c:pt>
                <c:pt idx="2">
                  <c:v>77933.830000000016</c:v>
                </c:pt>
                <c:pt idx="3">
                  <c:v>78091.039999999964</c:v>
                </c:pt>
                <c:pt idx="4">
                  <c:v>67786.929999999993</c:v>
                </c:pt>
                <c:pt idx="5">
                  <c:v>76703.309999999983</c:v>
                </c:pt>
                <c:pt idx="6">
                  <c:v>70467.110000000044</c:v>
                </c:pt>
                <c:pt idx="7">
                  <c:v>65128.599999999962</c:v>
                </c:pt>
                <c:pt idx="8">
                  <c:v>62846.35</c:v>
                </c:pt>
                <c:pt idx="9">
                  <c:v>69322.210000000006</c:v>
                </c:pt>
                <c:pt idx="10">
                  <c:v>73290.12</c:v>
                </c:pt>
                <c:pt idx="11">
                  <c:v>81808.719999999943</c:v>
                </c:pt>
                <c:pt idx="12">
                  <c:v>75506.570000000007</c:v>
                </c:pt>
                <c:pt idx="13">
                  <c:v>61563.02</c:v>
                </c:pt>
                <c:pt idx="14">
                  <c:v>74607.880000000019</c:v>
                </c:pt>
                <c:pt idx="15">
                  <c:v>1059279.5900000001</c:v>
                </c:pt>
              </c:numCache>
            </c:numRef>
          </c:val>
          <c:extLst>
            <c:ext xmlns:c16="http://schemas.microsoft.com/office/drawing/2014/chart" uri="{C3380CC4-5D6E-409C-BE32-E72D297353CC}">
              <c16:uniqueId val="{00000000-D751-48A1-89CC-7251797D7BAC}"/>
            </c:ext>
          </c:extLst>
        </c:ser>
        <c:dLbls>
          <c:showLegendKey val="0"/>
          <c:showVal val="1"/>
          <c:showCatName val="0"/>
          <c:showSerName val="0"/>
          <c:showPercent val="0"/>
          <c:showBubbleSize val="0"/>
        </c:dLbls>
        <c:gapWidth val="35"/>
        <c:overlap val="-84"/>
        <c:axId val="577877519"/>
        <c:axId val="672988655"/>
      </c:barChart>
      <c:catAx>
        <c:axId val="5778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72988655"/>
        <c:crosses val="autoZero"/>
        <c:auto val="1"/>
        <c:lblAlgn val="ctr"/>
        <c:lblOffset val="100"/>
        <c:noMultiLvlLbl val="0"/>
      </c:catAx>
      <c:valAx>
        <c:axId val="6729886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57787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a:outerShdw blurRad="50800" dist="38100" dir="5400000" algn="t" rotWithShape="0">
        <a:prstClr val="black">
          <a:alpha val="83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r>
              <a:rPr lang="en-IN" sz="1100" b="1">
                <a:solidFill>
                  <a:schemeClr val="bg2">
                    <a:lumMod val="25000"/>
                  </a:schemeClr>
                </a:solidFill>
              </a:rPr>
              <a:t>Pay.</a:t>
            </a:r>
            <a:r>
              <a:rPr lang="en-IN" sz="1100" b="1" baseline="0">
                <a:solidFill>
                  <a:schemeClr val="bg2">
                    <a:lumMod val="25000"/>
                  </a:schemeClr>
                </a:solidFill>
              </a:rPr>
              <a:t> Method</a:t>
            </a:r>
            <a:r>
              <a:rPr lang="en-IN" sz="1100" b="1">
                <a:solidFill>
                  <a:schemeClr val="bg2">
                    <a:lumMod val="25000"/>
                  </a:schemeClr>
                </a:solidFill>
              </a:rPr>
              <a:t> </a:t>
            </a:r>
            <a:r>
              <a:rPr lang="en-IN" sz="1100" b="1" baseline="0">
                <a:solidFill>
                  <a:schemeClr val="bg2">
                    <a:lumMod val="25000"/>
                  </a:schemeClr>
                </a:solidFill>
              </a:rPr>
              <a:t> Distribution</a:t>
            </a:r>
          </a:p>
        </c:rich>
      </c:tx>
      <c:layout>
        <c:manualLayout>
          <c:xMode val="edge"/>
          <c:yMode val="edge"/>
          <c:x val="0.16443939317330966"/>
          <c:y val="1.1912500340022156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endParaRPr lang="en-US"/>
        </a:p>
      </c:txPr>
    </c:title>
    <c:autoTitleDeleted val="0"/>
    <c:plotArea>
      <c:layout>
        <c:manualLayout>
          <c:layoutTarget val="inner"/>
          <c:xMode val="edge"/>
          <c:yMode val="edge"/>
          <c:x val="0.25123051456282935"/>
          <c:y val="0.15539856693558901"/>
          <c:w val="0.49288620790475074"/>
          <c:h val="0.63092025472114888"/>
        </c:manualLayout>
      </c:layout>
      <c:pieChart>
        <c:varyColors val="1"/>
        <c:ser>
          <c:idx val="0"/>
          <c:order val="0"/>
          <c:tx>
            <c:strRef>
              <c:f>'Pivot Analysis'!$L$21</c:f>
              <c:strCache>
                <c:ptCount val="1"/>
                <c:pt idx="0">
                  <c:v>Count of Payment_Method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F8-4A26-A735-673716F6A3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F8-4A26-A735-673716F6A3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F8-4A26-A735-673716F6A3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F8-4A26-A735-673716F6A3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EF8-4A26-A735-673716F6A3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EF8-4A26-A735-673716F6A3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Analysis'!$K$22:$K$27</c:f>
              <c:strCache>
                <c:ptCount val="6"/>
                <c:pt idx="0">
                  <c:v>Bank Transfer</c:v>
                </c:pt>
                <c:pt idx="1">
                  <c:v>Cash</c:v>
                </c:pt>
                <c:pt idx="2">
                  <c:v>Check</c:v>
                </c:pt>
                <c:pt idx="3">
                  <c:v>Credit Card</c:v>
                </c:pt>
                <c:pt idx="4">
                  <c:v>Digital Wallet</c:v>
                </c:pt>
                <c:pt idx="5">
                  <c:v>PayPal</c:v>
                </c:pt>
              </c:strCache>
            </c:strRef>
          </c:cat>
          <c:val>
            <c:numRef>
              <c:f>'Pivot Analysis'!$L$22:$L$27</c:f>
              <c:numCache>
                <c:formatCode>General</c:formatCode>
                <c:ptCount val="6"/>
                <c:pt idx="0">
                  <c:v>347</c:v>
                </c:pt>
                <c:pt idx="1">
                  <c:v>356</c:v>
                </c:pt>
                <c:pt idx="2">
                  <c:v>317</c:v>
                </c:pt>
                <c:pt idx="3">
                  <c:v>318</c:v>
                </c:pt>
                <c:pt idx="4">
                  <c:v>342</c:v>
                </c:pt>
                <c:pt idx="5">
                  <c:v>320</c:v>
                </c:pt>
              </c:numCache>
            </c:numRef>
          </c:val>
          <c:extLst>
            <c:ext xmlns:c16="http://schemas.microsoft.com/office/drawing/2014/chart" uri="{C3380CC4-5D6E-409C-BE32-E72D297353CC}">
              <c16:uniqueId val="{0000000C-DEF8-4A26-A735-673716F6A34E}"/>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b"/>
      <c:layout>
        <c:manualLayout>
          <c:xMode val="edge"/>
          <c:yMode val="edge"/>
          <c:x val="7.8449562642479181E-2"/>
          <c:y val="0.79599702468889144"/>
          <c:w val="0.84310087471504158"/>
          <c:h val="0.192090474971086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accent1">
          <a:shade val="50000"/>
        </a:schemeClr>
      </a:solidFill>
      <a:round/>
    </a:ln>
    <a:effectLst>
      <a:outerShdw blurRad="50800" dist="50800" dir="5400000" algn="ctr" rotWithShape="0">
        <a:srgbClr val="000000">
          <a:alpha val="76000"/>
        </a:srgb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Customer Segment</cx:v>
        </cx:txData>
      </cx:tx>
      <cx:txPr>
        <a:bodyPr spcFirstLastPara="1" vertOverflow="ellipsis" horzOverflow="overflow" wrap="square" lIns="0" tIns="0" rIns="0" bIns="0" anchor="ctr" anchorCtr="1"/>
        <a:lstStyle/>
        <a:p>
          <a:pPr algn="ctr" rtl="0">
            <a:defRPr sz="1100" b="1">
              <a:solidFill>
                <a:schemeClr val="bg2">
                  <a:lumMod val="25000"/>
                </a:schemeClr>
              </a:solidFill>
            </a:defRPr>
          </a:pPr>
          <a:r>
            <a:rPr lang="en-US" sz="1100" b="1" i="0" u="none" strike="noStrike" baseline="0">
              <a:solidFill>
                <a:schemeClr val="bg2">
                  <a:lumMod val="25000"/>
                </a:schemeClr>
              </a:solidFill>
              <a:latin typeface="Calibri" panose="020F0502020204030204"/>
            </a:rPr>
            <a:t>Sales By Customer Segment</a:t>
          </a:r>
        </a:p>
      </cx:txPr>
    </cx:title>
    <cx:plotArea>
      <cx:plotAreaRegion>
        <cx:plotSurface>
          <cx:spPr>
            <a:solidFill>
              <a:schemeClr val="accent1">
                <a:lumMod val="60000"/>
                <a:lumOff val="40000"/>
              </a:schemeClr>
            </a:solidFill>
          </cx:spPr>
        </cx:plotSurface>
        <cx:series layoutId="funnel" uniqueId="{08DA6521-E540-49C2-9FAA-49E188FBF6C0}">
          <cx:tx>
            <cx:txData>
              <cx:f>_xlchart.v2.1</cx:f>
              <cx:v> Sum of Sales </cx:v>
            </cx:txData>
          </cx:tx>
          <cx:dataPt idx="0">
            <cx:spPr>
              <a:solidFill>
                <a:srgbClr val="4472C4">
                  <a:lumMod val="60000"/>
                  <a:lumOff val="40000"/>
                </a:srgbClr>
              </a:solidFill>
            </cx:spPr>
          </cx:dataPt>
          <cx:dataPt idx="1">
            <cx:spPr>
              <a:solidFill>
                <a:srgbClr val="4472C4">
                  <a:lumMod val="60000"/>
                  <a:lumOff val="40000"/>
                </a:srgbClr>
              </a:solidFill>
            </cx:spPr>
          </cx:dataPt>
          <cx:dataPt idx="2">
            <cx:spPr>
              <a:solidFill>
                <a:srgbClr val="4472C4">
                  <a:lumMod val="60000"/>
                  <a:lumOff val="40000"/>
                </a:srgbClr>
              </a:solidFill>
            </cx:spPr>
          </cx:dataPt>
          <cx:dataPt idx="3">
            <cx:spPr>
              <a:solidFill>
                <a:srgbClr val="4472C4">
                  <a:lumMod val="60000"/>
                  <a:lumOff val="40000"/>
                </a:srgbClr>
              </a:solidFill>
            </cx:spPr>
          </cx:dataPt>
          <cx:dataPt idx="4">
            <cx:spPr>
              <a:solidFill>
                <a:srgbClr val="4472C4">
                  <a:lumMod val="60000"/>
                  <a:lumOff val="40000"/>
                </a:srgbClr>
              </a:solidFill>
            </cx:spPr>
          </cx:dataPt>
          <cx:dataLabels>
            <cx:txPr>
              <a:bodyPr spcFirstLastPara="1" vertOverflow="ellipsis" horzOverflow="overflow" wrap="square" lIns="0" tIns="0" rIns="0" bIns="0" anchor="ctr" anchorCtr="1"/>
              <a:lstStyle/>
              <a:p>
                <a:pPr algn="ctr" rtl="0">
                  <a:defRPr>
                    <a:solidFill>
                      <a:schemeClr val="bg2">
                        <a:lumMod val="25000"/>
                      </a:schemeClr>
                    </a:solidFill>
                  </a:defRPr>
                </a:pPr>
                <a:endParaRPr lang="en-US" sz="900" b="0" i="0" u="none" strike="noStrike" baseline="0">
                  <a:solidFill>
                    <a:schemeClr val="bg2">
                      <a:lumMod val="25000"/>
                    </a:scheme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2">
                    <a:lumMod val="25000"/>
                  </a:schemeClr>
                </a:solidFill>
              </a:defRPr>
            </a:pPr>
            <a:endParaRPr lang="en-US" sz="900" b="0" i="0" u="none" strike="noStrike" baseline="0">
              <a:solidFill>
                <a:schemeClr val="bg2">
                  <a:lumMod val="25000"/>
                </a:schemeClr>
              </a:solidFill>
              <a:latin typeface="Calibri" panose="020F0502020204030204"/>
            </a:endParaRPr>
          </a:p>
        </cx:txPr>
      </cx:axis>
    </cx:plotArea>
  </cx:chart>
  <cx:spPr>
    <a:solidFill>
      <a:schemeClr val="accent1">
        <a:lumMod val="40000"/>
        <a:lumOff val="60000"/>
      </a:schemeClr>
    </a:solidFill>
    <a:ln>
      <a:solidFill>
        <a:schemeClr val="accent1">
          <a:shade val="50000"/>
        </a:schemeClr>
      </a:solidFill>
    </a:ln>
    <a:effectLst>
      <a:outerShdw blurRad="50800" dist="50800" dir="5400000" algn="ctr" rotWithShape="0">
        <a:srgbClr val="000000">
          <a:alpha val="76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microsoft.com/office/2014/relationships/chartEx" Target="../charts/chartEx1.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4.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431800</xdr:colOff>
      <xdr:row>29</xdr:row>
      <xdr:rowOff>135467</xdr:rowOff>
    </xdr:to>
    <xdr:sp macro="" textlink="">
      <xdr:nvSpPr>
        <xdr:cNvPr id="2" name="Rectangle: Rounded Corners 1">
          <a:extLst>
            <a:ext uri="{FF2B5EF4-FFF2-40B4-BE49-F238E27FC236}">
              <a16:creationId xmlns:a16="http://schemas.microsoft.com/office/drawing/2014/main" id="{F3A0ABEF-A90D-4653-A714-4BCEF2262561}"/>
            </a:ext>
          </a:extLst>
        </xdr:cNvPr>
        <xdr:cNvSpPr/>
      </xdr:nvSpPr>
      <xdr:spPr>
        <a:xfrm>
          <a:off x="0" y="0"/>
          <a:ext cx="12623800" cy="553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220980</xdr:colOff>
      <xdr:row>0</xdr:row>
      <xdr:rowOff>76200</xdr:rowOff>
    </xdr:from>
    <xdr:to>
      <xdr:col>15</xdr:col>
      <xdr:colOff>548640</xdr:colOff>
      <xdr:row>2</xdr:row>
      <xdr:rowOff>175260</xdr:rowOff>
    </xdr:to>
    <xdr:sp macro="" textlink="">
      <xdr:nvSpPr>
        <xdr:cNvPr id="3" name="Rectangle: Rounded Corners 2">
          <a:extLst>
            <a:ext uri="{FF2B5EF4-FFF2-40B4-BE49-F238E27FC236}">
              <a16:creationId xmlns:a16="http://schemas.microsoft.com/office/drawing/2014/main" id="{D171EDFD-13CE-4BB4-92FC-8623E267F957}"/>
            </a:ext>
          </a:extLst>
        </xdr:cNvPr>
        <xdr:cNvSpPr/>
      </xdr:nvSpPr>
      <xdr:spPr>
        <a:xfrm>
          <a:off x="5097780" y="76200"/>
          <a:ext cx="4594860" cy="4648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548640</xdr:colOff>
      <xdr:row>1</xdr:row>
      <xdr:rowOff>37408</xdr:rowOff>
    </xdr:from>
    <xdr:to>
      <xdr:col>13</xdr:col>
      <xdr:colOff>0</xdr:colOff>
      <xdr:row>3</xdr:row>
      <xdr:rowOff>6928</xdr:rowOff>
    </xdr:to>
    <xdr:sp macro="" textlink="">
      <xdr:nvSpPr>
        <xdr:cNvPr id="4" name="TextBox 3">
          <a:extLst>
            <a:ext uri="{FF2B5EF4-FFF2-40B4-BE49-F238E27FC236}">
              <a16:creationId xmlns:a16="http://schemas.microsoft.com/office/drawing/2014/main" id="{16279EC1-3796-49ED-8FAC-5B062C9FF6A6}"/>
            </a:ext>
          </a:extLst>
        </xdr:cNvPr>
        <xdr:cNvSpPr txBox="1"/>
      </xdr:nvSpPr>
      <xdr:spPr>
        <a:xfrm>
          <a:off x="3596640" y="220288"/>
          <a:ext cx="4328160" cy="335280"/>
        </a:xfrm>
        <a:prstGeom prst="rect">
          <a:avLst/>
        </a:prstGeom>
        <a:noFill/>
        <a:ln w="9525" cmpd="sng">
          <a:noFill/>
        </a:ln>
        <a:effectLst>
          <a:outerShdw blurRad="50800" dist="50800" dir="5400000" sx="98000" sy="98000" algn="ctr" rotWithShape="0">
            <a:srgbClr val="000000">
              <a:alpha val="8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tx1"/>
              </a:solidFill>
              <a:latin typeface="Bahnschrift SemiBold Condensed" panose="020B0502040204020203" pitchFamily="34" charset="0"/>
            </a:rPr>
            <a:t>Financial</a:t>
          </a:r>
          <a:r>
            <a:rPr lang="en-IN" sz="2400" b="1" baseline="0">
              <a:solidFill>
                <a:schemeClr val="tx1"/>
              </a:solidFill>
              <a:latin typeface="Bahnschrift SemiBold Condensed" panose="020B0502040204020203" pitchFamily="34" charset="0"/>
            </a:rPr>
            <a:t> Analytics Dashboard</a:t>
          </a:r>
          <a:endParaRPr lang="en-IN" sz="2400" b="1">
            <a:solidFill>
              <a:schemeClr val="tx1"/>
            </a:solidFill>
            <a:latin typeface="Bahnschrift SemiBold Condensed" panose="020B0502040204020203" pitchFamily="34" charset="0"/>
          </a:endParaRPr>
        </a:p>
      </xdr:txBody>
    </xdr:sp>
    <xdr:clientData/>
  </xdr:twoCellAnchor>
  <xdr:twoCellAnchor>
    <xdr:from>
      <xdr:col>2</xdr:col>
      <xdr:colOff>162097</xdr:colOff>
      <xdr:row>5</xdr:row>
      <xdr:rowOff>131618</xdr:rowOff>
    </xdr:from>
    <xdr:to>
      <xdr:col>7</xdr:col>
      <xdr:colOff>93517</xdr:colOff>
      <xdr:row>14</xdr:row>
      <xdr:rowOff>41563</xdr:rowOff>
    </xdr:to>
    <xdr:graphicFrame macro="">
      <xdr:nvGraphicFramePr>
        <xdr:cNvPr id="5" name="Chart 4">
          <a:extLst>
            <a:ext uri="{FF2B5EF4-FFF2-40B4-BE49-F238E27FC236}">
              <a16:creationId xmlns:a16="http://schemas.microsoft.com/office/drawing/2014/main" id="{7EB3A1C1-45FC-4144-8D9F-C1E0B3EB1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20782</xdr:colOff>
      <xdr:row>5</xdr:row>
      <xdr:rowOff>133696</xdr:rowOff>
    </xdr:from>
    <xdr:to>
      <xdr:col>2</xdr:col>
      <xdr:colOff>62346</xdr:colOff>
      <xdr:row>8</xdr:row>
      <xdr:rowOff>148936</xdr:rowOff>
    </xdr:to>
    <xdr:sp macro="" textlink="">
      <xdr:nvSpPr>
        <xdr:cNvPr id="6" name="Rectangle: Rounded Corners 5">
          <a:extLst>
            <a:ext uri="{FF2B5EF4-FFF2-40B4-BE49-F238E27FC236}">
              <a16:creationId xmlns:a16="http://schemas.microsoft.com/office/drawing/2014/main" id="{575E8298-8617-47C0-AFFA-1633B8B091F8}"/>
            </a:ext>
          </a:extLst>
        </xdr:cNvPr>
        <xdr:cNvSpPr/>
      </xdr:nvSpPr>
      <xdr:spPr>
        <a:xfrm>
          <a:off x="20782" y="1034241"/>
          <a:ext cx="1260764" cy="555568"/>
        </a:xfrm>
        <a:prstGeom prst="roundRect">
          <a:avLst/>
        </a:prstGeom>
        <a:solidFill>
          <a:schemeClr val="accent1">
            <a:lumMod val="75000"/>
          </a:schemeClr>
        </a:solidFill>
        <a:effectLst>
          <a:outerShdw blurRad="101600" dist="38100" dir="2700000" sx="103000" sy="103000" algn="tl" rotWithShape="0">
            <a:schemeClr val="tx1">
              <a:alpha val="47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Calibri"/>
            <a:ea typeface="Calibri"/>
            <a:cs typeface="Calibri"/>
          </a:endParaRPr>
        </a:p>
      </xdr:txBody>
    </xdr:sp>
    <xdr:clientData/>
  </xdr:twoCellAnchor>
  <xdr:twoCellAnchor>
    <xdr:from>
      <xdr:col>0</xdr:col>
      <xdr:colOff>41563</xdr:colOff>
      <xdr:row>16</xdr:row>
      <xdr:rowOff>22168</xdr:rowOff>
    </xdr:from>
    <xdr:to>
      <xdr:col>2</xdr:col>
      <xdr:colOff>96982</xdr:colOff>
      <xdr:row>19</xdr:row>
      <xdr:rowOff>37408</xdr:rowOff>
    </xdr:to>
    <xdr:sp macro="" textlink="'Pivot Analysis'!I25">
      <xdr:nvSpPr>
        <xdr:cNvPr id="7" name="Rectangle: Rounded Corners 6">
          <a:extLst>
            <a:ext uri="{FF2B5EF4-FFF2-40B4-BE49-F238E27FC236}">
              <a16:creationId xmlns:a16="http://schemas.microsoft.com/office/drawing/2014/main" id="{933D62D1-B8EB-4E17-BC00-B5244AAF195A}"/>
            </a:ext>
          </a:extLst>
        </xdr:cNvPr>
        <xdr:cNvSpPr/>
      </xdr:nvSpPr>
      <xdr:spPr>
        <a:xfrm>
          <a:off x="41563" y="2903913"/>
          <a:ext cx="1274619" cy="555568"/>
        </a:xfrm>
        <a:prstGeom prst="roundRect">
          <a:avLst/>
        </a:prstGeom>
        <a:solidFill>
          <a:schemeClr val="accent1">
            <a:lumMod val="75000"/>
          </a:schemeClr>
        </a:solidFill>
        <a:effectLst>
          <a:outerShdw blurRad="50800" dist="38100" dir="2700000" sx="103000" sy="103000" algn="tl" rotWithShape="0">
            <a:prstClr val="black">
              <a:alpha val="4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0" i="0" u="none" strike="noStrike">
            <a:solidFill>
              <a:srgbClr val="000000"/>
            </a:solidFill>
            <a:latin typeface="Calibri"/>
            <a:ea typeface="Calibri"/>
            <a:cs typeface="Calibri"/>
          </a:endParaRPr>
        </a:p>
      </xdr:txBody>
    </xdr:sp>
    <xdr:clientData/>
  </xdr:twoCellAnchor>
  <xdr:twoCellAnchor>
    <xdr:from>
      <xdr:col>0</xdr:col>
      <xdr:colOff>34637</xdr:colOff>
      <xdr:row>9</xdr:row>
      <xdr:rowOff>34636</xdr:rowOff>
    </xdr:from>
    <xdr:to>
      <xdr:col>2</xdr:col>
      <xdr:colOff>69273</xdr:colOff>
      <xdr:row>12</xdr:row>
      <xdr:rowOff>49876</xdr:rowOff>
    </xdr:to>
    <xdr:sp macro="" textlink="'Pivot Analysis'!I17">
      <xdr:nvSpPr>
        <xdr:cNvPr id="8" name="Rectangle: Rounded Corners 7">
          <a:extLst>
            <a:ext uri="{FF2B5EF4-FFF2-40B4-BE49-F238E27FC236}">
              <a16:creationId xmlns:a16="http://schemas.microsoft.com/office/drawing/2014/main" id="{67FED49C-1236-4D4A-A524-ADFCD78C6B36}"/>
            </a:ext>
          </a:extLst>
        </xdr:cNvPr>
        <xdr:cNvSpPr/>
      </xdr:nvSpPr>
      <xdr:spPr>
        <a:xfrm>
          <a:off x="34637" y="1655618"/>
          <a:ext cx="1253836" cy="555567"/>
        </a:xfrm>
        <a:prstGeom prst="roundRect">
          <a:avLst/>
        </a:prstGeom>
        <a:solidFill>
          <a:schemeClr val="accent1">
            <a:lumMod val="75000"/>
          </a:schemeClr>
        </a:solidFill>
        <a:effectLst>
          <a:outerShdw blurRad="50800" dist="38100" dir="2700000" sx="103000" sy="103000" algn="tl" rotWithShape="0">
            <a:prstClr val="black">
              <a:alpha val="4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Calibri"/>
            <a:ea typeface="Calibri"/>
            <a:cs typeface="Calibri"/>
          </a:endParaRPr>
        </a:p>
      </xdr:txBody>
    </xdr:sp>
    <xdr:clientData/>
  </xdr:twoCellAnchor>
  <xdr:twoCellAnchor>
    <xdr:from>
      <xdr:col>0</xdr:col>
      <xdr:colOff>48491</xdr:colOff>
      <xdr:row>19</xdr:row>
      <xdr:rowOff>100445</xdr:rowOff>
    </xdr:from>
    <xdr:to>
      <xdr:col>2</xdr:col>
      <xdr:colOff>90054</xdr:colOff>
      <xdr:row>22</xdr:row>
      <xdr:rowOff>115685</xdr:rowOff>
    </xdr:to>
    <xdr:sp macro="" textlink="J16">
      <xdr:nvSpPr>
        <xdr:cNvPr id="9" name="Rectangle: Rounded Corners 8">
          <a:extLst>
            <a:ext uri="{FF2B5EF4-FFF2-40B4-BE49-F238E27FC236}">
              <a16:creationId xmlns:a16="http://schemas.microsoft.com/office/drawing/2014/main" id="{9BBEBC80-3B98-4BC1-B0C2-C67B9C123CDD}"/>
            </a:ext>
          </a:extLst>
        </xdr:cNvPr>
        <xdr:cNvSpPr/>
      </xdr:nvSpPr>
      <xdr:spPr>
        <a:xfrm>
          <a:off x="48491" y="3522518"/>
          <a:ext cx="1260763" cy="555567"/>
        </a:xfrm>
        <a:prstGeom prst="roundRect">
          <a:avLst/>
        </a:prstGeom>
        <a:solidFill>
          <a:schemeClr val="accent1">
            <a:lumMod val="75000"/>
          </a:schemeClr>
        </a:solidFill>
        <a:effectLst>
          <a:outerShdw blurRad="50800" dist="38100" dir="2700000" sx="103000" sy="103000" algn="tl" rotWithShape="0">
            <a:prstClr val="black">
              <a:alpha val="4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B9623E6-684B-4CB9-86F5-E3F38D98317E}"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0</xdr:col>
      <xdr:colOff>41564</xdr:colOff>
      <xdr:row>12</xdr:row>
      <xdr:rowOff>119149</xdr:rowOff>
    </xdr:from>
    <xdr:to>
      <xdr:col>2</xdr:col>
      <xdr:colOff>76200</xdr:colOff>
      <xdr:row>15</xdr:row>
      <xdr:rowOff>134389</xdr:rowOff>
    </xdr:to>
    <xdr:sp macro="" textlink="'Pivot Analysis'!I21">
      <xdr:nvSpPr>
        <xdr:cNvPr id="11" name="Rectangle: Rounded Corners 10">
          <a:extLst>
            <a:ext uri="{FF2B5EF4-FFF2-40B4-BE49-F238E27FC236}">
              <a16:creationId xmlns:a16="http://schemas.microsoft.com/office/drawing/2014/main" id="{6575CD87-FD64-4E06-9763-88B2008B9769}"/>
            </a:ext>
          </a:extLst>
        </xdr:cNvPr>
        <xdr:cNvSpPr/>
      </xdr:nvSpPr>
      <xdr:spPr>
        <a:xfrm>
          <a:off x="41564" y="2280458"/>
          <a:ext cx="1253836" cy="555567"/>
        </a:xfrm>
        <a:prstGeom prst="roundRect">
          <a:avLst/>
        </a:prstGeom>
        <a:solidFill>
          <a:schemeClr val="accent1">
            <a:lumMod val="75000"/>
          </a:schemeClr>
        </a:solidFill>
        <a:effectLst>
          <a:outerShdw blurRad="50800" dist="38100" dir="2700000" sx="103000" sy="103000" algn="tl" rotWithShape="0">
            <a:prstClr val="black">
              <a:alpha val="4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0" i="0" u="none" strike="noStrike">
            <a:solidFill>
              <a:srgbClr val="000000"/>
            </a:solidFill>
            <a:latin typeface="Calibri"/>
            <a:ea typeface="Calibri"/>
            <a:cs typeface="Calibri"/>
          </a:endParaRPr>
        </a:p>
      </xdr:txBody>
    </xdr:sp>
    <xdr:clientData/>
  </xdr:twoCellAnchor>
  <xdr:twoCellAnchor>
    <xdr:from>
      <xdr:col>0</xdr:col>
      <xdr:colOff>41564</xdr:colOff>
      <xdr:row>23</xdr:row>
      <xdr:rowOff>18704</xdr:rowOff>
    </xdr:from>
    <xdr:to>
      <xdr:col>2</xdr:col>
      <xdr:colOff>96981</xdr:colOff>
      <xdr:row>26</xdr:row>
      <xdr:rowOff>33944</xdr:rowOff>
    </xdr:to>
    <xdr:sp macro="" textlink="G22">
      <xdr:nvSpPr>
        <xdr:cNvPr id="12" name="Rectangle: Rounded Corners 11">
          <a:extLst>
            <a:ext uri="{FF2B5EF4-FFF2-40B4-BE49-F238E27FC236}">
              <a16:creationId xmlns:a16="http://schemas.microsoft.com/office/drawing/2014/main" id="{13D43A40-ECB5-421D-9AEE-CA0C61342524}"/>
            </a:ext>
          </a:extLst>
        </xdr:cNvPr>
        <xdr:cNvSpPr/>
      </xdr:nvSpPr>
      <xdr:spPr>
        <a:xfrm>
          <a:off x="41564" y="4161213"/>
          <a:ext cx="1274617" cy="555567"/>
        </a:xfrm>
        <a:prstGeom prst="roundRect">
          <a:avLst/>
        </a:prstGeom>
        <a:solidFill>
          <a:schemeClr val="accent1">
            <a:lumMod val="75000"/>
          </a:schemeClr>
        </a:solidFill>
        <a:effectLst>
          <a:outerShdw blurRad="50800" dist="38100" dir="2700000" sx="103000" sy="103000" algn="tl" rotWithShape="0">
            <a:prstClr val="black">
              <a:alpha val="47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87745B0-75ED-4605-8E42-A26AF8B43A6D}" type="TxLink">
            <a:rPr lang="en-US" sz="1100" b="0" i="0" u="none" strike="noStrike">
              <a:solidFill>
                <a:srgbClr val="000000"/>
              </a:solidFill>
              <a:latin typeface="Calibri"/>
              <a:ea typeface="Calibri"/>
              <a:cs typeface="Calibri"/>
            </a:rPr>
            <a:pPr marL="0" indent="0" algn="l"/>
            <a:t> </a:t>
          </a:fld>
          <a:endParaRPr lang="en-IN" sz="1100" b="0" i="0" u="none" strike="noStrike">
            <a:solidFill>
              <a:srgbClr val="000000"/>
            </a:solidFill>
            <a:latin typeface="Calibri"/>
            <a:ea typeface="Calibri"/>
            <a:cs typeface="Calibri"/>
          </a:endParaRPr>
        </a:p>
      </xdr:txBody>
    </xdr:sp>
    <xdr:clientData/>
  </xdr:twoCellAnchor>
  <xdr:twoCellAnchor>
    <xdr:from>
      <xdr:col>0</xdr:col>
      <xdr:colOff>439188</xdr:colOff>
      <xdr:row>7</xdr:row>
      <xdr:rowOff>38792</xdr:rowOff>
    </xdr:from>
    <xdr:to>
      <xdr:col>2</xdr:col>
      <xdr:colOff>42948</xdr:colOff>
      <xdr:row>8</xdr:row>
      <xdr:rowOff>46412</xdr:rowOff>
    </xdr:to>
    <xdr:sp macro="" textlink="'Pivot Analysis'!I24">
      <xdr:nvSpPr>
        <xdr:cNvPr id="15" name="TextBox 14">
          <a:extLst>
            <a:ext uri="{FF2B5EF4-FFF2-40B4-BE49-F238E27FC236}">
              <a16:creationId xmlns:a16="http://schemas.microsoft.com/office/drawing/2014/main" id="{9FB1CF63-0EDF-4208-AF76-0C595988E0ED}"/>
            </a:ext>
          </a:extLst>
        </xdr:cNvPr>
        <xdr:cNvSpPr txBox="1"/>
      </xdr:nvSpPr>
      <xdr:spPr>
        <a:xfrm>
          <a:off x="439188" y="1299556"/>
          <a:ext cx="822960" cy="187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A8BA4B-F2BC-4DA4-A4CC-62E7439D0ADF}" type="TxLink">
            <a:rPr lang="en-US" sz="1100" b="0" i="0" u="none" strike="noStrike">
              <a:solidFill>
                <a:schemeClr val="bg1"/>
              </a:solidFill>
              <a:latin typeface="Calibri"/>
              <a:ea typeface="Calibri"/>
              <a:cs typeface="Calibri"/>
            </a:rPr>
            <a:pPr algn="ctr"/>
            <a:t> ₹ 6,11,862 </a:t>
          </a:fld>
          <a:endParaRPr lang="en-IN" sz="1100">
            <a:solidFill>
              <a:schemeClr val="bg1"/>
            </a:solidFill>
          </a:endParaRPr>
        </a:p>
      </xdr:txBody>
    </xdr:sp>
    <xdr:clientData/>
  </xdr:twoCellAnchor>
  <xdr:twoCellAnchor>
    <xdr:from>
      <xdr:col>0</xdr:col>
      <xdr:colOff>341513</xdr:colOff>
      <xdr:row>6</xdr:row>
      <xdr:rowOff>1385</xdr:rowOff>
    </xdr:from>
    <xdr:to>
      <xdr:col>2</xdr:col>
      <xdr:colOff>97673</xdr:colOff>
      <xdr:row>7</xdr:row>
      <xdr:rowOff>90054</xdr:rowOff>
    </xdr:to>
    <xdr:sp macro="" textlink="">
      <xdr:nvSpPr>
        <xdr:cNvPr id="16" name="TextBox 15">
          <a:extLst>
            <a:ext uri="{FF2B5EF4-FFF2-40B4-BE49-F238E27FC236}">
              <a16:creationId xmlns:a16="http://schemas.microsoft.com/office/drawing/2014/main" id="{B24EA2A5-79F1-435B-BA72-5A99D037B3B0}"/>
            </a:ext>
          </a:extLst>
        </xdr:cNvPr>
        <xdr:cNvSpPr txBox="1"/>
      </xdr:nvSpPr>
      <xdr:spPr>
        <a:xfrm>
          <a:off x="341513" y="1082040"/>
          <a:ext cx="975360" cy="268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Total Profit</a:t>
          </a:r>
        </a:p>
      </xdr:txBody>
    </xdr:sp>
    <xdr:clientData/>
  </xdr:twoCellAnchor>
  <xdr:twoCellAnchor>
    <xdr:from>
      <xdr:col>0</xdr:col>
      <xdr:colOff>361604</xdr:colOff>
      <xdr:row>9</xdr:row>
      <xdr:rowOff>76893</xdr:rowOff>
    </xdr:from>
    <xdr:to>
      <xdr:col>2</xdr:col>
      <xdr:colOff>133004</xdr:colOff>
      <xdr:row>10</xdr:row>
      <xdr:rowOff>114993</xdr:rowOff>
    </xdr:to>
    <xdr:sp macro="" textlink="">
      <xdr:nvSpPr>
        <xdr:cNvPr id="17" name="TextBox 16">
          <a:extLst>
            <a:ext uri="{FF2B5EF4-FFF2-40B4-BE49-F238E27FC236}">
              <a16:creationId xmlns:a16="http://schemas.microsoft.com/office/drawing/2014/main" id="{0DBF88F8-E09E-4093-9B5B-7DEF3EF54311}"/>
            </a:ext>
          </a:extLst>
        </xdr:cNvPr>
        <xdr:cNvSpPr txBox="1"/>
      </xdr:nvSpPr>
      <xdr:spPr>
        <a:xfrm>
          <a:off x="361604" y="1697875"/>
          <a:ext cx="990600" cy="2182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050" b="1" i="0" u="none" strike="noStrike">
              <a:solidFill>
                <a:schemeClr val="bg1"/>
              </a:solidFill>
              <a:latin typeface="Calibri"/>
              <a:ea typeface="Calibri"/>
              <a:cs typeface="Calibri"/>
            </a:rPr>
            <a:t>Average Profit</a:t>
          </a:r>
        </a:p>
      </xdr:txBody>
    </xdr:sp>
    <xdr:clientData/>
  </xdr:twoCellAnchor>
  <xdr:twoCellAnchor>
    <xdr:from>
      <xdr:col>0</xdr:col>
      <xdr:colOff>375458</xdr:colOff>
      <xdr:row>12</xdr:row>
      <xdr:rowOff>164176</xdr:rowOff>
    </xdr:from>
    <xdr:to>
      <xdr:col>2</xdr:col>
      <xdr:colOff>146858</xdr:colOff>
      <xdr:row>14</xdr:row>
      <xdr:rowOff>22167</xdr:rowOff>
    </xdr:to>
    <xdr:sp macro="" textlink="">
      <xdr:nvSpPr>
        <xdr:cNvPr id="18" name="TextBox 17">
          <a:extLst>
            <a:ext uri="{FF2B5EF4-FFF2-40B4-BE49-F238E27FC236}">
              <a16:creationId xmlns:a16="http://schemas.microsoft.com/office/drawing/2014/main" id="{768EE7A8-029E-4847-ACE4-111BA090E52B}"/>
            </a:ext>
          </a:extLst>
        </xdr:cNvPr>
        <xdr:cNvSpPr txBox="1"/>
      </xdr:nvSpPr>
      <xdr:spPr>
        <a:xfrm>
          <a:off x="375458" y="2325485"/>
          <a:ext cx="990600" cy="21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Average Sales</a:t>
          </a:r>
        </a:p>
      </xdr:txBody>
    </xdr:sp>
    <xdr:clientData/>
  </xdr:twoCellAnchor>
  <xdr:twoCellAnchor>
    <xdr:from>
      <xdr:col>0</xdr:col>
      <xdr:colOff>333202</xdr:colOff>
      <xdr:row>16</xdr:row>
      <xdr:rowOff>30480</xdr:rowOff>
    </xdr:from>
    <xdr:to>
      <xdr:col>2</xdr:col>
      <xdr:colOff>104602</xdr:colOff>
      <xdr:row>17</xdr:row>
      <xdr:rowOff>68579</xdr:rowOff>
    </xdr:to>
    <xdr:sp macro="" textlink="">
      <xdr:nvSpPr>
        <xdr:cNvPr id="19" name="TextBox 18">
          <a:extLst>
            <a:ext uri="{FF2B5EF4-FFF2-40B4-BE49-F238E27FC236}">
              <a16:creationId xmlns:a16="http://schemas.microsoft.com/office/drawing/2014/main" id="{9D614412-D33B-4FB3-9F1C-08BA796BC5B4}"/>
            </a:ext>
          </a:extLst>
        </xdr:cNvPr>
        <xdr:cNvSpPr txBox="1"/>
      </xdr:nvSpPr>
      <xdr:spPr>
        <a:xfrm>
          <a:off x="333202" y="2912225"/>
          <a:ext cx="990600" cy="21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Max.</a:t>
          </a:r>
          <a:r>
            <a:rPr lang="en-IN" sz="1050" b="1" baseline="0">
              <a:solidFill>
                <a:schemeClr val="bg1"/>
              </a:solidFill>
            </a:rPr>
            <a:t> Profit</a:t>
          </a:r>
          <a:endParaRPr lang="en-IN" sz="1050" b="1">
            <a:solidFill>
              <a:schemeClr val="bg1"/>
            </a:solidFill>
          </a:endParaRPr>
        </a:p>
      </xdr:txBody>
    </xdr:sp>
    <xdr:clientData/>
  </xdr:twoCellAnchor>
  <xdr:twoCellAnchor>
    <xdr:from>
      <xdr:col>0</xdr:col>
      <xdr:colOff>338050</xdr:colOff>
      <xdr:row>23</xdr:row>
      <xdr:rowOff>61652</xdr:rowOff>
    </xdr:from>
    <xdr:to>
      <xdr:col>2</xdr:col>
      <xdr:colOff>109450</xdr:colOff>
      <xdr:row>24</xdr:row>
      <xdr:rowOff>99752</xdr:rowOff>
    </xdr:to>
    <xdr:sp macro="" textlink="">
      <xdr:nvSpPr>
        <xdr:cNvPr id="20" name="TextBox 19">
          <a:extLst>
            <a:ext uri="{FF2B5EF4-FFF2-40B4-BE49-F238E27FC236}">
              <a16:creationId xmlns:a16="http://schemas.microsoft.com/office/drawing/2014/main" id="{56206A34-2BAA-497D-AE16-30B5761D0644}"/>
            </a:ext>
          </a:extLst>
        </xdr:cNvPr>
        <xdr:cNvSpPr txBox="1"/>
      </xdr:nvSpPr>
      <xdr:spPr>
        <a:xfrm>
          <a:off x="338050" y="4204161"/>
          <a:ext cx="990600" cy="21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Average Cost</a:t>
          </a:r>
        </a:p>
      </xdr:txBody>
    </xdr:sp>
    <xdr:clientData/>
  </xdr:twoCellAnchor>
  <xdr:twoCellAnchor>
    <xdr:from>
      <xdr:col>0</xdr:col>
      <xdr:colOff>333202</xdr:colOff>
      <xdr:row>19</xdr:row>
      <xdr:rowOff>171104</xdr:rowOff>
    </xdr:from>
    <xdr:to>
      <xdr:col>2</xdr:col>
      <xdr:colOff>104602</xdr:colOff>
      <xdr:row>21</xdr:row>
      <xdr:rowOff>29095</xdr:rowOff>
    </xdr:to>
    <xdr:sp macro="" textlink="">
      <xdr:nvSpPr>
        <xdr:cNvPr id="21" name="TextBox 20">
          <a:extLst>
            <a:ext uri="{FF2B5EF4-FFF2-40B4-BE49-F238E27FC236}">
              <a16:creationId xmlns:a16="http://schemas.microsoft.com/office/drawing/2014/main" id="{E950CF07-BF93-444C-A768-2AD559813415}"/>
            </a:ext>
          </a:extLst>
        </xdr:cNvPr>
        <xdr:cNvSpPr txBox="1"/>
      </xdr:nvSpPr>
      <xdr:spPr>
        <a:xfrm>
          <a:off x="333202" y="3593177"/>
          <a:ext cx="990600" cy="21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Min.Sales</a:t>
          </a:r>
        </a:p>
      </xdr:txBody>
    </xdr:sp>
    <xdr:clientData/>
  </xdr:twoCellAnchor>
  <xdr:twoCellAnchor>
    <xdr:from>
      <xdr:col>0</xdr:col>
      <xdr:colOff>397625</xdr:colOff>
      <xdr:row>10</xdr:row>
      <xdr:rowOff>101832</xdr:rowOff>
    </xdr:from>
    <xdr:to>
      <xdr:col>2</xdr:col>
      <xdr:colOff>115685</xdr:colOff>
      <xdr:row>11</xdr:row>
      <xdr:rowOff>124692</xdr:rowOff>
    </xdr:to>
    <xdr:sp macro="" textlink="'Pivot Analysis'!G20">
      <xdr:nvSpPr>
        <xdr:cNvPr id="22" name="TextBox 21">
          <a:extLst>
            <a:ext uri="{FF2B5EF4-FFF2-40B4-BE49-F238E27FC236}">
              <a16:creationId xmlns:a16="http://schemas.microsoft.com/office/drawing/2014/main" id="{2FB0C948-F395-4195-9534-55D02BC10124}"/>
            </a:ext>
          </a:extLst>
        </xdr:cNvPr>
        <xdr:cNvSpPr txBox="1"/>
      </xdr:nvSpPr>
      <xdr:spPr>
        <a:xfrm>
          <a:off x="397625" y="1902923"/>
          <a:ext cx="937260" cy="2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B6F6A0D-494C-484E-A1F3-4702937F3830}" type="TxLink">
            <a:rPr lang="en-US" sz="1100" b="0" i="0" u="none" strike="noStrike">
              <a:solidFill>
                <a:schemeClr val="bg1"/>
              </a:solidFill>
              <a:latin typeface="Calibri"/>
              <a:ea typeface="Calibri"/>
              <a:cs typeface="Calibri"/>
            </a:rPr>
            <a:pPr algn="ctr"/>
            <a:t>306</a:t>
          </a:fld>
          <a:endParaRPr lang="en-IN" sz="1100">
            <a:solidFill>
              <a:schemeClr val="bg1"/>
            </a:solidFill>
          </a:endParaRPr>
        </a:p>
      </xdr:txBody>
    </xdr:sp>
    <xdr:clientData/>
  </xdr:twoCellAnchor>
  <xdr:twoCellAnchor>
    <xdr:from>
      <xdr:col>0</xdr:col>
      <xdr:colOff>381692</xdr:colOff>
      <xdr:row>24</xdr:row>
      <xdr:rowOff>89363</xdr:rowOff>
    </xdr:from>
    <xdr:to>
      <xdr:col>2</xdr:col>
      <xdr:colOff>99752</xdr:colOff>
      <xdr:row>25</xdr:row>
      <xdr:rowOff>112223</xdr:rowOff>
    </xdr:to>
    <xdr:sp macro="" textlink="'Pivot Analysis'!K13">
      <xdr:nvSpPr>
        <xdr:cNvPr id="24" name="TextBox 23">
          <a:extLst>
            <a:ext uri="{FF2B5EF4-FFF2-40B4-BE49-F238E27FC236}">
              <a16:creationId xmlns:a16="http://schemas.microsoft.com/office/drawing/2014/main" id="{8CFC5DA6-EDDD-4FD6-B152-9646C13777CE}"/>
            </a:ext>
          </a:extLst>
        </xdr:cNvPr>
        <xdr:cNvSpPr txBox="1"/>
      </xdr:nvSpPr>
      <xdr:spPr>
        <a:xfrm>
          <a:off x="381692" y="4411981"/>
          <a:ext cx="937260" cy="2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5F1A265-C22D-4FA5-8118-445F323D94F2}" type="TxLink">
            <a:rPr lang="en-US" sz="1100" b="0" i="0" u="none" strike="noStrike">
              <a:solidFill>
                <a:schemeClr val="bg1"/>
              </a:solidFill>
              <a:latin typeface="Calibri"/>
              <a:ea typeface="Calibri"/>
              <a:cs typeface="Calibri"/>
            </a:rPr>
            <a:pPr algn="ctr"/>
            <a:t>223.71</a:t>
          </a:fld>
          <a:endParaRPr lang="en-IN" sz="1100">
            <a:solidFill>
              <a:schemeClr val="bg1"/>
            </a:solidFill>
          </a:endParaRPr>
        </a:p>
      </xdr:txBody>
    </xdr:sp>
    <xdr:clientData/>
  </xdr:twoCellAnchor>
  <xdr:twoCellAnchor>
    <xdr:from>
      <xdr:col>0</xdr:col>
      <xdr:colOff>356061</xdr:colOff>
      <xdr:row>21</xdr:row>
      <xdr:rowOff>51955</xdr:rowOff>
    </xdr:from>
    <xdr:to>
      <xdr:col>2</xdr:col>
      <xdr:colOff>74121</xdr:colOff>
      <xdr:row>22</xdr:row>
      <xdr:rowOff>74815</xdr:rowOff>
    </xdr:to>
    <xdr:sp macro="" textlink="'Pivot Analysis'!G27">
      <xdr:nvSpPr>
        <xdr:cNvPr id="25" name="TextBox 24">
          <a:extLst>
            <a:ext uri="{FF2B5EF4-FFF2-40B4-BE49-F238E27FC236}">
              <a16:creationId xmlns:a16="http://schemas.microsoft.com/office/drawing/2014/main" id="{A7507CAA-BE29-48E5-9FA0-437CC9DABABE}"/>
            </a:ext>
          </a:extLst>
        </xdr:cNvPr>
        <xdr:cNvSpPr txBox="1"/>
      </xdr:nvSpPr>
      <xdr:spPr>
        <a:xfrm>
          <a:off x="356061" y="3834246"/>
          <a:ext cx="937260" cy="2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2ECD4C-C68B-4804-8EA8-6C3CE50D3939}" type="TxLink">
            <a:rPr lang="en-US" sz="1100" b="0" i="0" u="none" strike="noStrike">
              <a:solidFill>
                <a:schemeClr val="bg1"/>
              </a:solidFill>
              <a:latin typeface="Calibri"/>
              <a:ea typeface="Calibri"/>
              <a:cs typeface="Calibri"/>
            </a:rPr>
            <a:pPr algn="ctr"/>
            <a:t>6.08</a:t>
          </a:fld>
          <a:endParaRPr lang="en-IN" sz="1100">
            <a:solidFill>
              <a:schemeClr val="bg1"/>
            </a:solidFill>
          </a:endParaRPr>
        </a:p>
      </xdr:txBody>
    </xdr:sp>
    <xdr:clientData/>
  </xdr:twoCellAnchor>
  <xdr:twoCellAnchor>
    <xdr:from>
      <xdr:col>0</xdr:col>
      <xdr:colOff>356061</xdr:colOff>
      <xdr:row>17</xdr:row>
      <xdr:rowOff>94905</xdr:rowOff>
    </xdr:from>
    <xdr:to>
      <xdr:col>2</xdr:col>
      <xdr:colOff>74121</xdr:colOff>
      <xdr:row>18</xdr:row>
      <xdr:rowOff>117765</xdr:rowOff>
    </xdr:to>
    <xdr:sp macro="" textlink="'Pivot Analysis'!I21">
      <xdr:nvSpPr>
        <xdr:cNvPr id="26" name="TextBox 25">
          <a:extLst>
            <a:ext uri="{FF2B5EF4-FFF2-40B4-BE49-F238E27FC236}">
              <a16:creationId xmlns:a16="http://schemas.microsoft.com/office/drawing/2014/main" id="{0D24A807-1F19-4400-BEFF-7763136588FF}"/>
            </a:ext>
          </a:extLst>
        </xdr:cNvPr>
        <xdr:cNvSpPr txBox="1"/>
      </xdr:nvSpPr>
      <xdr:spPr>
        <a:xfrm>
          <a:off x="356061" y="3156760"/>
          <a:ext cx="937260" cy="2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EB1A12-3E17-4AAB-A97C-7EA58507B6BB}" type="TxLink">
            <a:rPr lang="en-US" sz="1100" b="0" i="0" u="none" strike="noStrike">
              <a:solidFill>
                <a:schemeClr val="bg1"/>
              </a:solidFill>
              <a:latin typeface="Calibri"/>
              <a:ea typeface="Calibri"/>
              <a:cs typeface="Calibri"/>
            </a:rPr>
            <a:pPr algn="ctr"/>
            <a:t>₹ 1,626</a:t>
          </a:fld>
          <a:endParaRPr lang="en-IN" sz="1100">
            <a:solidFill>
              <a:schemeClr val="bg1"/>
            </a:solidFill>
          </a:endParaRPr>
        </a:p>
      </xdr:txBody>
    </xdr:sp>
    <xdr:clientData/>
  </xdr:twoCellAnchor>
  <xdr:twoCellAnchor>
    <xdr:from>
      <xdr:col>0</xdr:col>
      <xdr:colOff>432954</xdr:colOff>
      <xdr:row>14</xdr:row>
      <xdr:rowOff>45028</xdr:rowOff>
    </xdr:from>
    <xdr:to>
      <xdr:col>2</xdr:col>
      <xdr:colOff>151014</xdr:colOff>
      <xdr:row>15</xdr:row>
      <xdr:rowOff>67888</xdr:rowOff>
    </xdr:to>
    <xdr:sp macro="" textlink="'Pivot Analysis'!I13">
      <xdr:nvSpPr>
        <xdr:cNvPr id="27" name="TextBox 26">
          <a:extLst>
            <a:ext uri="{FF2B5EF4-FFF2-40B4-BE49-F238E27FC236}">
              <a16:creationId xmlns:a16="http://schemas.microsoft.com/office/drawing/2014/main" id="{911B16DA-9631-426C-9952-207BA6A2635A}"/>
            </a:ext>
          </a:extLst>
        </xdr:cNvPr>
        <xdr:cNvSpPr txBox="1"/>
      </xdr:nvSpPr>
      <xdr:spPr>
        <a:xfrm>
          <a:off x="432954" y="2566555"/>
          <a:ext cx="937260" cy="20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CC6DEC-C176-4BAD-981C-45BAFBC7D7DA}" type="TxLink">
            <a:rPr lang="en-US" sz="1100" b="0" i="0" u="none" strike="noStrike">
              <a:solidFill>
                <a:schemeClr val="bg1"/>
              </a:solidFill>
              <a:latin typeface="Calibri"/>
              <a:ea typeface="Calibri"/>
              <a:cs typeface="Calibri"/>
            </a:rPr>
            <a:pPr algn="ctr"/>
            <a:t>529.64</a:t>
          </a:fld>
          <a:endParaRPr lang="en-IN" sz="1100">
            <a:solidFill>
              <a:schemeClr val="bg1"/>
            </a:solidFill>
          </a:endParaRPr>
        </a:p>
      </xdr:txBody>
    </xdr:sp>
    <xdr:clientData/>
  </xdr:twoCellAnchor>
  <xdr:twoCellAnchor>
    <xdr:from>
      <xdr:col>0</xdr:col>
      <xdr:colOff>45720</xdr:colOff>
      <xdr:row>0</xdr:row>
      <xdr:rowOff>53340</xdr:rowOff>
    </xdr:from>
    <xdr:to>
      <xdr:col>18</xdr:col>
      <xdr:colOff>510540</xdr:colOff>
      <xdr:row>27</xdr:row>
      <xdr:rowOff>106680</xdr:rowOff>
    </xdr:to>
    <xdr:sp macro="" textlink="">
      <xdr:nvSpPr>
        <xdr:cNvPr id="28" name="Rectangle: Rounded Corners 27">
          <a:extLst>
            <a:ext uri="{FF2B5EF4-FFF2-40B4-BE49-F238E27FC236}">
              <a16:creationId xmlns:a16="http://schemas.microsoft.com/office/drawing/2014/main" id="{7AB41A02-9BB7-4FD4-8B33-8348CC9E3F5E}"/>
            </a:ext>
          </a:extLst>
        </xdr:cNvPr>
        <xdr:cNvSpPr/>
      </xdr:nvSpPr>
      <xdr:spPr>
        <a:xfrm>
          <a:off x="45720" y="53340"/>
          <a:ext cx="11437620" cy="4991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131616</xdr:colOff>
      <xdr:row>5</xdr:row>
      <xdr:rowOff>145473</xdr:rowOff>
    </xdr:from>
    <xdr:to>
      <xdr:col>16</xdr:col>
      <xdr:colOff>574963</xdr:colOff>
      <xdr:row>14</xdr:row>
      <xdr:rowOff>34636</xdr:rowOff>
    </xdr:to>
    <xdr:graphicFrame macro="">
      <xdr:nvGraphicFramePr>
        <xdr:cNvPr id="30" name="Chart 29">
          <a:extLst>
            <a:ext uri="{FF2B5EF4-FFF2-40B4-BE49-F238E27FC236}">
              <a16:creationId xmlns:a16="http://schemas.microsoft.com/office/drawing/2014/main" id="{21B2FA1B-3983-43F6-815E-07FD5D23F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159327</xdr:colOff>
      <xdr:row>14</xdr:row>
      <xdr:rowOff>83128</xdr:rowOff>
    </xdr:from>
    <xdr:to>
      <xdr:col>7</xdr:col>
      <xdr:colOff>117763</xdr:colOff>
      <xdr:row>26</xdr:row>
      <xdr:rowOff>6928</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8E9B964F-56E4-4590-99E4-4E7F3CEA81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78527" y="2643448"/>
              <a:ext cx="3006436" cy="2118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159326</xdr:colOff>
      <xdr:row>14</xdr:row>
      <xdr:rowOff>83127</xdr:rowOff>
    </xdr:from>
    <xdr:to>
      <xdr:col>12</xdr:col>
      <xdr:colOff>256309</xdr:colOff>
      <xdr:row>26</xdr:row>
      <xdr:rowOff>13855</xdr:rowOff>
    </xdr:to>
    <xdr:graphicFrame macro="">
      <xdr:nvGraphicFramePr>
        <xdr:cNvPr id="34" name="Chart 33">
          <a:extLst>
            <a:ext uri="{FF2B5EF4-FFF2-40B4-BE49-F238E27FC236}">
              <a16:creationId xmlns:a16="http://schemas.microsoft.com/office/drawing/2014/main" id="{60675308-4832-4484-99DE-E9DC447B0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290944</xdr:colOff>
      <xdr:row>14</xdr:row>
      <xdr:rowOff>69273</xdr:rowOff>
    </xdr:from>
    <xdr:to>
      <xdr:col>16</xdr:col>
      <xdr:colOff>581890</xdr:colOff>
      <xdr:row>26</xdr:row>
      <xdr:rowOff>6927</xdr:rowOff>
    </xdr:to>
    <xdr:graphicFrame macro="">
      <xdr:nvGraphicFramePr>
        <xdr:cNvPr id="35" name="Chart 34">
          <a:extLst>
            <a:ext uri="{FF2B5EF4-FFF2-40B4-BE49-F238E27FC236}">
              <a16:creationId xmlns:a16="http://schemas.microsoft.com/office/drawing/2014/main" id="{B61DC698-CA88-49DA-9A06-6B2394146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55419</xdr:colOff>
      <xdr:row>6</xdr:row>
      <xdr:rowOff>27709</xdr:rowOff>
    </xdr:from>
    <xdr:to>
      <xdr:col>0</xdr:col>
      <xdr:colOff>422565</xdr:colOff>
      <xdr:row>8</xdr:row>
      <xdr:rowOff>55416</xdr:rowOff>
    </xdr:to>
    <xdr:pic>
      <xdr:nvPicPr>
        <xdr:cNvPr id="37" name="Graphic 36" descr="Money">
          <a:extLst>
            <a:ext uri="{FF2B5EF4-FFF2-40B4-BE49-F238E27FC236}">
              <a16:creationId xmlns:a16="http://schemas.microsoft.com/office/drawing/2014/main" id="{A1E880B8-7212-4A8E-A317-4D78393FCD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5419" y="1108364"/>
          <a:ext cx="367146" cy="387925"/>
        </a:xfrm>
        <a:prstGeom prst="rect">
          <a:avLst/>
        </a:prstGeom>
      </xdr:spPr>
    </xdr:pic>
    <xdr:clientData/>
  </xdr:twoCellAnchor>
  <xdr:twoCellAnchor editAs="oneCell">
    <xdr:from>
      <xdr:col>0</xdr:col>
      <xdr:colOff>0</xdr:colOff>
      <xdr:row>9</xdr:row>
      <xdr:rowOff>166254</xdr:rowOff>
    </xdr:from>
    <xdr:to>
      <xdr:col>0</xdr:col>
      <xdr:colOff>450273</xdr:colOff>
      <xdr:row>11</xdr:row>
      <xdr:rowOff>152400</xdr:rowOff>
    </xdr:to>
    <xdr:pic>
      <xdr:nvPicPr>
        <xdr:cNvPr id="46" name="Graphic 45" descr="Bar graph with upward trend">
          <a:extLst>
            <a:ext uri="{FF2B5EF4-FFF2-40B4-BE49-F238E27FC236}">
              <a16:creationId xmlns:a16="http://schemas.microsoft.com/office/drawing/2014/main" id="{24F4A2EE-89CF-4D6B-9B55-B5D35A67D3A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0" y="1787236"/>
          <a:ext cx="450273" cy="346364"/>
        </a:xfrm>
        <a:prstGeom prst="rect">
          <a:avLst/>
        </a:prstGeom>
      </xdr:spPr>
    </xdr:pic>
    <xdr:clientData/>
  </xdr:twoCellAnchor>
  <xdr:twoCellAnchor editAs="oneCell">
    <xdr:from>
      <xdr:col>0</xdr:col>
      <xdr:colOff>27708</xdr:colOff>
      <xdr:row>13</xdr:row>
      <xdr:rowOff>27709</xdr:rowOff>
    </xdr:from>
    <xdr:to>
      <xdr:col>0</xdr:col>
      <xdr:colOff>415635</xdr:colOff>
      <xdr:row>15</xdr:row>
      <xdr:rowOff>138546</xdr:rowOff>
    </xdr:to>
    <xdr:pic>
      <xdr:nvPicPr>
        <xdr:cNvPr id="48" name="Graphic 47" descr="Shopping cart">
          <a:extLst>
            <a:ext uri="{FF2B5EF4-FFF2-40B4-BE49-F238E27FC236}">
              <a16:creationId xmlns:a16="http://schemas.microsoft.com/office/drawing/2014/main" id="{7402B27A-3D69-4A25-92F0-96B78FACAC1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7708" y="2369127"/>
          <a:ext cx="387927" cy="471055"/>
        </a:xfrm>
        <a:prstGeom prst="rect">
          <a:avLst/>
        </a:prstGeom>
      </xdr:spPr>
    </xdr:pic>
    <xdr:clientData/>
  </xdr:twoCellAnchor>
  <xdr:twoCellAnchor editAs="oneCell">
    <xdr:from>
      <xdr:col>0</xdr:col>
      <xdr:colOff>13854</xdr:colOff>
      <xdr:row>16</xdr:row>
      <xdr:rowOff>138546</xdr:rowOff>
    </xdr:from>
    <xdr:to>
      <xdr:col>0</xdr:col>
      <xdr:colOff>443345</xdr:colOff>
      <xdr:row>19</xdr:row>
      <xdr:rowOff>1</xdr:rowOff>
    </xdr:to>
    <xdr:pic>
      <xdr:nvPicPr>
        <xdr:cNvPr id="50" name="Graphic 49" descr="Trophy">
          <a:extLst>
            <a:ext uri="{FF2B5EF4-FFF2-40B4-BE49-F238E27FC236}">
              <a16:creationId xmlns:a16="http://schemas.microsoft.com/office/drawing/2014/main" id="{883D9D7C-CC9E-4C7C-937F-3C82678429C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854" y="3020291"/>
          <a:ext cx="429491" cy="401783"/>
        </a:xfrm>
        <a:prstGeom prst="rect">
          <a:avLst/>
        </a:prstGeom>
      </xdr:spPr>
    </xdr:pic>
    <xdr:clientData/>
  </xdr:twoCellAnchor>
  <xdr:twoCellAnchor editAs="oneCell">
    <xdr:from>
      <xdr:col>0</xdr:col>
      <xdr:colOff>20782</xdr:colOff>
      <xdr:row>20</xdr:row>
      <xdr:rowOff>83128</xdr:rowOff>
    </xdr:from>
    <xdr:to>
      <xdr:col>0</xdr:col>
      <xdr:colOff>519545</xdr:colOff>
      <xdr:row>22</xdr:row>
      <xdr:rowOff>90056</xdr:rowOff>
    </xdr:to>
    <xdr:pic>
      <xdr:nvPicPr>
        <xdr:cNvPr id="52" name="Graphic 51" descr="Upward trend">
          <a:extLst>
            <a:ext uri="{FF2B5EF4-FFF2-40B4-BE49-F238E27FC236}">
              <a16:creationId xmlns:a16="http://schemas.microsoft.com/office/drawing/2014/main" id="{B6CE21FA-F0E3-42C1-A4B9-56577775D0E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0782" y="3685310"/>
          <a:ext cx="498763" cy="367146"/>
        </a:xfrm>
        <a:prstGeom prst="rect">
          <a:avLst/>
        </a:prstGeom>
      </xdr:spPr>
    </xdr:pic>
    <xdr:clientData/>
  </xdr:twoCellAnchor>
  <xdr:twoCellAnchor editAs="oneCell">
    <xdr:from>
      <xdr:col>0</xdr:col>
      <xdr:colOff>0</xdr:colOff>
      <xdr:row>23</xdr:row>
      <xdr:rowOff>83127</xdr:rowOff>
    </xdr:from>
    <xdr:to>
      <xdr:col>0</xdr:col>
      <xdr:colOff>457200</xdr:colOff>
      <xdr:row>25</xdr:row>
      <xdr:rowOff>145473</xdr:rowOff>
    </xdr:to>
    <xdr:pic>
      <xdr:nvPicPr>
        <xdr:cNvPr id="54" name="Graphic 53" descr="Calculator">
          <a:extLst>
            <a:ext uri="{FF2B5EF4-FFF2-40B4-BE49-F238E27FC236}">
              <a16:creationId xmlns:a16="http://schemas.microsoft.com/office/drawing/2014/main" id="{0EBAEEC5-7C7A-44F8-8EE9-BAEBAD129CE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0" y="4225636"/>
          <a:ext cx="457200" cy="422564"/>
        </a:xfrm>
        <a:prstGeom prst="rect">
          <a:avLst/>
        </a:prstGeom>
      </xdr:spPr>
    </xdr:pic>
    <xdr:clientData/>
  </xdr:twoCellAnchor>
  <xdr:twoCellAnchor editAs="absolute">
    <xdr:from>
      <xdr:col>17</xdr:col>
      <xdr:colOff>847</xdr:colOff>
      <xdr:row>0</xdr:row>
      <xdr:rowOff>176953</xdr:rowOff>
    </xdr:from>
    <xdr:to>
      <xdr:col>19</xdr:col>
      <xdr:colOff>579967</xdr:colOff>
      <xdr:row>5</xdr:row>
      <xdr:rowOff>169333</xdr:rowOff>
    </xdr:to>
    <mc:AlternateContent xmlns:mc="http://schemas.openxmlformats.org/markup-compatibility/2006" xmlns:a14="http://schemas.microsoft.com/office/drawing/2010/main">
      <mc:Choice Requires="a14">
        <xdr:graphicFrame macro="">
          <xdr:nvGraphicFramePr>
            <xdr:cNvPr id="56" name="Order_Date">
              <a:extLst>
                <a:ext uri="{FF2B5EF4-FFF2-40B4-BE49-F238E27FC236}">
                  <a16:creationId xmlns:a16="http://schemas.microsoft.com/office/drawing/2014/main" id="{7941A2B4-872E-47EA-B86D-B4FA2400AFD3}"/>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0364047" y="176953"/>
              <a:ext cx="1798320" cy="92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21</xdr:row>
      <xdr:rowOff>58420</xdr:rowOff>
    </xdr:from>
    <xdr:to>
      <xdr:col>19</xdr:col>
      <xdr:colOff>596040</xdr:colOff>
      <xdr:row>26</xdr:row>
      <xdr:rowOff>12700</xdr:rowOff>
    </xdr:to>
    <mc:AlternateContent xmlns:mc="http://schemas.openxmlformats.org/markup-compatibility/2006" xmlns:a14="http://schemas.microsoft.com/office/drawing/2010/main">
      <mc:Choice Requires="a14">
        <xdr:graphicFrame macro="">
          <xdr:nvGraphicFramePr>
            <xdr:cNvPr id="57" name="Payment_Method">
              <a:extLst>
                <a:ext uri="{FF2B5EF4-FFF2-40B4-BE49-F238E27FC236}">
                  <a16:creationId xmlns:a16="http://schemas.microsoft.com/office/drawing/2014/main" id="{5B355D79-674E-4A4A-B9BC-BF825B97561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378440" y="3970020"/>
              <a:ext cx="1800000" cy="885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6</xdr:row>
      <xdr:rowOff>16935</xdr:rowOff>
    </xdr:from>
    <xdr:to>
      <xdr:col>19</xdr:col>
      <xdr:colOff>588420</xdr:colOff>
      <xdr:row>11</xdr:row>
      <xdr:rowOff>24555</xdr:rowOff>
    </xdr:to>
    <mc:AlternateContent xmlns:mc="http://schemas.openxmlformats.org/markup-compatibility/2006" xmlns:a14="http://schemas.microsoft.com/office/drawing/2010/main">
      <mc:Choice Requires="a14">
        <xdr:graphicFrame macro="">
          <xdr:nvGraphicFramePr>
            <xdr:cNvPr id="58" name="Customer_Segment">
              <a:extLst>
                <a:ext uri="{FF2B5EF4-FFF2-40B4-BE49-F238E27FC236}">
                  <a16:creationId xmlns:a16="http://schemas.microsoft.com/office/drawing/2014/main" id="{AC20CF0E-3D3F-417F-B834-223B8D1C76C9}"/>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0370820" y="1134535"/>
              <a:ext cx="1800000" cy="938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8467</xdr:colOff>
      <xdr:row>16</xdr:row>
      <xdr:rowOff>64346</xdr:rowOff>
    </xdr:from>
    <xdr:to>
      <xdr:col>19</xdr:col>
      <xdr:colOff>589267</xdr:colOff>
      <xdr:row>21</xdr:row>
      <xdr:rowOff>0</xdr:rowOff>
    </xdr:to>
    <mc:AlternateContent xmlns:mc="http://schemas.openxmlformats.org/markup-compatibility/2006" xmlns:a14="http://schemas.microsoft.com/office/drawing/2010/main">
      <mc:Choice Requires="a14">
        <xdr:graphicFrame macro="">
          <xdr:nvGraphicFramePr>
            <xdr:cNvPr id="59" name="Product_Category">
              <a:extLst>
                <a:ext uri="{FF2B5EF4-FFF2-40B4-BE49-F238E27FC236}">
                  <a16:creationId xmlns:a16="http://schemas.microsoft.com/office/drawing/2014/main" id="{86C29057-D196-4480-91C9-6FA335A7A2C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0371667" y="3044613"/>
              <a:ext cx="1800000" cy="8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9315</xdr:colOff>
      <xdr:row>11</xdr:row>
      <xdr:rowOff>51648</xdr:rowOff>
    </xdr:from>
    <xdr:to>
      <xdr:col>19</xdr:col>
      <xdr:colOff>590115</xdr:colOff>
      <xdr:row>16</xdr:row>
      <xdr:rowOff>21166</xdr:rowOff>
    </xdr:to>
    <mc:AlternateContent xmlns:mc="http://schemas.openxmlformats.org/markup-compatibility/2006" xmlns:a14="http://schemas.microsoft.com/office/drawing/2010/main">
      <mc:Choice Requires="a14">
        <xdr:graphicFrame macro="">
          <xdr:nvGraphicFramePr>
            <xdr:cNvPr id="60" name="Region">
              <a:extLst>
                <a:ext uri="{FF2B5EF4-FFF2-40B4-BE49-F238E27FC236}">
                  <a16:creationId xmlns:a16="http://schemas.microsoft.com/office/drawing/2014/main" id="{424FEF8D-7222-496C-BEF8-1DF42411AA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72515" y="2100581"/>
              <a:ext cx="1800000" cy="9008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Downloads/Financial_Analytics_Dataset.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459067129632" createdVersion="6" refreshedVersion="6" minRefreshableVersion="3" recordCount="2000" xr:uid="{E0D5A3FC-9F6B-4AC9-94BD-28948A9DA946}">
  <cacheSource type="worksheet">
    <worksheetSource name="Table1" r:id="rId2"/>
  </cacheSource>
  <cacheFields count="9">
    <cacheField name="Order_Date" numFmtId="14">
      <sharedItems containsSemiMixedTypes="0" containsNonDate="0" containsDate="1" containsString="0" minDate="2023-07-07T00:00:00" maxDate="2026-07-07T00:00:00" count="925">
        <d v="2023-07-07T00:00:00"/>
        <d v="2023-07-08T00:00:00"/>
        <d v="2023-07-09T00:00:00"/>
        <d v="2023-07-10T00:00:00"/>
        <d v="2023-07-11T00:00:00"/>
        <d v="2023-07-12T00:00:00"/>
        <d v="2023-07-13T00:00:00"/>
        <d v="2023-07-14T00:00:00"/>
        <d v="2023-07-16T00:00:00"/>
        <d v="2023-07-17T00:00:00"/>
        <d v="2023-07-18T00:00:00"/>
        <d v="2023-07-19T00:00:00"/>
        <d v="2023-07-23T00:00:00"/>
        <d v="2023-07-24T00:00:00"/>
        <d v="2023-07-25T00:00:00"/>
        <d v="2023-07-26T00:00:00"/>
        <d v="2023-07-27T00:00:00"/>
        <d v="2023-07-28T00:00:00"/>
        <d v="2023-07-30T00:00:00"/>
        <d v="2023-08-01T00:00:00"/>
        <d v="2023-08-02T00:00:00"/>
        <d v="2023-08-04T00:00:00"/>
        <d v="2023-08-05T00:00:00"/>
        <d v="2023-08-08T00:00:00"/>
        <d v="2023-08-09T00:00:00"/>
        <d v="2023-08-12T00:00:00"/>
        <d v="2023-08-14T00:00:00"/>
        <d v="2023-08-15T00:00:00"/>
        <d v="2023-08-16T00:00:00"/>
        <d v="2023-08-17T00:00:00"/>
        <d v="2023-08-18T00:00:00"/>
        <d v="2023-08-19T00:00:00"/>
        <d v="2023-08-20T00:00:00"/>
        <d v="2023-08-21T00:00:00"/>
        <d v="2023-08-22T00:00:00"/>
        <d v="2023-08-23T00:00:00"/>
        <d v="2023-08-24T00:00:00"/>
        <d v="2023-08-26T00:00:00"/>
        <d v="2023-08-27T00:00:00"/>
        <d v="2023-08-28T00:00:00"/>
        <d v="2023-08-29T00:00:00"/>
        <d v="2023-08-30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09T00:00:00"/>
        <d v="2023-10-11T00:00:00"/>
        <d v="2023-10-12T00:00:00"/>
        <d v="2023-10-15T00:00:00"/>
        <d v="2023-10-18T00:00:00"/>
        <d v="2023-10-20T00:00:00"/>
        <d v="2023-10-21T00:00:00"/>
        <d v="2023-10-22T00:00:00"/>
        <d v="2023-10-23T00:00:00"/>
        <d v="2023-10-25T00:00:00"/>
        <d v="2023-10-26T00:00:00"/>
        <d v="2023-10-27T00:00:00"/>
        <d v="2023-10-29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9T00:00:00"/>
        <d v="2023-11-20T00:00:00"/>
        <d v="2023-11-21T00:00:00"/>
        <d v="2023-11-22T00:00:00"/>
        <d v="2023-11-23T00:00:00"/>
        <d v="2023-11-24T00:00:00"/>
        <d v="2023-11-26T00:00:00"/>
        <d v="2023-11-27T00:00:00"/>
        <d v="2023-11-28T00:00:00"/>
        <d v="2023-11-29T00:00:00"/>
        <d v="2023-11-30T00:00:00"/>
        <d v="2023-12-01T00:00:00"/>
        <d v="2023-12-02T00:00:00"/>
        <d v="2023-12-03T00:00:00"/>
        <d v="2023-12-04T00:00:00"/>
        <d v="2023-12-05T00:00:00"/>
        <d v="2023-12-06T00:00:00"/>
        <d v="2023-12-07T00:00:00"/>
        <d v="2023-12-08T00:00:00"/>
        <d v="2023-12-10T00:00:00"/>
        <d v="2023-12-11T00:00:00"/>
        <d v="2023-12-12T00:00:00"/>
        <d v="2023-12-13T00:00:00"/>
        <d v="2023-12-14T00:00:00"/>
        <d v="2023-12-15T00:00:00"/>
        <d v="2023-12-17T00:00:00"/>
        <d v="2023-12-18T00:00:00"/>
        <d v="2023-12-19T00:00:00"/>
        <d v="2023-12-20T00:00:00"/>
        <d v="2023-12-21T00:00:00"/>
        <d v="2023-12-23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8T00:00:00"/>
        <d v="2024-01-19T00:00:00"/>
        <d v="2024-01-20T00:00:00"/>
        <d v="2024-01-21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7T00:00:00"/>
        <d v="2024-02-18T00:00:00"/>
        <d v="2024-02-19T00:00:00"/>
        <d v="2024-02-20T00:00:00"/>
        <d v="2024-02-22T00:00:00"/>
        <d v="2024-02-23T00:00:00"/>
        <d v="2024-02-24T00:00:00"/>
        <d v="2024-02-25T00:00:00"/>
        <d v="2024-02-26T00:00:00"/>
        <d v="2024-02-27T00:00:00"/>
        <d v="2024-02-28T00:00:00"/>
        <d v="2024-03-01T00:00:00"/>
        <d v="2024-03-02T00:00:00"/>
        <d v="2024-03-03T00:00:00"/>
        <d v="2024-03-04T00:00:00"/>
        <d v="2024-03-05T00:00:00"/>
        <d v="2024-03-06T00:00:00"/>
        <d v="2024-03-07T00:00:00"/>
        <d v="2024-03-08T00:00:00"/>
        <d v="2024-03-10T00:00:00"/>
        <d v="2024-03-11T00:00:00"/>
        <d v="2024-03-12T00:00:00"/>
        <d v="2024-03-13T00:00:00"/>
        <d v="2024-03-14T00:00:00"/>
        <d v="2024-03-15T00:00:00"/>
        <d v="2024-03-16T00:00:00"/>
        <d v="2024-03-17T00:00:00"/>
        <d v="2024-03-18T00:00:00"/>
        <d v="2024-03-20T00:00:00"/>
        <d v="2024-03-21T00:00:00"/>
        <d v="2024-03-22T00:00:00"/>
        <d v="2024-03-23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9T00:00:00"/>
        <d v="2024-04-10T00:00:00"/>
        <d v="2024-04-11T00:00:00"/>
        <d v="2024-04-12T00:00:00"/>
        <d v="2024-04-13T00:00:00"/>
        <d v="2024-04-14T00:00:00"/>
        <d v="2024-04-15T00:00:00"/>
        <d v="2024-04-17T00:00:00"/>
        <d v="2024-04-18T00:00:00"/>
        <d v="2024-04-20T00:00:00"/>
        <d v="2024-04-21T00:00:00"/>
        <d v="2024-04-22T00:00:00"/>
        <d v="2024-04-23T00:00:00"/>
        <d v="2024-04-24T00:00:00"/>
        <d v="2024-04-25T00:00:00"/>
        <d v="2024-04-26T00:00:00"/>
        <d v="2024-04-27T00:00:00"/>
        <d v="2024-04-28T00:00:00"/>
        <d v="2024-04-30T00:00:00"/>
        <d v="2024-05-01T00:00:00"/>
        <d v="2024-05-02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19T00:00:00"/>
        <d v="2024-05-21T00:00:00"/>
        <d v="2024-05-23T00:00:00"/>
        <d v="2024-05-24T00:00:00"/>
        <d v="2024-05-25T00:00:00"/>
        <d v="2024-05-26T00:00:00"/>
        <d v="2024-05-27T00:00:00"/>
        <d v="2024-05-29T00:00:00"/>
        <d v="2024-05-30T00:00:00"/>
        <d v="2024-05-31T00:00:00"/>
        <d v="2024-06-01T00:00:00"/>
        <d v="2024-06-02T00:00:00"/>
        <d v="2024-06-04T00:00:00"/>
        <d v="2024-06-05T00:00:00"/>
        <d v="2024-06-06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3T00:00:00"/>
        <d v="2024-07-04T00:00:00"/>
        <d v="2024-07-05T00:00:00"/>
        <d v="2024-07-06T00:00:00"/>
        <d v="2024-07-07T00:00:00"/>
        <d v="2024-07-08T00:00:00"/>
        <d v="2024-07-09T00:00:00"/>
        <d v="2024-07-10T00:00:00"/>
        <d v="2024-07-11T00:00:00"/>
        <d v="2024-07-12T00:00:00"/>
        <d v="2024-07-13T00:00:00"/>
        <d v="2024-07-14T00:00:00"/>
        <d v="2024-07-15T00:00:00"/>
        <d v="2024-07-17T00:00:00"/>
        <d v="2024-07-18T00:00:00"/>
        <d v="2024-07-19T00:00:00"/>
        <d v="2024-07-21T00:00:00"/>
        <d v="2024-07-22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4T00:00:00"/>
        <d v="2024-08-15T00:00:00"/>
        <d v="2024-08-16T00:00:00"/>
        <d v="2024-08-17T00:00:00"/>
        <d v="2024-08-18T00:00:00"/>
        <d v="2024-08-19T00:00:00"/>
        <d v="2024-08-20T00:00:00"/>
        <d v="2024-08-21T00:00:00"/>
        <d v="2024-08-22T00:00:00"/>
        <d v="2024-08-23T00:00:00"/>
        <d v="2024-08-25T00:00:00"/>
        <d v="2024-08-26T00:00:00"/>
        <d v="2024-08-27T00:00:00"/>
        <d v="2024-08-30T00:00:00"/>
        <d v="2024-08-31T00:00:00"/>
        <d v="2024-09-02T00:00:00"/>
        <d v="2024-09-03T00:00:00"/>
        <d v="2024-09-04T00:00:00"/>
        <d v="2024-09-06T00:00:00"/>
        <d v="2024-09-07T00:00:00"/>
        <d v="2024-09-08T00:00:00"/>
        <d v="2024-09-09T00:00:00"/>
        <d v="2024-09-10T00:00:00"/>
        <d v="2024-09-12T00:00:00"/>
        <d v="2024-09-13T00:00:00"/>
        <d v="2024-09-14T00:00:00"/>
        <d v="2024-09-15T00:00:00"/>
        <d v="2024-09-16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2T00:00:00"/>
        <d v="2024-10-23T00:00:00"/>
        <d v="2024-10-24T00:00:00"/>
        <d v="2024-10-25T00:00:00"/>
        <d v="2024-10-26T00:00:00"/>
        <d v="2024-10-27T00:00:00"/>
        <d v="2024-10-28T00:00:00"/>
        <d v="2024-10-29T00:00:00"/>
        <d v="2024-10-30T00:00:00"/>
        <d v="2024-10-31T00:00:00"/>
        <d v="2024-11-01T00:00:00"/>
        <d v="2024-11-05T00:00:00"/>
        <d v="2024-11-06T00:00:00"/>
        <d v="2024-11-08T00:00:00"/>
        <d v="2024-11-09T00:00:00"/>
        <d v="2024-11-10T00:00:00"/>
        <d v="2024-11-11T00:00:00"/>
        <d v="2024-11-12T00:00:00"/>
        <d v="2024-11-14T00:00:00"/>
        <d v="2024-11-15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3T00:00:00"/>
        <d v="2024-12-04T00:00:00"/>
        <d v="2024-12-05T00:00:00"/>
        <d v="2024-12-06T00:00:00"/>
        <d v="2024-12-07T00:00:00"/>
        <d v="2024-12-08T00:00:00"/>
        <d v="2024-12-10T00:00:00"/>
        <d v="2024-12-11T00:00:00"/>
        <d v="2024-12-12T00:00:00"/>
        <d v="2024-12-14T00:00:00"/>
        <d v="2024-12-16T00:00:00"/>
        <d v="2024-12-17T00:00:00"/>
        <d v="2024-12-19T00:00:00"/>
        <d v="2024-12-20T00:00:00"/>
        <d v="2024-12-21T00:00:00"/>
        <d v="2024-12-22T00:00:00"/>
        <d v="2024-12-23T00:00:00"/>
        <d v="2024-12-24T00:00:00"/>
        <d v="2024-12-26T00:00:00"/>
        <d v="2024-12-27T00:00:00"/>
        <d v="2024-12-28T00:00:00"/>
        <d v="2024-12-29T00:00:00"/>
        <d v="2024-12-30T00:00:00"/>
        <d v="2024-12-31T00:00:00"/>
        <d v="2025-01-01T00:00:00"/>
        <d v="2025-01-03T00:00:00"/>
        <d v="2025-01-04T00:00:00"/>
        <d v="2025-01-06T00:00:00"/>
        <d v="2025-01-07T00:00:00"/>
        <d v="2025-01-08T00:00:00"/>
        <d v="2025-01-09T00:00:00"/>
        <d v="2025-01-11T00:00:00"/>
        <d v="2025-01-12T00:00:00"/>
        <d v="2025-01-13T00:00:00"/>
        <d v="2025-01-15T00:00:00"/>
        <d v="2025-01-17T00:00:00"/>
        <d v="2025-01-18T00:00:00"/>
        <d v="2025-01-19T00:00:00"/>
        <d v="2025-01-20T00:00:00"/>
        <d v="2025-01-21T00:00:00"/>
        <d v="2025-01-22T00:00:00"/>
        <d v="2025-01-23T00:00:00"/>
        <d v="2025-01-24T00:00:00"/>
        <d v="2025-01-25T00:00:00"/>
        <d v="2025-01-26T00:00:00"/>
        <d v="2025-01-27T00:00:00"/>
        <d v="2025-01-28T00:00:00"/>
        <d v="2025-01-30T00:00:00"/>
        <d v="2025-01-31T00:00:00"/>
        <d v="2025-02-01T00:00:00"/>
        <d v="2025-02-02T00:00:00"/>
        <d v="2025-02-03T00:00:00"/>
        <d v="2025-02-04T00:00:00"/>
        <d v="2025-02-06T00:00:00"/>
        <d v="2025-02-07T00:00:00"/>
        <d v="2025-02-08T00:00:00"/>
        <d v="2025-02-09T00:00:00"/>
        <d v="2025-02-12T00:00:00"/>
        <d v="2025-02-13T00:00:00"/>
        <d v="2025-02-15T00:00:00"/>
        <d v="2025-02-16T00:00:00"/>
        <d v="2025-02-17T00:00:00"/>
        <d v="2025-02-18T00:00:00"/>
        <d v="2025-02-19T00:00:00"/>
        <d v="2025-02-21T00:00:00"/>
        <d v="2025-02-22T00:00:00"/>
        <d v="2025-02-23T00:00:00"/>
        <d v="2025-02-24T00:00:00"/>
        <d v="2025-02-25T00:00:00"/>
        <d v="2025-02-28T00:00:00"/>
        <d v="2025-03-01T00:00:00"/>
        <d v="2025-03-02T00:00:00"/>
        <d v="2025-03-03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2T00:00:00"/>
        <d v="2025-04-03T00:00:00"/>
        <d v="2025-04-04T00:00:00"/>
        <d v="2025-04-05T00:00:00"/>
        <d v="2025-04-06T00:00:00"/>
        <d v="2025-04-08T00:00:00"/>
        <d v="2025-04-09T00:00:00"/>
        <d v="2025-04-11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7T00:00:00"/>
        <d v="2025-04-28T00:00:00"/>
        <d v="2025-04-29T00:00:00"/>
        <d v="2025-04-30T00:00:00"/>
        <d v="2025-05-02T00:00:00"/>
        <d v="2025-05-03T00:00:00"/>
        <d v="2025-05-04T00:00:00"/>
        <d v="2025-05-06T00:00:00"/>
        <d v="2025-05-07T00:00:00"/>
        <d v="2025-05-09T00:00:00"/>
        <d v="2025-05-11T00:00:00"/>
        <d v="2025-05-12T00:00:00"/>
        <d v="2025-05-14T00:00:00"/>
        <d v="2025-05-15T00:00:00"/>
        <d v="2025-05-16T00:00:00"/>
        <d v="2025-05-18T00:00:00"/>
        <d v="2025-05-19T00:00:00"/>
        <d v="2025-05-22T00:00:00"/>
        <d v="2025-05-23T00:00:00"/>
        <d v="2025-05-24T00:00:00"/>
        <d v="2025-05-25T00:00:00"/>
        <d v="2025-05-27T00:00:00"/>
        <d v="2025-05-28T00:00:00"/>
        <d v="2025-05-29T00:00:00"/>
        <d v="2025-05-30T00:00:00"/>
        <d v="2025-05-3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19T00:00:00"/>
        <d v="2025-06-20T00:00:00"/>
        <d v="2025-06-23T00:00:00"/>
        <d v="2025-06-27T00:00:00"/>
        <d v="2025-06-28T00:00:00"/>
        <d v="2025-06-29T00:00:00"/>
        <d v="2025-06-30T00:00:00"/>
        <d v="2025-07-01T00:00:00"/>
        <d v="2025-07-03T00:00:00"/>
        <d v="2025-07-04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7T00:00:00"/>
        <d v="2025-08-18T00:00:00"/>
        <d v="2025-08-19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3T00:00:00"/>
        <d v="2025-10-04T00:00:00"/>
        <d v="2025-10-05T00:00:00"/>
        <d v="2025-10-06T00:00:00"/>
        <d v="2025-10-07T00:00:00"/>
        <d v="2025-10-08T00:00:00"/>
        <d v="2025-10-09T00:00:00"/>
        <d v="2025-10-10T00:00:00"/>
        <d v="2025-10-11T00:00:00"/>
        <d v="2025-10-12T00:00:00"/>
        <d v="2025-10-13T00:00:00"/>
        <d v="2025-10-14T00:00:00"/>
        <d v="2025-10-15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2T00:00:00"/>
        <d v="2025-11-04T00:00:00"/>
        <d v="2025-11-06T00:00:00"/>
        <d v="2025-11-07T00:00:00"/>
        <d v="2025-11-08T00:00:00"/>
        <d v="2025-11-09T00:00:00"/>
        <d v="2025-11-10T00:00:00"/>
        <d v="2025-11-11T00:00:00"/>
        <d v="2025-11-12T00:00:00"/>
        <d v="2025-11-13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6T00:00:00"/>
        <d v="2025-12-07T00:00:00"/>
        <d v="2025-12-08T00:00:00"/>
        <d v="2025-12-09T00:00:00"/>
        <d v="2025-12-11T00:00:00"/>
        <d v="2025-12-13T00:00:00"/>
        <d v="2025-12-14T00:00:00"/>
        <d v="2025-12-15T00:00:00"/>
        <d v="2025-12-16T00:00:00"/>
        <d v="2025-12-17T00:00:00"/>
        <d v="2025-12-18T00:00:00"/>
        <d v="2025-12-19T00:00:00"/>
        <d v="2025-12-20T00:00:00"/>
        <d v="2025-12-21T00:00:00"/>
        <d v="2025-12-23T00:00:00"/>
        <d v="2025-12-24T00:00:00"/>
        <d v="2025-12-25T00:00:00"/>
        <d v="2025-12-26T00:00:00"/>
        <d v="2025-12-28T00:00:00"/>
        <d v="2025-12-29T00:00:00"/>
        <d v="2025-12-30T00:00:00"/>
        <d v="2025-12-31T00:00:00"/>
        <d v="2026-01-01T00:00:00"/>
        <d v="2026-01-02T00:00:00"/>
        <d v="2026-01-03T00:00:00"/>
        <d v="2026-01-05T00:00:00"/>
        <d v="2026-01-07T00:00:00"/>
        <d v="2026-01-08T00:00:00"/>
        <d v="2026-01-09T00:00:00"/>
        <d v="2026-01-10T00:00:00"/>
        <d v="2026-01-11T00:00:00"/>
        <d v="2026-01-13T00:00:00"/>
        <d v="2026-01-15T00:00:00"/>
        <d v="2026-01-16T00:00:00"/>
        <d v="2026-01-17T00:00:00"/>
        <d v="2026-01-19T00:00:00"/>
        <d v="2026-01-20T00:00:00"/>
        <d v="2026-01-21T00:00:00"/>
        <d v="2026-01-22T00:00:00"/>
        <d v="2026-01-23T00:00:00"/>
        <d v="2026-01-24T00:00:00"/>
        <d v="2026-01-25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6T00:00:00"/>
        <d v="2026-02-17T00:00:00"/>
        <d v="2026-02-18T00:00:00"/>
        <d v="2026-02-19T00:00:00"/>
        <d v="2026-02-20T00:00:00"/>
        <d v="2026-02-23T00:00:00"/>
        <d v="2026-02-24T00:00:00"/>
        <d v="2026-02-25T00:00:00"/>
        <d v="2026-02-26T00:00:00"/>
        <d v="2026-02-27T00:00:00"/>
        <d v="2026-02-28T00:00:00"/>
        <d v="2026-03-01T00:00:00"/>
        <d v="2026-03-02T00:00:00"/>
        <d v="2026-03-03T00:00:00"/>
        <d v="2026-03-05T00:00:00"/>
        <d v="2026-03-06T00:00:00"/>
        <d v="2026-03-07T00:00:00"/>
        <d v="2026-03-08T00:00:00"/>
        <d v="2026-03-09T00:00:00"/>
        <d v="2026-03-10T00:00:00"/>
        <d v="2026-03-11T00:00:00"/>
        <d v="2026-03-13T00:00:00"/>
        <d v="2026-03-15T00:00:00"/>
        <d v="2026-03-16T00:00:00"/>
        <d v="2026-03-17T00:00:00"/>
        <d v="2026-03-18T00:00:00"/>
        <d v="2026-03-19T00:00:00"/>
        <d v="2026-03-20T00:00:00"/>
        <d v="2026-03-21T00:00:00"/>
        <d v="2026-03-23T00:00:00"/>
        <d v="2026-03-24T00:00:00"/>
        <d v="2026-03-25T00:00:00"/>
        <d v="2026-03-26T00:00:00"/>
        <d v="2026-03-28T00:00:00"/>
        <d v="2026-03-29T00:00:00"/>
        <d v="2026-03-30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8T00:00:00"/>
        <d v="2026-04-19T00:00:00"/>
        <d v="2026-04-20T00:00:00"/>
        <d v="2026-04-21T00:00:00"/>
        <d v="2026-04-23T00:00:00"/>
        <d v="2026-04-24T00:00:00"/>
        <d v="2026-04-25T00:00:00"/>
        <d v="2026-04-26T00:00:00"/>
        <d v="2026-04-28T00:00:00"/>
        <d v="2026-04-29T00:00:00"/>
        <d v="2026-04-30T00:00:00"/>
        <d v="2026-05-01T00:00:00"/>
        <d v="2026-05-02T00:00:00"/>
        <d v="2026-05-04T00:00:00"/>
        <d v="2026-05-05T00:00:00"/>
        <d v="2026-05-07T00:00:00"/>
        <d v="2026-05-09T00:00:00"/>
        <d v="2026-05-10T00:00:00"/>
        <d v="2026-05-11T00:00:00"/>
        <d v="2026-05-12T00:00:00"/>
        <d v="2026-05-15T00:00:00"/>
        <d v="2026-05-17T00:00:00"/>
        <d v="2026-05-18T00:00:00"/>
        <d v="2026-05-19T00:00:00"/>
        <d v="2026-05-21T00:00:00"/>
        <d v="2026-05-22T00:00:00"/>
        <d v="2026-05-23T00:00:00"/>
        <d v="2026-05-27T00:00:00"/>
        <d v="2026-05-29T00:00:00"/>
        <d v="2026-05-30T00:00:00"/>
        <d v="2026-05-31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9T00:00:00"/>
        <d v="2026-06-20T00:00:00"/>
        <d v="2026-06-21T00:00:00"/>
        <d v="2026-06-22T00:00:00"/>
        <d v="2026-06-23T00:00:00"/>
        <d v="2026-06-24T00:00:00"/>
        <d v="2026-06-26T00:00:00"/>
        <d v="2026-06-28T00:00:00"/>
        <d v="2026-06-29T00:00:00"/>
        <d v="2026-06-30T00:00:00"/>
        <d v="2026-07-01T00:00:00"/>
        <d v="2026-07-02T00:00:00"/>
        <d v="2026-07-03T00:00:00"/>
        <d v="2026-07-04T00:00:00"/>
        <d v="2026-07-05T00:00:00"/>
        <d v="2026-07-06T00:00:00"/>
      </sharedItems>
    </cacheField>
    <cacheField name="Region" numFmtId="0">
      <sharedItems count="5">
        <s v="Europe"/>
        <s v="North America"/>
        <s v="Asia Pacific"/>
        <s v="Middle East &amp; Africa"/>
        <s v="Latin America"/>
      </sharedItems>
    </cacheField>
    <cacheField name="Product_Category" numFmtId="0">
      <sharedItems count="7">
        <s v="Software"/>
        <s v="Furniture"/>
        <s v="Apparel"/>
        <s v="Food &amp; Beverage"/>
        <s v="Healthcare Products"/>
        <s v="Electronics"/>
        <s v="Office Supplies"/>
      </sharedItems>
    </cacheField>
    <cacheField name="Sales" numFmtId="0">
      <sharedItems containsSemiMixedTypes="0" containsString="0" containsNumber="1" minValue="6.08" maxValue="2480.3200000000002" count="1980">
        <n v="266.36"/>
        <n v="210.8"/>
        <n v="1800.02"/>
        <n v="1129.8900000000001"/>
        <n v="198.41"/>
        <n v="177.03"/>
        <n v="66"/>
        <n v="570.04"/>
        <n v="343.29"/>
        <n v="769.56"/>
        <n v="2323.64"/>
        <n v="1025.99"/>
        <n v="179.05"/>
        <n v="1445.34"/>
        <n v="1211.21"/>
        <n v="1412.87"/>
        <n v="36.58"/>
        <n v="775.82"/>
        <n v="65.650000000000006"/>
        <n v="418.72"/>
        <n v="192.06"/>
        <n v="2459.08"/>
        <n v="2219.9699999999998"/>
        <n v="838.98"/>
        <n v="647.02"/>
        <n v="1908.34"/>
        <n v="533.26"/>
        <n v="130"/>
        <n v="270.94"/>
        <n v="581.80999999999995"/>
        <n v="263.33999999999997"/>
        <n v="206.98"/>
        <n v="66.59"/>
        <n v="946.88"/>
        <n v="988.44"/>
        <n v="231.2"/>
        <n v="872.58"/>
        <n v="787.59"/>
        <n v="1332.94"/>
        <n v="470.02"/>
        <n v="651.77"/>
        <n v="408.97"/>
        <n v="176.54"/>
        <n v="189.96"/>
        <n v="1218.69"/>
        <n v="1216.21"/>
        <n v="639.58000000000004"/>
        <n v="2162.77"/>
        <n v="988.67"/>
        <n v="40.08"/>
        <n v="140.54"/>
        <n v="298.08999999999997"/>
        <n v="1305"/>
        <n v="176.69"/>
        <n v="377.42"/>
        <n v="650.63"/>
        <n v="798.56"/>
        <n v="809.96"/>
        <n v="123.53"/>
        <n v="79.180000000000007"/>
        <n v="41.79"/>
        <n v="266.72000000000003"/>
        <n v="247.38"/>
        <n v="284.27999999999997"/>
        <n v="388.44"/>
        <n v="58.02"/>
        <n v="824.35"/>
        <n v="362.44"/>
        <n v="334.55"/>
        <n v="1390.51"/>
        <n v="700.33"/>
        <n v="231.94"/>
        <n v="312.04000000000002"/>
        <n v="261.10000000000002"/>
        <n v="288.95"/>
        <n v="35.659999999999997"/>
        <n v="677.23"/>
        <n v="1252.72"/>
        <n v="87.98"/>
        <n v="115.92"/>
        <n v="93.18"/>
        <n v="217.65"/>
        <n v="120.9"/>
        <n v="266.48"/>
        <n v="183.72"/>
        <n v="1553.05"/>
        <n v="490.62"/>
        <n v="819.78"/>
        <n v="805.12"/>
        <n v="50.19"/>
        <n v="641.4"/>
        <n v="126.64"/>
        <n v="223.28"/>
        <n v="62.9"/>
        <n v="244.62"/>
        <n v="341.97"/>
        <n v="423.42"/>
        <n v="164.71"/>
        <n v="286.83999999999997"/>
        <n v="689.86"/>
        <n v="88.39"/>
        <n v="1035.72"/>
        <n v="52.98"/>
        <n v="360.85"/>
        <n v="181.01"/>
        <n v="423.76"/>
        <n v="872.87"/>
        <n v="311.04000000000002"/>
        <n v="13.59"/>
        <n v="79.790000000000006"/>
        <n v="299.42"/>
        <n v="744.17"/>
        <n v="1508.49"/>
        <n v="36.200000000000003"/>
        <n v="201.69"/>
        <n v="37.67"/>
        <n v="681.46"/>
        <n v="79.05"/>
        <n v="1147.4000000000001"/>
        <n v="49.69"/>
        <n v="396.51"/>
        <n v="268.45999999999998"/>
        <n v="420.89"/>
        <n v="253.31"/>
        <n v="624.19000000000005"/>
        <n v="285.07"/>
        <n v="784.74"/>
        <n v="793.57"/>
        <n v="374.21"/>
        <n v="413.52"/>
        <n v="365.94"/>
        <n v="26.21"/>
        <n v="326.95"/>
        <n v="73.59"/>
        <n v="55.54"/>
        <n v="292.32"/>
        <n v="848.89"/>
        <n v="1284.9100000000001"/>
        <n v="994.71"/>
        <n v="527.34"/>
        <n v="877.82"/>
        <n v="2257.56"/>
        <n v="325.39999999999998"/>
        <n v="632.74"/>
        <n v="386.57"/>
        <n v="132.74"/>
        <n v="23.1"/>
        <n v="578.08000000000004"/>
        <n v="1723.27"/>
        <n v="329.14"/>
        <n v="109.05"/>
        <n v="1032.33"/>
        <n v="20.61"/>
        <n v="450.91"/>
        <n v="111.42"/>
        <n v="47.36"/>
        <n v="394.09"/>
        <n v="1310.9"/>
        <n v="656.25"/>
        <n v="365.7"/>
        <n v="1070.8399999999999"/>
        <n v="178.3"/>
        <n v="1771.5"/>
        <n v="1010.68"/>
        <n v="1154.93"/>
        <n v="195"/>
        <n v="50.31"/>
        <n v="84.79"/>
        <n v="842.84"/>
        <n v="1131.72"/>
        <n v="386.54"/>
        <n v="46.41"/>
        <n v="358.19"/>
        <n v="496.18"/>
        <n v="171.52"/>
        <n v="862.04"/>
        <n v="987.47"/>
        <n v="43.6"/>
        <n v="22.35"/>
        <n v="627.99"/>
        <n v="288.08999999999997"/>
        <n v="1404.84"/>
        <n v="1426.55"/>
        <n v="302.64"/>
        <n v="657.28"/>
        <n v="459.66"/>
        <n v="80.83"/>
        <n v="1390.95"/>
        <n v="61.28"/>
        <n v="6.6"/>
        <n v="56.47"/>
        <n v="1369.65"/>
        <n v="523.25"/>
        <n v="586.83000000000004"/>
        <n v="882.49"/>
        <n v="251.23"/>
        <n v="115.64"/>
        <n v="193.89"/>
        <n v="238.86"/>
        <n v="202.65"/>
        <n v="484.65"/>
        <n v="112.8"/>
        <n v="249.26"/>
        <n v="212.55"/>
        <n v="466.54"/>
        <n v="136.59"/>
        <n v="1448.12"/>
        <n v="989.48"/>
        <n v="488.18"/>
        <n v="885.93"/>
        <n v="1185.79"/>
        <n v="315.64999999999998"/>
        <n v="1463.82"/>
        <n v="654.85"/>
        <n v="145.72999999999999"/>
        <n v="84.82"/>
        <n v="365.86"/>
        <n v="2340.5500000000002"/>
        <n v="82.47"/>
        <n v="159.1"/>
        <n v="684.35"/>
        <n v="2117.77"/>
        <n v="1544.32"/>
        <n v="860.78"/>
        <n v="387.03"/>
        <n v="591.29"/>
        <n v="78.56"/>
        <n v="253.82"/>
        <n v="259.93"/>
        <n v="532.98"/>
        <n v="100.27"/>
        <n v="385.77"/>
        <n v="166.48"/>
        <n v="203.68"/>
        <n v="968.1"/>
        <n v="50.52"/>
        <n v="10.96"/>
        <n v="65.44"/>
        <n v="96.87"/>
        <n v="532.71"/>
        <n v="60.3"/>
        <n v="2220.06"/>
        <n v="437.06"/>
        <n v="155.13999999999999"/>
        <n v="200.17"/>
        <n v="71.84"/>
        <n v="89.01"/>
        <n v="404.16"/>
        <n v="219.19"/>
        <n v="207.88"/>
        <n v="915.92"/>
        <n v="588.91"/>
        <n v="137.49"/>
        <n v="147.68"/>
        <n v="110.49"/>
        <n v="68.59"/>
        <n v="355.66"/>
        <n v="130.69999999999999"/>
        <n v="75.239999999999995"/>
        <n v="74.489999999999995"/>
        <n v="1244.8"/>
        <n v="57.7"/>
        <n v="357.64"/>
        <n v="661.54"/>
        <n v="373.1"/>
        <n v="576.32000000000005"/>
        <n v="215.93"/>
        <n v="93.33"/>
        <n v="215.34"/>
        <n v="1042.07"/>
        <n v="144.16999999999999"/>
        <n v="841.79"/>
        <n v="91.14"/>
        <n v="232.27"/>
        <n v="104.48"/>
        <n v="2457.71"/>
        <n v="1003.19"/>
        <n v="173.97"/>
        <n v="362.81"/>
        <n v="194.17"/>
        <n v="352.84"/>
        <n v="292.55"/>
        <n v="1136.44"/>
        <n v="117.87"/>
        <n v="125.14"/>
        <n v="264.04000000000002"/>
        <n v="19.32"/>
        <n v="60.41"/>
        <n v="645.70000000000005"/>
        <n v="9.49"/>
        <n v="220.71"/>
        <n v="749.01"/>
        <n v="985.67"/>
        <n v="113.07"/>
        <n v="126.15"/>
        <n v="765.85"/>
        <n v="282.19"/>
        <n v="650.45000000000005"/>
        <n v="53.5"/>
        <n v="217.15"/>
        <n v="100.59"/>
        <n v="55.65"/>
        <n v="680.7"/>
        <n v="2091.75"/>
        <n v="245.96"/>
        <n v="639.32000000000005"/>
        <n v="129.08000000000001"/>
        <n v="546.26"/>
        <n v="1055.58"/>
        <n v="626.04"/>
        <n v="60.25"/>
        <n v="112.67"/>
        <n v="463.23"/>
        <n v="32.08"/>
        <n v="361.22"/>
        <n v="93.89"/>
        <n v="312.82"/>
        <n v="144.29"/>
        <n v="14.02"/>
        <n v="875.86"/>
        <n v="136.49"/>
        <n v="100.33"/>
        <n v="211.15"/>
        <n v="880.29"/>
        <n v="262.72000000000003"/>
        <n v="397.48"/>
        <n v="741.83"/>
        <n v="22.73"/>
        <n v="1940.42"/>
        <n v="948.39"/>
        <n v="374.09"/>
        <n v="422.48"/>
        <n v="266.19"/>
        <n v="236.24"/>
        <n v="771.46"/>
        <n v="270.70999999999998"/>
        <n v="8.6199999999999992"/>
        <n v="2412.08"/>
        <n v="270.20999999999998"/>
        <n v="147.87"/>
        <n v="328.17"/>
        <n v="340.96"/>
        <n v="277.18"/>
        <n v="145.79"/>
        <n v="148.96"/>
        <n v="136.63"/>
        <n v="335.43"/>
        <n v="713.55"/>
        <n v="1103.6500000000001"/>
        <n v="204.72"/>
        <n v="1421.25"/>
        <n v="88.26"/>
        <n v="143.19999999999999"/>
        <n v="1000.51"/>
        <n v="1116.5899999999999"/>
        <n v="59.54"/>
        <n v="548.5"/>
        <n v="119.81"/>
        <n v="850.06"/>
        <n v="1055.8900000000001"/>
        <n v="296.72000000000003"/>
        <n v="528.25"/>
        <n v="74.44"/>
        <n v="273.35000000000002"/>
        <n v="846.69"/>
        <n v="268.77999999999997"/>
        <n v="349.37"/>
        <n v="92.75"/>
        <n v="758.39"/>
        <n v="35.909999999999997"/>
        <n v="399.67"/>
        <n v="350.81"/>
        <n v="1557.22"/>
        <n v="618.76"/>
        <n v="1594.71"/>
        <n v="429.38"/>
        <n v="83.16"/>
        <n v="512.6"/>
        <n v="1409.5"/>
        <n v="619.38"/>
        <n v="162.55000000000001"/>
        <n v="381.15"/>
        <n v="400.09"/>
        <n v="55.8"/>
        <n v="1686.21"/>
        <n v="342.47"/>
        <n v="23.87"/>
        <n v="527.98"/>
        <n v="603.32000000000005"/>
        <n v="1140"/>
        <n v="258.37"/>
        <n v="87.67"/>
        <n v="19.3"/>
        <n v="822.17"/>
        <n v="80.12"/>
        <n v="421.68"/>
        <n v="117.86"/>
        <n v="1718.78"/>
        <n v="7.6"/>
        <n v="423.15"/>
        <n v="650.66999999999996"/>
        <n v="740.8"/>
        <n v="237.33"/>
        <n v="267.60000000000002"/>
        <n v="26.59"/>
        <n v="116.24"/>
        <n v="925.69"/>
        <n v="314.14999999999998"/>
        <n v="555.23"/>
        <n v="874.24"/>
        <n v="144.47999999999999"/>
        <n v="1267.07"/>
        <n v="322.58999999999997"/>
        <n v="21.03"/>
        <n v="153.79"/>
        <n v="1154.29"/>
        <n v="65.67"/>
        <n v="178.93"/>
        <n v="561.20000000000005"/>
        <n v="22.79"/>
        <n v="376.03"/>
        <n v="318.2"/>
        <n v="448.79"/>
        <n v="963.43"/>
        <n v="103.09"/>
        <n v="262.47000000000003"/>
        <n v="1273.48"/>
        <n v="241.59"/>
        <n v="393.68"/>
        <n v="431.28"/>
        <n v="37.47"/>
        <n v="744.28"/>
        <n v="182.79"/>
        <n v="206.86"/>
        <n v="1304.96"/>
        <n v="297.79000000000002"/>
        <n v="328.48"/>
        <n v="787.8"/>
        <n v="1092"/>
        <n v="98.79"/>
        <n v="649.84"/>
        <n v="1099.6199999999999"/>
        <n v="1764.25"/>
        <n v="211.73"/>
        <n v="55.67"/>
        <n v="551.22"/>
        <n v="298.57"/>
        <n v="1827.86"/>
        <n v="62.02"/>
        <n v="543.78"/>
        <n v="1259.5"/>
        <n v="1090.3699999999999"/>
        <n v="563.6"/>
        <n v="1297.0999999999999"/>
        <n v="241.49"/>
        <n v="278.14999999999998"/>
        <n v="207.44"/>
        <n v="65.73"/>
        <n v="79.489999999999995"/>
        <n v="242.41"/>
        <n v="943.17"/>
        <n v="74.75"/>
        <n v="235.65"/>
        <n v="1516.81"/>
        <n v="9.2899999999999991"/>
        <n v="203.81"/>
        <n v="2196.66"/>
        <n v="39.24"/>
        <n v="399.49"/>
        <n v="2382.5500000000002"/>
        <n v="176.77"/>
        <n v="425.87"/>
        <n v="68.739999999999995"/>
        <n v="891.54"/>
        <n v="352.05"/>
        <n v="184.41"/>
        <n v="509.26"/>
        <n v="739.16"/>
        <n v="101.85"/>
        <n v="58.63"/>
        <n v="53.14"/>
        <n v="952.94"/>
        <n v="133.44999999999999"/>
        <n v="235.67"/>
        <n v="813.01"/>
        <n v="52.41"/>
        <n v="1255.78"/>
        <n v="575.97"/>
        <n v="135.49"/>
        <n v="342.19"/>
        <n v="303.02"/>
        <n v="120.89"/>
        <n v="64.040000000000006"/>
        <n v="819.48"/>
        <n v="72.349999999999994"/>
        <n v="490.35"/>
        <n v="1077.49"/>
        <n v="363.25"/>
        <n v="1157.5899999999999"/>
        <n v="1137.28"/>
        <n v="193.47"/>
        <n v="178.43"/>
        <n v="189.36"/>
        <n v="718.41"/>
        <n v="103.88"/>
        <n v="728.04"/>
        <n v="73.540000000000006"/>
        <n v="759.91"/>
        <n v="759.51"/>
        <n v="83.66"/>
        <n v="194.25"/>
        <n v="717.84"/>
        <n v="1410.43"/>
        <n v="141.94"/>
        <n v="248.96"/>
        <n v="1106.93"/>
        <n v="314.58999999999997"/>
        <n v="311.02999999999997"/>
        <n v="692.51"/>
        <n v="2445.23"/>
        <n v="85.61"/>
        <n v="142.91999999999999"/>
        <n v="108.69"/>
        <n v="96.03"/>
        <n v="1954.42"/>
        <n v="98.43"/>
        <n v="412.53"/>
        <n v="887.49"/>
        <n v="196.37"/>
        <n v="426.74"/>
        <n v="869.28"/>
        <n v="368.85"/>
        <n v="120.48"/>
        <n v="65.56"/>
        <n v="182.45"/>
        <n v="104.19"/>
        <n v="83.28"/>
        <n v="210.04"/>
        <n v="17.48"/>
        <n v="533.05999999999995"/>
        <n v="110.85"/>
        <n v="268.56"/>
        <n v="79.86"/>
        <n v="155.28"/>
        <n v="241.54"/>
        <n v="923.36"/>
        <n v="487.88"/>
        <n v="754.39"/>
        <n v="16.96"/>
        <n v="738.17"/>
        <n v="212.52"/>
        <n v="400.83"/>
        <n v="86.68"/>
        <n v="1015.81"/>
        <n v="262.39999999999998"/>
        <n v="113.2"/>
        <n v="654.98"/>
        <n v="78.819999999999993"/>
        <n v="464.24"/>
        <n v="112.15"/>
        <n v="1480.23"/>
        <n v="64.75"/>
        <n v="136.06"/>
        <n v="307.26"/>
        <n v="353.76"/>
        <n v="147.88"/>
        <n v="1364.98"/>
        <n v="278.3"/>
        <n v="932.28"/>
        <n v="303.77"/>
        <n v="751.2"/>
        <n v="867.4"/>
        <n v="1197"/>
        <n v="422.39"/>
        <n v="75.23"/>
        <n v="104.86"/>
        <n v="847.84"/>
        <n v="1026.32"/>
        <n v="475.18"/>
        <n v="761.88"/>
        <n v="1192.98"/>
        <n v="59.33"/>
        <n v="656.91"/>
        <n v="102.53"/>
        <n v="1224.5899999999999"/>
        <n v="1176.6199999999999"/>
        <n v="1079.46"/>
        <n v="902.88"/>
        <n v="676.04"/>
        <n v="340.76"/>
        <n v="66.48"/>
        <n v="2283.36"/>
        <n v="304.76"/>
        <n v="82.35"/>
        <n v="159.01"/>
        <n v="170.55"/>
        <n v="107.6"/>
        <n v="992.83"/>
        <n v="109.16"/>
        <n v="292.41000000000003"/>
        <n v="473.2"/>
        <n v="251.09"/>
        <n v="965.68"/>
        <n v="894.42"/>
        <n v="1278.03"/>
        <n v="171.38"/>
        <n v="251.16"/>
        <n v="500.79"/>
        <n v="1477.56"/>
        <n v="442.47"/>
        <n v="981"/>
        <n v="177.66"/>
        <n v="690.2"/>
        <n v="2312.0700000000002"/>
        <n v="129.59"/>
        <n v="109.01"/>
        <n v="20.260000000000002"/>
        <n v="735.21"/>
        <n v="108.47"/>
        <n v="277.83999999999997"/>
        <n v="694.31"/>
        <n v="2303.0500000000002"/>
        <n v="45.1"/>
        <n v="37.04"/>
        <n v="290.17"/>
        <n v="256.11"/>
        <n v="109.56"/>
        <n v="1084.8399999999999"/>
        <n v="27.48"/>
        <n v="14.62"/>
        <n v="745.54"/>
        <n v="413.31"/>
        <n v="107.32"/>
        <n v="959.52"/>
        <n v="376.93"/>
        <n v="157.41999999999999"/>
        <n v="526.23"/>
        <n v="129.54"/>
        <n v="64.09"/>
        <n v="277.48"/>
        <n v="79.7"/>
        <n v="278.45"/>
        <n v="156.76"/>
        <n v="457.73"/>
        <n v="139.4"/>
        <n v="61.49"/>
        <n v="202.92"/>
        <n v="1068.77"/>
        <n v="350.5"/>
        <n v="1173.1099999999999"/>
        <n v="63.23"/>
        <n v="1772.09"/>
        <n v="111.48"/>
        <n v="180.62"/>
        <n v="474.32"/>
        <n v="143.13"/>
        <n v="656.28"/>
        <n v="2440.5"/>
        <n v="1419.24"/>
        <n v="52.29"/>
        <n v="165.69"/>
        <n v="95.2"/>
        <n v="276.02"/>
        <n v="387.37"/>
        <n v="1008.69"/>
        <n v="368.92"/>
        <n v="56.06"/>
        <n v="404.98"/>
        <n v="710.24"/>
        <n v="1628.56"/>
        <n v="779.86"/>
        <n v="931.68"/>
        <n v="240.46"/>
        <n v="1036.9100000000001"/>
        <n v="950.26"/>
        <n v="37.36"/>
        <n v="556.78"/>
        <n v="37.520000000000003"/>
        <n v="512.41999999999996"/>
        <n v="880.22"/>
        <n v="269.14999999999998"/>
        <n v="147.16"/>
        <n v="2114.58"/>
        <n v="893.3"/>
        <n v="2101.1799999999998"/>
        <n v="78.989999999999995"/>
        <n v="1319.49"/>
        <n v="46.45"/>
        <n v="30.09"/>
        <n v="134.12"/>
        <n v="71.2"/>
        <n v="289.12"/>
        <n v="284.35000000000002"/>
        <n v="969.47"/>
        <n v="191.82"/>
        <n v="948.49"/>
        <n v="41.05"/>
        <n v="26.56"/>
        <n v="138.19999999999999"/>
        <n v="115.14"/>
        <n v="1100.94"/>
        <n v="676.51"/>
        <n v="66.5"/>
        <n v="142.79"/>
        <n v="1988.22"/>
        <n v="1069.83"/>
        <n v="1052.6300000000001"/>
        <n v="311.92"/>
        <n v="288.52999999999997"/>
        <n v="316.08"/>
        <n v="77.319999999999993"/>
        <n v="975.88"/>
        <n v="1009.85"/>
        <n v="364.86"/>
        <n v="179.48"/>
        <n v="975.57"/>
        <n v="1679.23"/>
        <n v="1220.69"/>
        <n v="175.2"/>
        <n v="6.08"/>
        <n v="95.86"/>
        <n v="61.11"/>
        <n v="667.72"/>
        <n v="145.5"/>
        <n v="507.47"/>
        <n v="191.8"/>
        <n v="49.81"/>
        <n v="58.32"/>
        <n v="969.99"/>
        <n v="1995.01"/>
        <n v="771.45"/>
        <n v="1054.74"/>
        <n v="73.27"/>
        <n v="1726.63"/>
        <n v="339.52"/>
        <n v="280.18"/>
        <n v="945.01"/>
        <n v="1947.33"/>
        <n v="696.37"/>
        <n v="625.04"/>
        <n v="228"/>
        <n v="1032.71"/>
        <n v="54.93"/>
        <n v="288.04000000000002"/>
        <n v="255.89"/>
        <n v="930.03"/>
        <n v="162.9"/>
        <n v="620.30999999999995"/>
        <n v="768.65"/>
        <n v="597.76"/>
        <n v="1494.76"/>
        <n v="160.24"/>
        <n v="1039.46"/>
        <n v="114.66"/>
        <n v="126.78"/>
        <n v="238.46"/>
        <n v="1074.0999999999999"/>
        <n v="582.39"/>
        <n v="1726.52"/>
        <n v="336.35"/>
        <n v="186.26"/>
        <n v="120.15"/>
        <n v="864.46"/>
        <n v="1063.4100000000001"/>
        <n v="67.290000000000006"/>
        <n v="992.86"/>
        <n v="25.89"/>
        <n v="105.14"/>
        <n v="129.29"/>
        <n v="127.85"/>
        <n v="130.72999999999999"/>
        <n v="77.930000000000007"/>
        <n v="31.09"/>
        <n v="485.14"/>
        <n v="559.72"/>
        <n v="94.96"/>
        <n v="87.81"/>
        <n v="130.21"/>
        <n v="164.41"/>
        <n v="150.04"/>
        <n v="203.54"/>
        <n v="1996.47"/>
        <n v="709.72"/>
        <n v="412.59"/>
        <n v="568.17999999999995"/>
        <n v="335.93"/>
        <n v="1093.43"/>
        <n v="737.67"/>
        <n v="1112.3800000000001"/>
        <n v="695.69"/>
        <n v="54.56"/>
        <n v="204.95"/>
        <n v="472.57"/>
        <n v="132.72"/>
        <n v="141.1"/>
        <n v="376.79"/>
        <n v="442.15"/>
        <n v="390.46"/>
        <n v="41.25"/>
        <n v="491.89"/>
        <n v="69.099999999999994"/>
        <n v="781.23"/>
        <n v="283.45999999999998"/>
        <n v="558.41"/>
        <n v="65.84"/>
        <n v="946.51"/>
        <n v="496.75"/>
        <n v="681.09"/>
        <n v="199.05"/>
        <n v="534.59"/>
        <n v="274.17"/>
        <n v="143.83000000000001"/>
        <n v="1116.8"/>
        <n v="45.35"/>
        <n v="145.63"/>
        <n v="22.38"/>
        <n v="13.12"/>
        <n v="203.11"/>
        <n v="702.32"/>
        <n v="42.79"/>
        <n v="473.99"/>
        <n v="27.1"/>
        <n v="254.11"/>
        <n v="321.62"/>
        <n v="146.37"/>
        <n v="1789.94"/>
        <n v="520.03"/>
        <n v="1093.5"/>
        <n v="17"/>
        <n v="1841.89"/>
        <n v="262.14999999999998"/>
        <n v="226.6"/>
        <n v="545.97"/>
        <n v="50.88"/>
        <n v="193.54"/>
        <n v="758.55"/>
        <n v="73.849999999999994"/>
        <n v="204.06"/>
        <n v="1942.11"/>
        <n v="284.64999999999998"/>
        <n v="749.28"/>
        <n v="863.43"/>
        <n v="74.31"/>
        <n v="137.69999999999999"/>
        <n v="698.43"/>
        <n v="243.58"/>
        <n v="1231.8699999999999"/>
        <n v="89.15"/>
        <n v="304.69"/>
        <n v="206.3"/>
        <n v="1294.8"/>
        <n v="1038.72"/>
        <n v="913.61"/>
        <n v="16.54"/>
        <n v="165.27"/>
        <n v="829.05"/>
        <n v="599.02"/>
        <n v="1444.36"/>
        <n v="182.56"/>
        <n v="1478.22"/>
        <n v="1629.02"/>
        <n v="862.84"/>
        <n v="222.88"/>
        <n v="1119.27"/>
        <n v="220.37"/>
        <n v="2304.14"/>
        <n v="17.079999999999998"/>
        <n v="2083.91"/>
        <n v="281.43"/>
        <n v="243"/>
        <n v="645.59"/>
        <n v="48.01"/>
        <n v="1663.81"/>
        <n v="77.19"/>
        <n v="191.2"/>
        <n v="1250.69"/>
        <n v="518.04"/>
        <n v="2429.7399999999998"/>
        <n v="253.64"/>
        <n v="88.83"/>
        <n v="1488.36"/>
        <n v="899.23"/>
        <n v="1667.23"/>
        <n v="379.7"/>
        <n v="441.43"/>
        <n v="170.42"/>
        <n v="151.54"/>
        <n v="632.29"/>
        <n v="12.09"/>
        <n v="394.4"/>
        <n v="733.9"/>
        <n v="456"/>
        <n v="753.34"/>
        <n v="149.62"/>
        <n v="10.46"/>
        <n v="107.17"/>
        <n v="603.96"/>
        <n v="718.39"/>
        <n v="349.82"/>
        <n v="743.02"/>
        <n v="24.1"/>
        <n v="363.44"/>
        <n v="289.37"/>
        <n v="241.82"/>
        <n v="597.54999999999995"/>
        <n v="142.56"/>
        <n v="831.49"/>
        <n v="65.66"/>
        <n v="1735.46"/>
        <n v="240.28"/>
        <n v="176.84"/>
        <n v="114.2"/>
        <n v="239.94"/>
        <n v="56.17"/>
        <n v="77.510000000000005"/>
        <n v="640.39"/>
        <n v="1520.06"/>
        <n v="1466.63"/>
        <n v="68.34"/>
        <n v="1047.05"/>
        <n v="170.05"/>
        <n v="562.63"/>
        <n v="478.59"/>
        <n v="476.95"/>
        <n v="952.95"/>
        <n v="185.7"/>
        <n v="897.9"/>
        <n v="855.25"/>
        <n v="1090.2"/>
        <n v="1129.02"/>
        <n v="788.22"/>
        <n v="203.58"/>
        <n v="10.76"/>
        <n v="186.74"/>
        <n v="23.67"/>
        <n v="399.09"/>
        <n v="647.42999999999995"/>
        <n v="1899.8"/>
        <n v="203.14"/>
        <n v="172.16"/>
        <n v="238.34"/>
        <n v="215.11"/>
        <n v="1321.63"/>
        <n v="1423.88"/>
        <n v="132.28"/>
        <n v="1037.76"/>
        <n v="39.21"/>
        <n v="68"/>
        <n v="234"/>
        <n v="209.25"/>
        <n v="844.11"/>
        <n v="1379.85"/>
        <n v="280.52"/>
        <n v="753.71"/>
        <n v="45.74"/>
        <n v="272.02999999999997"/>
        <n v="483.28"/>
        <n v="25.15"/>
        <n v="190.05"/>
        <n v="195.22"/>
        <n v="1142.1400000000001"/>
        <n v="788.61"/>
        <n v="1133.1400000000001"/>
        <n v="843.73"/>
        <n v="1390.03"/>
        <n v="354.92"/>
        <n v="823.74"/>
        <n v="877.28"/>
        <n v="848.52"/>
        <n v="321.79000000000002"/>
        <n v="1155.93"/>
        <n v="1754.07"/>
        <n v="686.74"/>
        <n v="1265.21"/>
        <n v="123.51"/>
        <n v="75.73"/>
        <n v="508.9"/>
        <n v="727.5"/>
        <n v="332.52"/>
        <n v="361.17"/>
        <n v="323.22000000000003"/>
        <n v="361.37"/>
        <n v="938.49"/>
        <n v="929.54"/>
        <n v="815.33"/>
        <n v="163.1"/>
        <n v="105.44"/>
        <n v="527.76"/>
        <n v="670.12"/>
        <n v="150.51"/>
        <n v="205.85"/>
        <n v="93.79"/>
        <n v="1112.8499999999999"/>
        <n v="1842.52"/>
        <n v="541.70000000000005"/>
        <n v="519.29999999999995"/>
        <n v="812.91"/>
        <n v="951.26"/>
        <n v="88.57"/>
        <n v="35.32"/>
        <n v="405.31"/>
        <n v="176.57"/>
        <n v="305.97000000000003"/>
        <n v="443.85"/>
        <n v="780.64"/>
        <n v="1127.24"/>
        <n v="2293.7199999999998"/>
        <n v="64.83"/>
        <n v="193.5"/>
        <n v="546.01"/>
        <n v="133.63"/>
        <n v="801.53"/>
        <n v="854.74"/>
        <n v="141.13999999999999"/>
        <n v="330.87"/>
        <n v="823.01"/>
        <n v="355.7"/>
        <n v="343.6"/>
        <n v="285.11"/>
        <n v="949.39"/>
        <n v="189.29"/>
        <n v="141.54"/>
        <n v="264.52999999999997"/>
        <n v="71.59"/>
        <n v="1081.0899999999999"/>
        <n v="174.08"/>
        <n v="410.4"/>
        <n v="940.31"/>
        <n v="325.52"/>
        <n v="731.06"/>
        <n v="2103.79"/>
        <n v="68.2"/>
        <n v="858.45"/>
        <n v="209.02"/>
        <n v="2278.4"/>
        <n v="253.16"/>
        <n v="1636.64"/>
        <n v="100.43"/>
        <n v="423.56"/>
        <n v="892.63"/>
        <n v="451.86"/>
        <n v="497.3"/>
        <n v="206.75"/>
        <n v="190.88"/>
        <n v="19.87"/>
        <n v="967.76"/>
        <n v="1220.75"/>
        <n v="687.26"/>
        <n v="187.38"/>
        <n v="55.47"/>
        <n v="1052.69"/>
        <n v="189.4"/>
        <n v="839.4"/>
        <n v="871.16"/>
        <n v="169.47"/>
        <n v="766.95"/>
        <n v="452.24"/>
        <n v="525.99"/>
        <n v="1255.1099999999999"/>
        <n v="607.88"/>
        <n v="31.42"/>
        <n v="2317.62"/>
        <n v="430.76"/>
        <n v="255.61"/>
        <n v="114.25"/>
        <n v="642.13"/>
        <n v="211.62"/>
        <n v="427.87"/>
        <n v="1779.17"/>
        <n v="463.31"/>
        <n v="827.27"/>
        <n v="113.05"/>
        <n v="618.79"/>
        <n v="171.88"/>
        <n v="282.43"/>
        <n v="1739.28"/>
        <n v="59.21"/>
        <n v="451.16"/>
        <n v="1103.48"/>
        <n v="1628.23"/>
        <n v="134.47999999999999"/>
        <n v="1223.07"/>
        <n v="84.26"/>
        <n v="156.58000000000001"/>
        <n v="355.46"/>
        <n v="1725.49"/>
        <n v="62.22"/>
        <n v="17.29"/>
        <n v="109.99"/>
        <n v="486.04"/>
        <n v="201.48"/>
        <n v="155.41"/>
        <n v="172.93"/>
        <n v="490.59"/>
        <n v="404.48"/>
        <n v="493.01"/>
        <n v="2329.64"/>
        <n v="129.47999999999999"/>
        <n v="836.5"/>
        <n v="141.09"/>
        <n v="734.55"/>
        <n v="1222.0899999999999"/>
        <n v="285.39999999999998"/>
        <n v="172.45"/>
        <n v="528.23"/>
        <n v="1462.24"/>
        <n v="445.59"/>
        <n v="113.96"/>
        <n v="205.74"/>
        <n v="343.82"/>
        <n v="841.47"/>
        <n v="100.48"/>
        <n v="45"/>
        <n v="2122.83"/>
        <n v="183.66"/>
        <n v="877.31"/>
        <n v="83.18"/>
        <n v="30.63"/>
        <n v="44.35"/>
        <n v="247.4"/>
        <n v="112.28"/>
        <n v="287.36"/>
        <n v="252.05"/>
        <n v="375.77"/>
        <n v="34.99"/>
        <n v="1474.74"/>
        <n v="1125.07"/>
        <n v="1578.93"/>
        <n v="63.09"/>
        <n v="117.2"/>
        <n v="687.8"/>
        <n v="1015.04"/>
        <n v="1235.83"/>
        <n v="563.20000000000005"/>
        <n v="230.25"/>
        <n v="1355.4"/>
        <n v="78.72"/>
        <n v="144.91999999999999"/>
        <n v="205.86"/>
        <n v="778.12"/>
        <n v="114.65"/>
        <n v="671.32"/>
        <n v="229.02"/>
        <n v="34.25"/>
        <n v="155.72"/>
        <n v="981.35"/>
        <n v="729.86"/>
        <n v="1378.39"/>
        <n v="1279.78"/>
        <n v="68.19"/>
        <n v="244.81"/>
        <n v="8.7200000000000006"/>
        <n v="170.64"/>
        <n v="209.07"/>
        <n v="273.3"/>
        <n v="192.46"/>
        <n v="202.39"/>
        <n v="1105.9100000000001"/>
        <n v="154.77000000000001"/>
        <n v="225.64"/>
        <n v="129.76"/>
        <n v="365.15"/>
        <n v="417.88"/>
        <n v="748.88"/>
        <n v="745.09"/>
        <n v="58.17"/>
        <n v="1696.19"/>
        <n v="7.71"/>
        <n v="252.23"/>
        <n v="204.22"/>
        <n v="562.72"/>
        <n v="88.4"/>
        <n v="200.44"/>
        <n v="1109.8800000000001"/>
        <n v="252.44"/>
        <n v="144.77000000000001"/>
        <n v="288.16000000000003"/>
        <n v="195.5"/>
        <n v="75.2"/>
        <n v="651.79"/>
        <n v="396.43"/>
        <n v="76.7"/>
        <n v="526.86"/>
        <n v="295.29000000000002"/>
        <n v="144.16"/>
        <n v="86.91"/>
        <n v="284.89999999999998"/>
        <n v="2203.02"/>
        <n v="341.23"/>
        <n v="852.14"/>
        <n v="701.79"/>
        <n v="197.18"/>
        <n v="396.27"/>
        <n v="765.15"/>
        <n v="510.55"/>
        <n v="572.25"/>
        <n v="112.81"/>
        <n v="267.45999999999998"/>
        <n v="86.96"/>
        <n v="81.93"/>
        <n v="129.97"/>
        <n v="666.05"/>
        <n v="226.66"/>
        <n v="398.97"/>
        <n v="68.23"/>
        <n v="370.16"/>
        <n v="1592.72"/>
        <n v="1062.3499999999999"/>
        <n v="1007.24"/>
        <n v="34.479999999999997"/>
        <n v="421.92"/>
        <n v="813.46"/>
        <n v="1069.0999999999999"/>
        <n v="243.9"/>
        <n v="2297.94"/>
        <n v="1888.51"/>
        <n v="2282.19"/>
        <n v="435.05"/>
        <n v="109.82"/>
        <n v="153.13"/>
        <n v="83.27"/>
        <n v="707.93"/>
        <n v="715.43"/>
        <n v="248.19"/>
        <n v="933.04"/>
        <n v="2405.4"/>
        <n v="144.63999999999999"/>
        <n v="989.31"/>
        <n v="673.58"/>
        <n v="2393.4499999999998"/>
        <n v="71.260000000000005"/>
        <n v="851.31"/>
        <n v="964.74"/>
        <n v="207.04"/>
        <n v="603.79"/>
        <n v="114.64"/>
        <n v="428.47"/>
        <n v="437.59"/>
        <n v="299.23"/>
        <n v="343.36"/>
        <n v="197.67"/>
        <n v="102.79"/>
        <n v="591.02"/>
        <n v="574.27"/>
        <n v="1016.5"/>
        <n v="744.78"/>
        <n v="798.44"/>
        <n v="337.09"/>
        <n v="736.46"/>
        <n v="487.52"/>
        <n v="393.14"/>
        <n v="523.29"/>
        <n v="50.38"/>
        <n v="1295.06"/>
        <n v="1317.12"/>
        <n v="429.89"/>
        <n v="70.61"/>
        <n v="106.67"/>
        <n v="764.53"/>
        <n v="395.45"/>
        <n v="63.68"/>
        <n v="235.58"/>
        <n v="550.58000000000004"/>
        <n v="392.42"/>
        <n v="100.8"/>
        <n v="188.91"/>
        <n v="251.48"/>
        <n v="969.65"/>
        <n v="825.22"/>
        <n v="2428.65"/>
        <n v="400.08"/>
        <n v="39.380000000000003"/>
        <n v="7.56"/>
        <n v="223.34"/>
        <n v="1176.23"/>
        <n v="955.75"/>
        <n v="335.68"/>
        <n v="149.15"/>
        <n v="808.21"/>
        <n v="228.94"/>
        <n v="1002.8"/>
        <n v="449.44"/>
        <n v="153.47999999999999"/>
        <n v="369.38"/>
        <n v="945"/>
        <n v="226.92"/>
        <n v="608.94000000000005"/>
        <n v="272.3"/>
        <n v="188.92"/>
        <n v="82.83"/>
        <n v="682.53"/>
        <n v="252.95"/>
        <n v="92"/>
        <n v="627.11"/>
        <n v="235.68"/>
        <n v="297.93"/>
        <n v="729.17"/>
        <n v="373.49"/>
        <n v="291.81"/>
        <n v="114.4"/>
        <n v="758.5"/>
        <n v="2298.96"/>
        <n v="657.85"/>
        <n v="953.45"/>
        <n v="68.87"/>
        <n v="275.33999999999997"/>
        <n v="135.30000000000001"/>
        <n v="218.89"/>
        <n v="465.55"/>
        <n v="414.01"/>
        <n v="65.400000000000006"/>
        <n v="247.42"/>
        <n v="553.14"/>
        <n v="181.06"/>
        <n v="242.71"/>
        <n v="118.09"/>
        <n v="75.209999999999994"/>
        <n v="944.39"/>
        <n v="437.12"/>
        <n v="16.86"/>
        <n v="264.51"/>
        <n v="184.1"/>
        <n v="1449.58"/>
        <n v="193.95"/>
        <n v="210.08"/>
        <n v="1000.44"/>
        <n v="250.11"/>
        <n v="1007.09"/>
        <n v="133.36000000000001"/>
        <n v="21.7"/>
        <n v="788.18"/>
        <n v="494.95"/>
        <n v="137.16"/>
        <n v="217.18"/>
        <n v="92.57"/>
        <n v="124.83"/>
        <n v="888.63"/>
        <n v="197.82"/>
        <n v="284.94"/>
        <n v="1180.75"/>
        <n v="489.1"/>
        <n v="1079.47"/>
        <n v="221.44"/>
        <n v="50.42"/>
        <n v="346.56"/>
        <n v="956.94"/>
        <n v="874.72"/>
        <n v="359.08"/>
        <n v="670.16"/>
        <n v="219.06"/>
        <n v="217.63"/>
        <n v="1372.55"/>
        <n v="214.33"/>
        <n v="234.92"/>
        <n v="75.319999999999993"/>
        <n v="92.68"/>
        <n v="139.63"/>
        <n v="295.70999999999998"/>
        <n v="89.11"/>
        <n v="414.49"/>
        <n v="583.22"/>
        <n v="1282.81"/>
        <n v="1332.9"/>
        <n v="1500.28"/>
        <n v="252.31"/>
        <n v="149.86000000000001"/>
        <n v="1807.81"/>
        <n v="224.69"/>
        <n v="175.43"/>
        <n v="130.05000000000001"/>
        <n v="103"/>
        <n v="552.1"/>
        <n v="84.08"/>
        <n v="101.24"/>
        <n v="2480.3200000000002"/>
        <n v="407.3"/>
        <n v="1088.6600000000001"/>
        <n v="373.28"/>
        <n v="208.58"/>
        <n v="473.72"/>
        <n v="542.76"/>
        <n v="1658.95"/>
        <n v="120.99"/>
        <n v="195.44"/>
        <n v="112.08"/>
        <n v="326.07"/>
        <n v="208.93"/>
        <n v="74.819999999999993"/>
        <n v="196.68"/>
        <n v="148.24"/>
        <n v="988.49"/>
        <n v="20.399999999999999"/>
        <n v="23.56"/>
        <n v="921.95"/>
        <n v="271.44"/>
        <n v="243.19"/>
        <n v="1813.13"/>
        <n v="1281.6199999999999"/>
        <n v="88.28"/>
        <n v="41.43"/>
        <n v="566.16"/>
        <n v="47.64"/>
        <n v="290.62"/>
        <n v="378.52"/>
        <n v="102.63"/>
        <n v="70.47"/>
        <n v="1916.43"/>
        <n v="884.13"/>
        <n v="51.56"/>
        <n v="10.5"/>
        <n v="119.77"/>
        <n v="355.22"/>
        <n v="367.09"/>
        <n v="1388.33"/>
        <n v="584.83000000000004"/>
        <n v="244.78"/>
        <n v="1592.6"/>
        <n v="74.72"/>
        <n v="90.01"/>
        <n v="131.21"/>
        <n v="1073.6099999999999"/>
        <n v="401.98"/>
        <n v="10.73"/>
        <n v="281.29000000000002"/>
        <n v="409.07"/>
        <n v="1538.92"/>
        <n v="295.23"/>
        <n v="87.52"/>
        <n v="74.02"/>
        <n v="2427.35"/>
        <n v="675.07"/>
        <n v="330.27"/>
        <n v="159.13"/>
        <n v="383.66"/>
        <n v="49.43"/>
        <n v="194.94"/>
        <n v="252.37"/>
        <n v="1213"/>
        <n v="76.13"/>
        <n v="193.31"/>
        <n v="104.02"/>
        <n v="138.09"/>
        <n v="116.94"/>
        <n v="151.13"/>
        <n v="2146.9"/>
        <n v="142.71"/>
        <n v="287.01"/>
        <n v="215.02"/>
        <n v="1055.9100000000001"/>
        <n v="392.99"/>
        <n v="990.04"/>
        <n v="1093.1400000000001"/>
        <n v="202.17"/>
        <n v="396.91"/>
        <n v="569.82000000000005"/>
        <n v="87.46"/>
        <n v="153.9"/>
        <n v="257.61"/>
        <n v="387.42"/>
        <n v="424.07"/>
        <n v="2225.1799999999998"/>
        <n v="299.13"/>
        <n v="284.64"/>
        <n v="1451.34"/>
        <n v="892.64"/>
        <n v="95.48"/>
        <n v="118.72"/>
        <n v="118.55"/>
        <n v="6.82"/>
        <n v="78.319999999999993"/>
        <n v="86.26"/>
        <n v="448.36"/>
        <n v="102.84"/>
        <n v="91.24"/>
        <n v="359.62"/>
        <n v="19.170000000000002"/>
        <n v="1205.43"/>
        <n v="363.59"/>
        <n v="285.12"/>
        <n v="657.56"/>
        <n v="107.78"/>
        <n v="1380.03"/>
        <n v="603.54999999999995"/>
        <n v="515.32000000000005"/>
        <n v="177.45"/>
        <n v="1186.6199999999999"/>
        <n v="950.33"/>
        <n v="101.13"/>
        <n v="2329.86"/>
        <n v="551.87"/>
        <n v="530.26"/>
        <n v="974.79"/>
        <n v="744.23"/>
        <n v="32.619999999999997"/>
        <n v="503.39"/>
        <n v="665.87"/>
        <n v="815.83"/>
        <n v="2155.9"/>
        <n v="606.07000000000005"/>
        <n v="219.77"/>
        <n v="227.45"/>
        <n v="314.79000000000002"/>
        <n v="1608.57"/>
        <n v="781.53"/>
        <n v="383.61"/>
        <n v="160.11000000000001"/>
        <n v="818.41"/>
        <n v="273.33999999999997"/>
        <n v="100.79"/>
        <n v="964.94"/>
        <n v="963.93"/>
        <n v="371.53"/>
        <n v="153.77000000000001"/>
        <n v="77.42"/>
        <n v="828.02"/>
        <n v="294.76"/>
        <n v="216.48"/>
        <n v="23.5"/>
        <n v="83.45"/>
        <n v="181"/>
        <n v="436.63"/>
        <n v="376.42"/>
        <n v="101.21"/>
        <n v="58.5"/>
        <n v="217.61"/>
        <n v="195.74"/>
        <n v="52.55"/>
        <n v="788.25"/>
        <n v="600.12"/>
        <n v="227.15"/>
        <n v="267.2"/>
        <n v="1003.27"/>
        <n v="499.46"/>
        <n v="795.2"/>
        <n v="244.1"/>
        <n v="1708.32"/>
        <n v="11.59"/>
        <n v="542.85"/>
        <n v="454.7"/>
        <n v="1563.55"/>
        <n v="281.58999999999997"/>
        <n v="1566.04"/>
        <n v="271.07"/>
        <n v="251.07"/>
        <n v="519.58000000000004"/>
        <n v="131.97"/>
        <n v="201.78"/>
        <n v="268.82"/>
        <n v="22.63"/>
        <n v="2181.6799999999998"/>
        <n v="578.71"/>
        <n v="279.73"/>
        <n v="72.98"/>
        <n v="1136.5999999999999"/>
        <n v="773.19"/>
        <n v="227.44"/>
        <n v="257.72000000000003"/>
        <n v="935.94"/>
        <n v="211.79"/>
        <n v="945.31"/>
        <n v="332.2"/>
        <n v="72.010000000000005"/>
        <n v="500.48"/>
        <n v="1014.24"/>
        <n v="85.52"/>
        <n v="591.05999999999995"/>
        <n v="24.44"/>
        <n v="557.37"/>
        <n v="1197.03"/>
        <n v="190.99"/>
        <n v="980.26"/>
        <n v="137.30000000000001"/>
        <n v="416.16"/>
        <n v="203.74"/>
        <n v="1155.44"/>
        <n v="844.53"/>
        <n v="695.83"/>
        <n v="1141.31"/>
        <n v="477.78"/>
        <n v="43.87"/>
        <n v="18.96"/>
        <n v="1620.52"/>
        <n v="984.79"/>
        <n v="880.76"/>
        <n v="63.69"/>
        <n v="117.61"/>
        <n v="107.02"/>
        <n v="1129.25"/>
        <n v="554.01"/>
        <n v="138.26"/>
        <n v="918.59"/>
        <n v="114.51"/>
        <n v="143.75"/>
        <n v="443.93"/>
        <n v="341.22"/>
        <n v="165.95"/>
        <n v="148.54"/>
        <n v="248.93"/>
        <n v="101.62"/>
        <n v="68.37"/>
        <n v="685.36"/>
        <n v="264.11"/>
        <n v="214.36"/>
        <n v="17.16"/>
        <n v="1021.76"/>
        <n v="23.3"/>
        <n v="37.82"/>
        <n v="488.72"/>
        <n v="457.47"/>
        <n v="36.229999999999997"/>
        <n v="385.35"/>
        <n v="104.92"/>
        <n v="43.31"/>
        <n v="288.45999999999998"/>
        <n v="386.82"/>
        <n v="1727.72"/>
        <n v="1571.04"/>
        <n v="39.9"/>
        <n v="36.26"/>
        <n v="50.37"/>
        <n v="1294.6199999999999"/>
        <n v="120.6"/>
        <n v="238.4"/>
        <n v="78.209999999999994"/>
        <n v="371.26"/>
        <n v="580.17999999999995"/>
        <n v="146.71"/>
        <n v="301.64999999999998"/>
        <n v="1097.7"/>
        <n v="23.16"/>
        <n v="717.3"/>
        <n v="1197.17"/>
        <n v="128.13999999999999"/>
        <n v="21.23"/>
        <n v="336.96"/>
        <n v="17.34"/>
        <n v="1868.49"/>
        <n v="2128.2199999999998"/>
        <n v="35.520000000000003"/>
        <n v="21.77"/>
        <n v="139.21"/>
        <n v="342.75"/>
        <n v="1363.2"/>
        <n v="16.41"/>
        <n v="85.14"/>
        <n v="445.52"/>
        <n v="168.52"/>
        <n v="36.86"/>
        <n v="138.63"/>
        <n v="697.06"/>
        <n v="204.93"/>
        <n v="69.63"/>
        <n v="642.98"/>
        <n v="32.36"/>
        <n v="454.99"/>
        <n v="329.88"/>
        <n v="53.1"/>
        <n v="852.76"/>
        <n v="233.14"/>
        <n v="542.79"/>
        <n v="1061.78"/>
        <n v="297.02999999999997"/>
        <n v="87.45"/>
        <n v="709.96"/>
        <n v="745.1"/>
        <n v="655.77"/>
        <n v="203.12"/>
        <n v="1420.2"/>
        <n v="488.22"/>
        <n v="90.66"/>
        <n v="1560.47"/>
        <n v="414.98"/>
        <n v="345.54"/>
        <n v="880.38"/>
        <n v="76.11"/>
        <n v="10.62"/>
        <n v="492.68"/>
        <n v="583.15"/>
        <n v="207.64"/>
        <n v="798.02"/>
        <n v="463.66"/>
        <n v="2366.19"/>
        <n v="50.49"/>
        <n v="45.73"/>
        <n v="971.18"/>
        <n v="39.68"/>
        <n v="2169.2800000000002"/>
        <n v="1918.38"/>
        <n v="140.22999999999999"/>
        <n v="36.049999999999997"/>
        <n v="313.7"/>
        <n v="775.95"/>
        <n v="106.09"/>
        <n v="202.06"/>
        <n v="297.25"/>
        <n v="927.44"/>
        <n v="75.33"/>
        <n v="1152.6099999999999"/>
        <n v="585.08000000000004"/>
        <n v="216.38"/>
        <n v="1252.8"/>
        <n v="147.30000000000001"/>
        <n v="1179.6199999999999"/>
        <n v="161.91999999999999"/>
        <n v="63.51"/>
        <n v="884.72"/>
        <n v="46.09"/>
        <n v="259.02999999999997"/>
        <n v="581.61"/>
        <n v="24.52"/>
        <n v="1709.68"/>
        <n v="2169.75"/>
        <n v="81.16"/>
        <n v="1180.8399999999999"/>
        <n v="348.43"/>
        <n v="924.71"/>
        <n v="86.93"/>
        <n v="608.54999999999995"/>
        <n v="62.21"/>
        <n v="53.8"/>
        <n v="246.68"/>
        <n v="381.9"/>
        <n v="119.03"/>
        <n v="1890.3"/>
        <n v="1218.1099999999999"/>
        <n v="1959.44"/>
        <n v="131.22999999999999"/>
        <n v="1783.03"/>
        <n v="188.52"/>
        <n v="454.79"/>
        <n v="109.29"/>
        <n v="261.45999999999998"/>
        <n v="314.3"/>
        <n v="277.63"/>
        <n v="350.94"/>
        <n v="284.76"/>
        <n v="311.39"/>
        <n v="1293.69"/>
        <n v="228.09"/>
        <n v="822.44"/>
        <n v="273.24"/>
        <n v="483.18"/>
        <n v="1835.19"/>
        <n v="2000.6"/>
        <n v="1666.48"/>
        <n v="393.05"/>
        <n v="610.98"/>
        <n v="814.8"/>
        <n v="262.14"/>
        <n v="6.19"/>
        <n v="61.85"/>
        <n v="607.76"/>
        <n v="766.73"/>
        <n v="133.21"/>
        <n v="250.22"/>
        <n v="53.49"/>
        <n v="978.22"/>
        <n v="369.69"/>
        <n v="229.48"/>
        <n v="1167.6099999999999"/>
        <n v="968.85"/>
        <n v="1009.87"/>
        <n v="395.6"/>
        <n v="843.87"/>
        <n v="940.96"/>
        <n v="2098.04"/>
        <n v="372.07"/>
        <n v="10.77"/>
        <n v="63.14"/>
        <n v="1904.26"/>
        <n v="117.71"/>
        <n v="110.72"/>
        <n v="270.89"/>
        <n v="1654.92"/>
        <n v="187.91"/>
        <n v="13.71"/>
        <n v="294.36"/>
        <n v="564.54"/>
        <n v="500.31"/>
        <n v="866.11"/>
        <n v="11.98"/>
        <n v="637.38"/>
        <n v="121.09"/>
        <n v="1835.99"/>
        <n v="1130.77"/>
        <n v="141.69"/>
        <n v="140.47"/>
        <n v="379.88"/>
        <n v="104.88"/>
        <n v="124.15"/>
        <n v="1513.72"/>
        <n v="41.38"/>
        <n v="142.36000000000001"/>
        <n v="361.83"/>
        <n v="1441.83"/>
        <n v="333.77"/>
        <n v="196.31"/>
        <n v="333.78"/>
        <n v="379.76"/>
        <n v="904.9"/>
        <n v="260.75"/>
        <n v="1745.88"/>
        <n v="1155.69"/>
        <n v="1171.8"/>
        <n v="1155.27"/>
        <n v="47.73"/>
        <n v="224.4"/>
        <n v="96.05"/>
        <n v="91.43"/>
        <n v="215.08"/>
        <n v="6.39"/>
        <n v="708.82"/>
        <n v="878.43"/>
        <n v="138.02000000000001"/>
        <n v="6.51"/>
        <n v="914.43"/>
        <n v="87.48"/>
        <n v="376.84"/>
        <n v="64.260000000000005"/>
        <n v="171.67"/>
        <n v="277.66000000000003"/>
        <n v="428.06"/>
        <n v="1954.35"/>
        <n v="832.12"/>
        <n v="35.24"/>
        <n v="59.64"/>
        <n v="240.91"/>
        <n v="826.93"/>
        <n v="238.93"/>
        <n v="47.96"/>
        <n v="648.79"/>
        <n v="146.55000000000001"/>
        <n v="53.39"/>
        <n v="952.46"/>
        <n v="95.13"/>
        <n v="1410.46"/>
        <n v="70.989999999999995"/>
        <n v="777.94"/>
        <n v="70.739999999999995"/>
        <n v="361.79"/>
        <n v="763"/>
        <n v="2088.02"/>
        <n v="221.65"/>
        <n v="1420.53"/>
        <n v="97.86"/>
        <n v="966.19"/>
        <n v="725.01"/>
        <n v="1930.48"/>
        <n v="76.430000000000007"/>
        <n v="43"/>
        <n v="362.95"/>
        <n v="122.08"/>
        <n v="27.51"/>
        <n v="625.13"/>
        <n v="767.12"/>
        <n v="715.34"/>
        <n v="578.66999999999996"/>
        <n v="101.31"/>
        <n v="566.62"/>
        <n v="637.15"/>
        <n v="41.82"/>
        <n v="1939.41"/>
        <n v="122.77"/>
        <n v="441.99"/>
        <n v="188.3"/>
        <n v="58.39"/>
        <n v="1775.52"/>
        <n v="410.13"/>
        <n v="135.26"/>
        <n v="421.44"/>
        <n v="432.75"/>
        <n v="154.4"/>
        <n v="82.82"/>
        <n v="245.08"/>
        <n v="120.09"/>
        <n v="798.92"/>
        <n v="76.03"/>
        <n v="410.61"/>
        <n v="1188.31"/>
        <n v="574.01"/>
        <n v="1208.18"/>
        <n v="312.73"/>
        <n v="1072.9000000000001"/>
        <n v="191.67"/>
        <n v="1472.67"/>
        <n v="618.04"/>
        <n v="118.01"/>
        <n v="269.72000000000003"/>
        <n v="140.97"/>
        <n v="193.56"/>
        <n v="220.01"/>
        <n v="347.34"/>
        <n v="253.6"/>
        <n v="446.84"/>
        <n v="139.26"/>
        <n v="131.71"/>
        <n v="63.36"/>
        <n v="996.84"/>
        <n v="57.47"/>
        <n v="234.29"/>
        <n v="66.61"/>
        <n v="201.01"/>
        <n v="220.13"/>
        <n v="1474.99"/>
        <n v="264.61"/>
        <n v="995.7"/>
        <n v="326.37"/>
        <n v="283.52999999999997"/>
        <n v="393.86"/>
        <n v="259.41000000000003"/>
        <n v="103.33"/>
        <n v="108.49"/>
        <n v="865.22"/>
        <n v="911.43"/>
        <n v="239.91"/>
        <n v="53.99"/>
        <n v="242.11"/>
        <n v="19.88"/>
        <n v="602.05999999999995"/>
        <n v="138.28"/>
        <n v="896.23"/>
        <n v="443.98"/>
        <n v="16.34"/>
        <n v="585.16"/>
        <n v="300.54000000000002"/>
        <n v="368.12"/>
        <n v="329"/>
        <n v="745.58"/>
        <n v="1311.79"/>
        <n v="232.21"/>
        <n v="578.99"/>
        <n v="398.36"/>
        <n v="350.8"/>
        <n v="256.81"/>
        <n v="766.63"/>
        <n v="332.42"/>
        <n v="343.67"/>
        <n v="869.27"/>
        <n v="227.21"/>
        <n v="2145.94"/>
        <n v="228.95"/>
        <n v="14.1"/>
        <n v="2396.0500000000002"/>
        <n v="849.11"/>
        <n v="830.39"/>
        <n v="538.30999999999995"/>
        <n v="216.44"/>
        <n v="1138.1400000000001"/>
        <n v="504.23"/>
        <n v="2284.79"/>
        <n v="964.98"/>
        <n v="213.09"/>
        <n v="1771.3"/>
        <n v="59.15"/>
        <n v="28.36"/>
        <n v="1234.8"/>
        <n v="295.14999999999998"/>
        <n v="206.97"/>
        <n v="194.04"/>
        <n v="327.69"/>
        <n v="132.24"/>
        <n v="1184.75"/>
        <n v="307.63"/>
        <n v="25.28"/>
        <n v="259.13"/>
        <n v="1014.83"/>
        <n v="38.409999999999997"/>
        <n v="1604.32"/>
        <n v="97.94"/>
        <n v="144.93"/>
        <n v="111.6"/>
        <n v="1064.31"/>
        <n v="1255.96"/>
        <n v="1271.94"/>
        <n v="32.5"/>
        <n v="985.32"/>
        <n v="298.32"/>
        <n v="831.08"/>
        <n v="1165.1099999999999"/>
        <n v="220.77"/>
      </sharedItems>
    </cacheField>
    <cacheField name="Cost" numFmtId="0">
      <sharedItems containsSemiMixedTypes="0" containsString="0" containsNumber="1" minValue="1.89" maxValue="1146.33"/>
    </cacheField>
    <cacheField name="Profit" numFmtId="0">
      <sharedItems containsSemiMixedTypes="0" containsString="0" containsNumber="1" minValue="3.56" maxValue="1625.64" count="1963">
        <n v="115.28"/>
        <n v="145.27000000000001"/>
        <n v="1140.54"/>
        <n v="398.84"/>
        <n v="134.07"/>
        <n v="87.97"/>
        <n v="49.58"/>
        <n v="366.92"/>
        <n v="220.64"/>
        <n v="452.48"/>
        <n v="1526.69"/>
        <n v="474.53"/>
        <n v="58.66"/>
        <n v="756.7"/>
        <n v="779.8"/>
        <n v="597.17999999999995"/>
        <n v="25.98"/>
        <n v="496.17"/>
        <n v="52.34"/>
        <n v="300.22000000000003"/>
        <n v="123.71"/>
        <n v="1625.64"/>
        <n v="1129.1099999999999"/>
        <n v="621"/>
        <n v="339.26"/>
        <n v="1279.9000000000001"/>
        <n v="212.78"/>
        <n v="74.290000000000006"/>
        <n v="166.83"/>
        <n v="381.12"/>
        <n v="123.83"/>
        <n v="97.53"/>
        <n v="45.07"/>
        <n v="592.04"/>
        <n v="377.75"/>
        <n v="144.30000000000001"/>
        <n v="394.11"/>
        <n v="380.17"/>
        <n v="650.1"/>
        <n v="262.38"/>
        <n v="381.06"/>
        <n v="245.95"/>
        <n v="102.23"/>
        <n v="143.63999999999999"/>
        <n v="439.56"/>
        <n v="457.63"/>
        <n v="346.2"/>
        <n v="1189.8699999999999"/>
        <n v="376.5"/>
        <n v="23.37"/>
        <n v="96.02"/>
        <n v="196.85"/>
        <n v="878.98"/>
        <n v="104.12"/>
        <n v="253.36"/>
        <n v="393.98"/>
        <n v="467.19"/>
        <n v="460.92"/>
        <n v="90.2"/>
        <n v="55.01"/>
        <n v="28.53"/>
        <n v="203.64"/>
        <n v="180.96"/>
        <n v="190.03"/>
        <n v="227.38"/>
        <n v="30.79"/>
        <n v="523.85"/>
        <n v="227.97"/>
        <n v="155.55000000000001"/>
        <n v="689.13"/>
        <n v="429.41"/>
        <n v="134.84"/>
        <n v="214.36"/>
        <n v="168.25"/>
        <n v="221.68"/>
        <n v="22.18"/>
        <n v="448.86"/>
        <n v="459.58"/>
        <n v="57.85"/>
        <n v="65.98"/>
        <n v="59.38"/>
        <n v="161.12"/>
        <n v="74.22"/>
        <n v="163.19999999999999"/>
        <n v="117.78"/>
        <n v="1069.82"/>
        <n v="255.76"/>
        <n v="318.07"/>
        <n v="466.08"/>
        <n v="36.340000000000003"/>
        <n v="364.54"/>
        <n v="40.15"/>
        <n v="71.959999999999994"/>
        <n v="35.83"/>
        <n v="167.78"/>
        <n v="190.33"/>
        <n v="281.39999999999998"/>
        <n v="103.32"/>
        <n v="157.35"/>
        <n v="417.85"/>
        <n v="42.77"/>
        <n v="766.77"/>
        <n v="35.46"/>
        <n v="254.77"/>
        <n v="96.89"/>
        <n v="269.32"/>
        <n v="614.15"/>
        <n v="194.36"/>
        <n v="7.85"/>
        <n v="48.14"/>
        <n v="141.77000000000001"/>
        <n v="231.42"/>
        <n v="842.79"/>
        <n v="24.5"/>
        <n v="78.599999999999994"/>
        <n v="20.5"/>
        <n v="424.35"/>
        <n v="44.68"/>
        <n v="768.33"/>
        <n v="33.549999999999997"/>
        <n v="272.35000000000002"/>
        <n v="152.43"/>
        <n v="182.53"/>
        <n v="146.97999999999999"/>
        <n v="446.55"/>
        <n v="179.34"/>
        <n v="321.8"/>
        <n v="549.67999999999995"/>
        <n v="183.58"/>
        <n v="259.49"/>
        <n v="227.63"/>
        <n v="17.079999999999998"/>
        <n v="154.96"/>
        <n v="30.72"/>
        <n v="31.43"/>
        <n v="168.93"/>
        <n v="320.05"/>
        <n v="741.34"/>
        <n v="526.54999999999995"/>
        <n v="285.51"/>
        <n v="587.33000000000004"/>
        <n v="1488.24"/>
        <n v="186.65"/>
        <n v="357.86"/>
        <n v="239.14"/>
        <n v="66.06"/>
        <n v="17.61"/>
        <n v="203.71"/>
        <n v="943.5"/>
        <n v="141.03"/>
        <n v="55"/>
        <n v="412.83"/>
        <n v="12.89"/>
        <n v="230.22"/>
        <n v="68.58"/>
        <n v="36.33"/>
        <n v="182.74"/>
        <n v="755.32"/>
        <n v="445.45"/>
        <n v="226.57"/>
        <n v="774.44"/>
        <n v="115.37"/>
        <n v="1046.81"/>
        <n v="469.98"/>
        <n v="781.75"/>
        <n v="119.05"/>
        <n v="28.87"/>
        <n v="51.49"/>
        <n v="550.99"/>
        <n v="764.46"/>
        <n v="174.45"/>
        <n v="29.46"/>
        <n v="188.96"/>
        <n v="328.27"/>
        <n v="90.11"/>
        <n v="469.53"/>
        <n v="503.44"/>
        <n v="24.64"/>
        <n v="17.32"/>
        <n v="413.4"/>
        <n v="174.43"/>
        <n v="599.01"/>
        <n v="801.51"/>
        <n v="168.42"/>
        <n v="387.28"/>
        <n v="287.88"/>
        <n v="49.01"/>
        <n v="817.36"/>
        <n v="43.87"/>
        <n v="4.13"/>
        <n v="37.159999999999997"/>
        <n v="885.97"/>
        <n v="360.28"/>
        <n v="392.09"/>
        <n v="382.81"/>
        <n v="171.99"/>
        <n v="72.8"/>
        <n v="95.14"/>
        <n v="172.84"/>
        <n v="130.78"/>
        <n v="345.28"/>
        <n v="85.14"/>
        <n v="174.56"/>
        <n v="140.87"/>
        <n v="315.02999999999997"/>
        <n v="75.31"/>
        <n v="520.15"/>
        <n v="650.46"/>
        <n v="196.28"/>
        <n v="500.12"/>
        <n v="711.82"/>
        <n v="182.54"/>
        <n v="668.79"/>
        <n v="273.95"/>
        <n v="82.55"/>
        <n v="64.239999999999995"/>
        <n v="46.14"/>
        <n v="232.59"/>
        <n v="1570.73"/>
        <n v="57.09"/>
        <n v="114.94"/>
        <n v="368.42"/>
        <n v="1202.53"/>
        <n v="935.01"/>
        <n v="306.87"/>
        <n v="205.76"/>
        <n v="342.75"/>
        <n v="61.07"/>
        <n v="142.02000000000001"/>
        <n v="168.72"/>
        <n v="268.13"/>
        <n v="71.61"/>
        <n v="232.03"/>
        <n v="79.430000000000007"/>
        <n v="150.51"/>
        <n v="297.85000000000002"/>
        <n v="37.64"/>
        <n v="8.67"/>
        <n v="40.33"/>
        <n v="45.45"/>
        <n v="164.17"/>
        <n v="38.700000000000003"/>
        <n v="1348.62"/>
        <n v="253.62"/>
        <n v="120"/>
        <n v="157.27000000000001"/>
        <n v="49.27"/>
        <n v="59.99"/>
        <n v="262.95999999999998"/>
        <n v="152.85"/>
        <n v="164.55"/>
        <n v="479.39"/>
        <n v="198.03"/>
        <n v="95.81"/>
        <n v="47.93"/>
        <n v="80.52"/>
        <n v="39.229999999999997"/>
        <n v="227.23"/>
        <n v="99.5"/>
        <n v="56.79"/>
        <n v="47.84"/>
        <n v="521.70000000000005"/>
        <n v="38.21"/>
        <n v="242.91"/>
        <n v="323.52999999999997"/>
        <n v="255.24"/>
        <n v="346.98"/>
        <n v="112.19"/>
        <n v="56.89"/>
        <n v="92.06"/>
        <n v="704.78"/>
        <n v="72.64"/>
        <n v="448.42"/>
        <n v="58.19"/>
        <n v="147.87"/>
        <n v="70.45"/>
        <n v="1311.38"/>
        <n v="683.62"/>
        <n v="139.1"/>
        <n v="235.93"/>
        <n v="137.88999999999999"/>
        <n v="218"/>
        <n v="184.62"/>
        <n v="460.98"/>
        <n v="66.14"/>
        <n v="77.48"/>
        <n v="167.18"/>
        <n v="15.2"/>
        <n v="37.15"/>
        <n v="391.02"/>
        <n v="7.04"/>
        <n v="119.28"/>
        <n v="521.37"/>
        <n v="585.59"/>
        <n v="76.44"/>
        <n v="76.41"/>
        <n v="392.37"/>
        <n v="203.16"/>
        <n v="421.18"/>
        <n v="38.35"/>
        <n v="110.21"/>
        <n v="55.25"/>
        <n v="40.270000000000003"/>
        <n v="461.14"/>
        <n v="1317.75"/>
        <n v="158.94999999999999"/>
        <n v="280.52999999999997"/>
        <n v="69.349999999999994"/>
        <n v="397.69"/>
        <n v="679.15"/>
        <n v="420.55"/>
        <n v="38.03"/>
        <n v="36.35"/>
        <n v="63.79"/>
        <n v="244.57"/>
        <n v="15.19"/>
        <n v="188.59"/>
        <n v="49.71"/>
        <n v="206.87"/>
        <n v="99.68"/>
        <n v="8.73"/>
        <n v="607.88"/>
        <n v="99.76"/>
        <n v="65.819999999999993"/>
        <n v="123.62"/>
        <n v="439.6"/>
        <n v="181.63"/>
        <n v="181.77"/>
        <n v="433.27"/>
        <n v="16.72"/>
        <n v="1184.78"/>
        <n v="655.13"/>
        <n v="211.58"/>
        <n v="243.73"/>
        <n v="195.03"/>
        <n v="119.15"/>
        <n v="466.48"/>
        <n v="135.57"/>
        <n v="5.7"/>
        <n v="1349.27"/>
        <n v="190.21"/>
        <n v="111.71"/>
        <n v="172.3"/>
        <n v="231.23"/>
        <n v="189.51"/>
        <n v="67.83"/>
        <n v="92.54"/>
        <n v="94.7"/>
        <n v="161.03"/>
        <n v="501"/>
        <n v="464.07"/>
        <n v="150.72"/>
        <n v="511.54"/>
        <n v="40.869999999999997"/>
        <n v="73.489999999999995"/>
        <n v="729.03"/>
        <n v="662.59"/>
        <n v="39.200000000000003"/>
        <n v="238.8"/>
        <n v="76.25"/>
        <n v="438.2"/>
        <n v="437.73"/>
        <n v="192.91"/>
        <n v="348.23"/>
        <n v="50.16"/>
        <n v="192.11"/>
        <n v="519.96"/>
        <n v="199.56"/>
        <n v="59.04"/>
        <n v="394.15"/>
        <n v="21.94"/>
        <n v="173.23"/>
        <n v="193.1"/>
        <n v="1000.34"/>
        <n v="423.48"/>
        <n v="1020.85"/>
        <n v="318.19"/>
        <n v="58.07"/>
        <n v="344.85"/>
        <n v="698.73"/>
        <n v="361.32"/>
        <n v="116.4"/>
        <n v="212.22"/>
        <n v="235.13"/>
        <n v="34.78"/>
        <n v="946.47"/>
        <n v="217.22"/>
        <n v="14.37"/>
        <n v="323.51"/>
        <n v="343.14"/>
        <n v="606.26"/>
        <n v="176.09"/>
        <n v="49.88"/>
        <n v="14.24"/>
        <n v="500.79"/>
        <n v="44.05"/>
        <n v="274.99"/>
        <n v="66.349999999999994"/>
        <n v="1100.9000000000001"/>
        <n v="4.87"/>
        <n v="193.19"/>
        <n v="435.16"/>
        <n v="362.98"/>
        <n v="140.9"/>
        <n v="137.38999999999999"/>
        <n v="15.8"/>
        <n v="67.319999999999993"/>
        <n v="574.85"/>
        <n v="216.29"/>
        <n v="386.73"/>
        <n v="553.70000000000005"/>
        <n v="100.7"/>
        <n v="431.38"/>
        <n v="207.49"/>
        <n v="14.25"/>
        <n v="103.39"/>
        <n v="699.92"/>
        <n v="47.34"/>
        <n v="114.53"/>
        <n v="377.17"/>
        <n v="13.28"/>
        <n v="261.8"/>
        <n v="223.51"/>
        <n v="159.68"/>
        <n v="675.81"/>
        <n v="49.96"/>
        <n v="122.77"/>
        <n v="672.23"/>
        <n v="185.85"/>
        <n v="261.42"/>
        <n v="284.05"/>
        <n v="19.309999999999999"/>
        <n v="262.49"/>
        <n v="90.34"/>
        <n v="122.93"/>
        <n v="531.79"/>
        <n v="221.35"/>
        <n v="172.14"/>
        <n v="245.01"/>
        <n v="815.19"/>
        <n v="66.64"/>
        <n v="370.39"/>
        <n v="749.85"/>
        <n v="1062.3699999999999"/>
        <n v="156.84"/>
        <n v="34.68"/>
        <n v="297.43"/>
        <n v="186.32"/>
        <n v="1235.72"/>
        <n v="45.15"/>
        <n v="321.42"/>
        <n v="696.44"/>
        <n v="731.53"/>
        <n v="399.58"/>
        <n v="796.27"/>
        <n v="172.22"/>
        <n v="188.66"/>
        <n v="97.85"/>
        <n v="40.57"/>
        <n v="57.19"/>
        <n v="177.81"/>
        <n v="613.89"/>
        <n v="45.14"/>
        <n v="140.76"/>
        <n v="1046.97"/>
        <n v="5.16"/>
        <n v="101.09"/>
        <n v="1511.8"/>
        <n v="26.72"/>
        <n v="243.61"/>
        <n v="1549.34"/>
        <n v="129.13999999999999"/>
        <n v="303.64"/>
        <n v="42.61"/>
        <n v="603.41"/>
        <n v="237.19"/>
        <n v="132.44999999999999"/>
        <n v="339.74"/>
        <n v="323.35000000000002"/>
        <n v="72.48"/>
        <n v="29.42"/>
        <n v="30.45"/>
        <n v="568.22"/>
        <n v="79.819999999999993"/>
        <n v="121.8"/>
        <n v="574.67999999999995"/>
        <n v="34.82"/>
        <n v="867.3"/>
        <n v="399.06"/>
        <n v="101.87"/>
        <n v="205.23"/>
        <n v="156.91"/>
        <n v="79.790000000000006"/>
        <n v="32.19"/>
        <n v="469.61"/>
        <n v="46.42"/>
        <n v="320.08999999999997"/>
        <n v="698.53"/>
        <n v="168.04"/>
        <n v="534.78"/>
        <n v="730.06"/>
        <n v="151.09"/>
        <n v="90.59"/>
        <n v="74.2"/>
        <n v="496.05"/>
        <n v="53.63"/>
        <n v="475.91"/>
        <n v="53.72"/>
        <n v="450.32"/>
        <n v="457.27"/>
        <n v="58.27"/>
        <n v="150.88999999999999"/>
        <n v="460.37"/>
        <n v="934.69"/>
        <n v="113.24"/>
        <n v="167.2"/>
        <n v="688.7"/>
        <n v="176.89"/>
        <n v="210.73"/>
        <n v="350.73"/>
        <n v="1580.82"/>
        <n v="53.79"/>
        <n v="65.2"/>
        <n v="71.63"/>
        <n v="50.55"/>
        <n v="1311.19"/>
        <n v="69.94"/>
        <n v="266.60000000000002"/>
        <n v="445.12"/>
        <n v="149.13"/>
        <n v="287.44"/>
        <n v="475.42"/>
        <n v="248.8"/>
        <n v="67.459999999999994"/>
        <n v="34.74"/>
        <n v="99.26"/>
        <n v="62.15"/>
        <n v="52.54"/>
        <n v="107.76"/>
        <n v="10.45"/>
        <n v="287.83999999999997"/>
        <n v="69.930000000000007"/>
        <n v="182.64"/>
        <n v="57.31"/>
        <n v="103.93"/>
        <n v="148.76"/>
        <n v="606.51"/>
        <n v="283.10000000000002"/>
        <n v="536.09"/>
        <n v="11.62"/>
        <n v="155.13999999999999"/>
        <n v="210.85"/>
        <n v="59.84"/>
        <n v="681.58"/>
        <n v="148.22999999999999"/>
        <n v="76.67"/>
        <n v="433.28"/>
        <n v="52.42"/>
        <n v="307.69"/>
        <n v="73.680000000000007"/>
        <n v="791.54"/>
        <n v="45.77"/>
        <n v="93.1"/>
        <n v="219.4"/>
        <n v="171.18"/>
        <n v="88.74"/>
        <n v="560.36"/>
        <n v="180.3"/>
        <n v="557.61"/>
        <n v="179.06"/>
        <n v="518.41"/>
        <n v="559.84"/>
        <n v="733.57"/>
        <n v="293.23"/>
        <n v="47.13"/>
        <n v="67.430000000000007"/>
        <n v="511.49"/>
        <n v="684.04"/>
        <n v="313.23"/>
        <n v="440.58"/>
        <n v="657.48"/>
        <n v="40.03"/>
        <n v="400.11"/>
        <n v="56.91"/>
        <n v="824.89"/>
        <n v="877.77"/>
        <n v="613.84"/>
        <n v="359.15"/>
        <n v="369.35"/>
        <n v="226.62"/>
        <n v="39.659999999999997"/>
        <n v="1292.06"/>
        <n v="120.41"/>
        <n v="62.04"/>
        <n v="90.3"/>
        <n v="121.05"/>
        <n v="81.96"/>
        <n v="647.94000000000005"/>
        <n v="56.49"/>
        <n v="134.35"/>
        <n v="225.41"/>
        <n v="189.38"/>
        <n v="500.52"/>
        <n v="598.79999999999995"/>
        <n v="749.53"/>
        <n v="115.85"/>
        <n v="190.64"/>
        <n v="274.08"/>
        <n v="1002.21"/>
        <n v="604.72"/>
        <n v="126.24"/>
        <n v="294.35000000000002"/>
        <n v="1210.95"/>
        <n v="75.569999999999993"/>
        <n v="62.92"/>
        <n v="13.97"/>
        <n v="543.85"/>
        <n v="78.81"/>
        <n v="149.80000000000001"/>
        <n v="360.6"/>
        <n v="1329.97"/>
        <n v="22.64"/>
        <n v="22.41"/>
        <n v="133.07"/>
        <n v="188.4"/>
        <n v="65.040000000000006"/>
        <n v="713.81"/>
        <n v="16.98"/>
        <n v="9.4600000000000009"/>
        <n v="358.09"/>
        <n v="210.72"/>
        <n v="72.87"/>
        <n v="651.4"/>
        <n v="202.36"/>
        <n v="119.2"/>
        <n v="330.69"/>
        <n v="84.19"/>
        <n v="43.18"/>
        <n v="215.69"/>
        <n v="37.880000000000003"/>
        <n v="169.34"/>
        <n v="108.55"/>
        <n v="253.12"/>
        <n v="88.63"/>
        <n v="42.24"/>
        <n v="135.18"/>
        <n v="578.16999999999996"/>
        <n v="167.68"/>
        <n v="757.08"/>
        <n v="39.68"/>
        <n v="931.74"/>
        <n v="70.16"/>
        <n v="108.8"/>
        <n v="210.21"/>
        <n v="110.37"/>
        <n v="431.92"/>
        <n v="1385.54"/>
        <n v="608.97"/>
        <n v="34.299999999999997"/>
        <n v="120.86"/>
        <n v="66.08"/>
        <n v="141.63999999999999"/>
        <n v="205.85"/>
        <n v="576.23"/>
        <n v="212.48"/>
        <n v="36.94"/>
        <n v="168.3"/>
        <n v="432.09"/>
        <n v="1044.18"/>
        <n v="582"/>
        <n v="534.52"/>
        <n v="133.34"/>
        <n v="61.97"/>
        <n v="510.48"/>
        <n v="328.26"/>
        <n v="20.75"/>
        <n v="373.1"/>
        <n v="29.14"/>
        <n v="276.33999999999997"/>
        <n v="529.97"/>
        <n v="110.8"/>
        <n v="70.239999999999995"/>
        <n v="1274.54"/>
        <n v="616.64"/>
        <n v="1438.17"/>
        <n v="48.04"/>
        <n v="590.08000000000004"/>
        <n v="22.17"/>
        <n v="20.49"/>
        <n v="55.39"/>
        <n v="51.42"/>
        <n v="215.98"/>
        <n v="165.25"/>
        <n v="581.96"/>
        <n v="118.8"/>
        <n v="643.9"/>
        <n v="26.2"/>
        <n v="12.01"/>
        <n v="97.46"/>
        <n v="86.37"/>
        <n v="648.84"/>
        <n v="268.01"/>
        <n v="49.12"/>
        <n v="99.13"/>
        <n v="1091.6500000000001"/>
        <n v="551.69000000000005"/>
        <n v="645.76"/>
        <n v="155.91999999999999"/>
        <n v="173.32"/>
        <n v="190.55"/>
        <n v="51.44"/>
        <n v="542.59"/>
        <n v="547.66999999999996"/>
        <n v="215.66"/>
        <n v="69.790000000000006"/>
        <n v="567.66"/>
        <n v="987.01"/>
        <n v="838.9"/>
        <n v="138.18"/>
        <n v="4.04"/>
        <n v="53.17"/>
        <n v="41.5"/>
        <n v="207.07"/>
        <n v="96.7"/>
        <n v="361.72"/>
        <n v="96.61"/>
        <n v="33.01"/>
        <n v="43.52"/>
        <n v="346.62"/>
        <n v="1128.25"/>
        <n v="337.79"/>
        <n v="734.18"/>
        <n v="1112.27"/>
        <n v="164.28"/>
        <n v="187.04"/>
        <n v="528.54"/>
        <n v="1031.3699999999999"/>
        <n v="226.08"/>
        <n v="424.97"/>
        <n v="146.19"/>
        <n v="468.45"/>
        <n v="36.21"/>
        <n v="178.39"/>
        <n v="183.26"/>
        <n v="688.39"/>
        <n v="112.83"/>
        <n v="194.09"/>
        <n v="395"/>
        <n v="287.58"/>
        <n v="537.54999999999995"/>
        <n v="107.15"/>
        <n v="458.7"/>
        <n v="75.73"/>
        <n v="91.13"/>
        <n v="122.87"/>
        <n v="764.26"/>
        <n v="388"/>
        <n v="1206.22"/>
        <n v="153.53"/>
        <n v="97.14"/>
        <n v="92.12"/>
        <n v="460.67"/>
        <n v="705.91"/>
        <n v="37.08"/>
        <n v="645.09"/>
        <n v="12.43"/>
        <n v="73"/>
        <n v="93.4"/>
        <n v="64.98"/>
        <n v="83.65"/>
        <n v="58.21"/>
        <n v="22.59"/>
        <n v="264.08999999999997"/>
        <n v="180.62"/>
        <n v="73.959999999999994"/>
        <n v="50.32"/>
        <n v="80.319999999999993"/>
        <n v="112.9"/>
        <n v="100.64"/>
        <n v="103.65"/>
        <n v="1121.1300000000001"/>
        <n v="367.35"/>
        <n v="284"/>
        <n v="303.58999999999997"/>
        <n v="248.9"/>
        <n v="669.73"/>
        <n v="412.04"/>
        <n v="610.52"/>
        <n v="379.55"/>
        <n v="31.51"/>
        <n v="154.15"/>
        <n v="253.84"/>
        <n v="95.46"/>
        <n v="91.27"/>
        <n v="180.93"/>
        <n v="255.33"/>
        <n v="206.38"/>
        <n v="24.03"/>
        <n v="343.44"/>
        <n v="48.69"/>
        <n v="502.04"/>
        <n v="184.94"/>
        <n v="266.75"/>
        <n v="43.15"/>
        <n v="523.87"/>
        <n v="271.60000000000002"/>
        <n v="450.73"/>
        <n v="98.54"/>
        <n v="344.29"/>
        <n v="92.97"/>
        <n v="89.64"/>
        <n v="592.79"/>
        <n v="34.119999999999997"/>
        <n v="88.29"/>
        <n v="13.78"/>
        <n v="8.4"/>
        <n v="125.26"/>
        <n v="466.45"/>
        <n v="32.33"/>
        <n v="241.74"/>
        <n v="17.25"/>
        <n v="142.44999999999999"/>
        <n v="221.9"/>
        <n v="103.71"/>
        <n v="140.84"/>
        <n v="1029.83"/>
        <n v="298.94"/>
        <n v="13.42"/>
        <n v="1149.9000000000001"/>
        <n v="174.75"/>
        <n v="122.24"/>
        <n v="279.37"/>
        <n v="32.11"/>
        <n v="128.69"/>
        <n v="429.27"/>
        <n v="50.15"/>
        <n v="83.75"/>
        <n v="1165.0999999999999"/>
        <n v="183.2"/>
        <n v="438.87"/>
        <n v="530.1"/>
        <n v="46.54"/>
        <n v="104.97"/>
        <n v="357.81"/>
        <n v="153.09"/>
        <n v="569.72"/>
        <n v="216.39"/>
        <n v="118.46"/>
        <n v="710.68"/>
        <n v="679.81"/>
        <n v="668.53"/>
        <n v="11.71"/>
        <n v="107.27"/>
        <n v="478.3"/>
        <n v="302.07"/>
        <n v="901.21"/>
        <n v="103.6"/>
        <n v="754.84"/>
        <n v="871.31"/>
        <n v="439.06"/>
        <n v="160.01"/>
        <n v="760.46"/>
        <n v="134.82"/>
        <n v="1397.42"/>
        <n v="11.08"/>
        <n v="1071.72"/>
        <n v="153.55000000000001"/>
        <n v="169.21"/>
        <n v="437.24"/>
        <n v="31.76"/>
        <n v="1002.71"/>
        <n v="51.25"/>
        <n v="107.2"/>
        <n v="400.41"/>
        <n v="346.48"/>
        <n v="1588.93"/>
        <n v="170.09"/>
        <n v="54.93"/>
        <n v="809.4"/>
        <n v="571.49"/>
        <n v="1070.51"/>
        <n v="202.88"/>
        <n v="158.44999999999999"/>
        <n v="99.23"/>
        <n v="78.64"/>
        <n v="394.99"/>
        <n v="8.9700000000000006"/>
        <n v="23.72"/>
        <n v="246.6"/>
        <n v="374.3"/>
        <n v="271.69"/>
        <n v="376.06"/>
        <n v="88.43"/>
        <n v="6.33"/>
        <n v="59.27"/>
        <n v="303.39"/>
        <n v="452.41"/>
        <n v="184.33"/>
        <n v="403.48"/>
        <n v="16.62"/>
        <n v="261.72000000000003"/>
        <n v="167.43"/>
        <n v="186.78"/>
        <n v="384.47"/>
        <n v="84.54"/>
        <n v="579.94000000000005"/>
        <n v="42.62"/>
        <n v="925.57"/>
        <n v="146.16999999999999"/>
        <n v="109.1"/>
        <n v="81.02"/>
        <n v="155.29"/>
        <n v="31.55"/>
        <n v="49.75"/>
        <n v="910.02"/>
        <n v="977.9"/>
        <n v="36.090000000000003"/>
        <n v="547.78"/>
        <n v="113.29"/>
        <n v="385.03"/>
        <n v="319.10000000000002"/>
        <n v="347.43"/>
        <n v="618.09"/>
        <n v="122.68"/>
        <n v="300.38"/>
        <n v="422.41"/>
        <n v="375.42"/>
        <n v="626.36"/>
        <n v="421.11"/>
        <n v="133.30000000000001"/>
        <n v="6.12"/>
        <n v="71.37"/>
        <n v="18.36"/>
        <n v="208.32"/>
        <n v="463.91"/>
        <n v="1258.81"/>
        <n v="150.13999999999999"/>
        <n v="75.47"/>
        <n v="148.16"/>
        <n v="133.22"/>
        <n v="499.61"/>
        <n v="625.95000000000005"/>
        <n v="61.1"/>
        <n v="727.5"/>
        <n v="21.18"/>
        <n v="41.02"/>
        <n v="150.34"/>
        <n v="162.68"/>
        <n v="468.61"/>
        <n v="526.79999999999995"/>
        <n v="186.18"/>
        <n v="34.18"/>
        <n v="128.88999999999999"/>
        <n v="188.53"/>
        <n v="13.53"/>
        <n v="104.39"/>
        <n v="120.81"/>
        <n v="631.87"/>
        <n v="528.24"/>
        <n v="794.71"/>
        <n v="560.46"/>
        <n v="743.61"/>
        <n v="202.59"/>
        <n v="586.78"/>
        <n v="452.62"/>
        <n v="391.23"/>
        <n v="183.75"/>
        <n v="675.09"/>
        <n v="993.04"/>
        <n v="319.02"/>
        <n v="688.01"/>
        <n v="87.52"/>
        <n v="60.37"/>
        <n v="370.27"/>
        <n v="432.78"/>
        <n v="227.8"/>
        <n v="198.59"/>
        <n v="55.81"/>
        <n v="205.16"/>
        <n v="189.26"/>
        <n v="472.17"/>
        <n v="540.15"/>
        <n v="570.78"/>
        <n v="90.91"/>
        <n v="73.75"/>
        <n v="335.65"/>
        <n v="341.71"/>
        <n v="95.94"/>
        <n v="118.14"/>
        <n v="64.45"/>
        <n v="703.59"/>
        <n v="1229.8699999999999"/>
        <n v="341.92"/>
        <n v="315.49"/>
        <n v="466.37"/>
        <n v="556.52"/>
        <n v="49.4"/>
        <n v="24.24"/>
        <n v="258.77"/>
        <n v="120.87"/>
        <n v="130.6"/>
        <n v="145.28"/>
        <n v="452.69"/>
        <n v="566.1"/>
        <n v="1580"/>
        <n v="32.799999999999997"/>
        <n v="102.35"/>
        <n v="406.1"/>
        <n v="96.65"/>
        <n v="339.76"/>
        <n v="539.54999999999995"/>
        <n v="93.52"/>
        <n v="171.24"/>
        <n v="488.67"/>
        <n v="163.15"/>
        <n v="194.05"/>
        <n v="135.94999999999999"/>
        <n v="550.27"/>
        <n v="139.35"/>
        <n v="106.54"/>
        <n v="89.31"/>
        <n v="43.01"/>
        <n v="565.51"/>
        <n v="87.99"/>
        <n v="245.08"/>
        <n v="286.01"/>
        <n v="165.26"/>
        <n v="477.81"/>
        <n v="1249.78"/>
        <n v="50.28"/>
        <n v="434.64"/>
        <n v="165.19"/>
        <n v="1382.17"/>
        <n v="182.63"/>
        <n v="925.96"/>
        <n v="177.5"/>
        <n v="550.28"/>
        <n v="259.76"/>
        <n v="355.17"/>
        <n v="65.319999999999993"/>
        <n v="121.59"/>
        <n v="14.38"/>
        <n v="371.42"/>
        <n v="602"/>
        <n v="420.91"/>
        <n v="92.96"/>
        <n v="42.8"/>
        <n v="472.39"/>
        <n v="119.73"/>
        <n v="494.5"/>
        <n v="442.67"/>
        <n v="101.49"/>
        <n v="531.25"/>
        <n v="526.41999999999996"/>
        <n v="292.75"/>
        <n v="275.55"/>
        <n v="614.64"/>
        <n v="316.74"/>
        <n v="24.79"/>
        <n v="1462.87"/>
        <n v="255.25"/>
        <n v="170.3"/>
        <n v="87.13"/>
        <n v="392.22"/>
        <n v="135.66999999999999"/>
        <n v="283.83"/>
        <n v="1068.8399999999999"/>
        <n v="310.68"/>
        <n v="518.49"/>
        <n v="73.69"/>
        <n v="367.39"/>
        <n v="99.4"/>
        <n v="188.12"/>
        <n v="1074.9100000000001"/>
        <n v="34.01"/>
        <n v="255.58"/>
        <n v="823.23"/>
        <n v="83.83"/>
        <n v="500.25"/>
        <n v="47.86"/>
        <n v="57.46"/>
        <n v="202.53"/>
        <n v="1178.22"/>
        <n v="43.03"/>
        <n v="10.039999999999999"/>
        <n v="79.650000000000006"/>
        <n v="307.45"/>
        <n v="127.62"/>
        <n v="113.14"/>
        <n v="118.92"/>
        <n v="275.33"/>
        <n v="228.31"/>
        <n v="283.51"/>
        <n v="1600.8"/>
        <n v="72.63"/>
        <n v="609.41999999999996"/>
        <n v="92.77"/>
        <n v="490.92"/>
        <n v="483.2"/>
        <n v="187.69"/>
        <n v="79.48"/>
        <n v="305.73"/>
        <n v="683"/>
        <n v="327.66000000000003"/>
        <n v="60.08"/>
        <n v="135.49"/>
        <n v="248.08"/>
        <n v="471.46"/>
        <n v="64.11"/>
        <n v="25.39"/>
        <n v="1425.79"/>
        <n v="96.99"/>
        <n v="508.28"/>
        <n v="60.93"/>
        <n v="14.88"/>
        <n v="33.39"/>
        <n v="147.11000000000001"/>
        <n v="67.55"/>
        <n v="96.09"/>
        <n v="183.35"/>
        <n v="271.05"/>
        <n v="24.65"/>
        <n v="569.35"/>
        <n v="541.70000000000005"/>
        <n v="1102.1400000000001"/>
        <n v="47.19"/>
        <n v="79.05"/>
        <n v="257.04000000000002"/>
        <n v="618.80999999999995"/>
        <n v="749.14"/>
        <n v="273.89"/>
        <n v="157.69999999999999"/>
        <n v="590.54"/>
        <n v="36.520000000000003"/>
        <n v="106.76"/>
        <n v="126.66"/>
        <n v="435.54"/>
        <n v="77.27"/>
        <n v="242.27"/>
        <n v="125.78"/>
        <n v="26.16"/>
        <n v="114.76"/>
        <n v="367.07"/>
        <n v="415.03"/>
        <n v="515.19000000000005"/>
        <n v="662.89"/>
        <n v="51.24"/>
        <n v="194.66"/>
        <n v="5.42"/>
        <n v="166.89"/>
        <n v="112.3"/>
        <n v="137.75"/>
        <n v="116.46"/>
        <n v="117.1"/>
        <n v="134.96"/>
        <n v="622.74"/>
        <n v="122.99"/>
        <n v="178.61"/>
        <n v="83.15"/>
        <n v="290.26"/>
        <n v="411.97"/>
        <n v="485.6"/>
        <n v="36.43"/>
        <n v="976.47"/>
        <n v="5.26"/>
        <n v="165.1"/>
        <n v="135.36000000000001"/>
        <n v="372.39"/>
        <n v="61.29"/>
        <n v="102.54"/>
        <n v="630.51"/>
        <n v="166.26"/>
        <n v="89.01"/>
        <n v="230.11"/>
        <n v="121.37"/>
        <n v="55.78"/>
        <n v="373.97"/>
        <n v="251.67"/>
        <n v="41.73"/>
        <n v="219.36"/>
        <n v="176.07"/>
        <n v="62.79"/>
        <n v="36.880000000000003"/>
        <n v="181.95"/>
        <n v="1535.81"/>
        <n v="129.16999999999999"/>
        <n v="498.41"/>
        <n v="233.91"/>
        <n v="120.71"/>
        <n v="156.82"/>
        <n v="517.22"/>
        <n v="203.12"/>
        <n v="350.93"/>
        <n v="69.89"/>
        <n v="166.52"/>
        <n v="54.38"/>
        <n v="53.61"/>
        <n v="77.08"/>
        <n v="229.15"/>
        <n v="176.72"/>
        <n v="252.36"/>
        <n v="51.67"/>
        <n v="115.72"/>
        <n v="827.05"/>
        <n v="764.29"/>
        <n v="324.97000000000003"/>
        <n v="23.22"/>
        <n v="198.4"/>
        <n v="407.24"/>
        <n v="573.87"/>
        <n v="129.4"/>
        <n v="1380.05"/>
        <n v="1234.51"/>
        <n v="1496.24"/>
        <n v="322.95"/>
        <n v="60.69"/>
        <n v="116.55"/>
        <n v="64"/>
        <n v="266.64999999999998"/>
        <n v="260.64"/>
        <n v="163.30000000000001"/>
        <n v="685.01"/>
        <n v="1586.71"/>
        <n v="100.05"/>
        <n v="630.58000000000004"/>
        <n v="453.93"/>
        <n v="1323.42"/>
        <n v="49.13"/>
        <n v="598.26"/>
        <n v="589.94000000000005"/>
        <n v="130.44"/>
        <n v="321.83"/>
        <n v="65.38"/>
        <n v="306.97000000000003"/>
        <n v="208.7"/>
        <n v="170.12"/>
        <n v="109.16"/>
        <n v="297.23"/>
        <n v="380.49"/>
        <n v="564.84"/>
        <n v="530.75"/>
        <n v="458.41"/>
        <n v="221.95"/>
        <n v="285.07"/>
        <n v="323.26"/>
        <n v="193.06"/>
        <n v="303.92"/>
        <n v="433.86"/>
        <n v="497.33"/>
        <n v="48.94"/>
        <n v="65.45"/>
        <n v="436.69"/>
        <n v="240.37"/>
        <n v="47.72"/>
        <n v="149.41"/>
        <n v="400.95"/>
        <n v="182.73"/>
        <n v="64.040000000000006"/>
        <n v="126.82"/>
        <n v="144.12"/>
        <n v="354.89"/>
        <n v="409.49"/>
        <n v="1465.78"/>
        <n v="227.4"/>
        <n v="23.62"/>
        <n v="5.49"/>
        <n v="138.9"/>
        <n v="817.59"/>
        <n v="570.87"/>
        <n v="153.79"/>
        <n v="114.09"/>
        <n v="537.27"/>
        <n v="125.58"/>
        <n v="326.83"/>
        <n v="284.45999999999998"/>
        <n v="94.44"/>
        <n v="180.36"/>
        <n v="500.56"/>
        <n v="160.19"/>
        <n v="437.06"/>
        <n v="196.8"/>
        <n v="146.46"/>
        <n v="37.29"/>
        <n v="232.29"/>
        <n v="165.05"/>
        <n v="50.71"/>
        <n v="337.67"/>
        <n v="202.18"/>
        <n v="376.92"/>
        <n v="179.33"/>
        <n v="208.75"/>
        <n v="71.77"/>
        <n v="358.1"/>
        <n v="1453.74"/>
        <n v="370.58"/>
        <n v="643.61"/>
        <n v="154.09"/>
        <n v="89.63"/>
        <n v="152.71"/>
        <n v="307.39"/>
        <n v="256.7"/>
        <n v="45.96"/>
        <n v="152.93"/>
        <n v="323.63"/>
        <n v="112.86"/>
        <n v="140.63"/>
        <n v="80.239999999999995"/>
        <n v="57.93"/>
        <n v="697.21"/>
        <n v="233.49"/>
        <n v="11.23"/>
        <n v="208.67"/>
        <n v="114.13"/>
        <n v="498.92"/>
        <n v="92.73"/>
        <n v="111.05"/>
        <n v="325.14999999999998"/>
        <n v="194.81"/>
        <n v="679.83"/>
        <n v="97.13"/>
        <n v="13.39"/>
        <n v="561.96"/>
        <n v="271.19"/>
        <n v="70.81"/>
        <n v="169.08"/>
        <n v="64.459999999999994"/>
        <n v="86.39"/>
        <n v="551.25"/>
        <n v="122.28"/>
        <n v="223.29"/>
        <n v="393.81"/>
        <n v="153.47999999999999"/>
        <n v="688.27"/>
        <n v="151.55000000000001"/>
        <n v="17.11"/>
        <n v="170.41"/>
        <n v="588.1"/>
        <n v="468.54"/>
        <n v="217.9"/>
        <n v="435.03"/>
        <n v="153.16"/>
        <n v="149.19"/>
        <n v="533.91999999999996"/>
        <n v="130.56"/>
        <n v="156.71"/>
        <n v="34.08"/>
        <n v="56.05"/>
        <n v="96.78"/>
        <n v="227"/>
        <n v="65.88"/>
        <n v="297.3"/>
        <n v="219.9"/>
        <n v="822.04"/>
        <n v="719.85"/>
        <n v="998.66"/>
        <n v="172.02"/>
        <n v="102.91"/>
        <n v="993.2"/>
        <n v="155.51"/>
        <n v="106.12"/>
        <n v="95.22"/>
        <n v="63.1"/>
        <n v="355.04"/>
        <n v="44.42"/>
        <n v="69.44"/>
        <n v="1437.32"/>
        <n v="225.03"/>
        <n v="456.64"/>
        <n v="208.36"/>
        <n v="106.42"/>
        <n v="237.86"/>
        <n v="286.70999999999998"/>
        <n v="912.29"/>
        <n v="92.28"/>
        <n v="101.72"/>
        <n v="66.709999999999994"/>
        <n v="158.47"/>
        <n v="84.44"/>
        <n v="53.03"/>
        <n v="104.37"/>
        <n v="77.680000000000007"/>
        <n v="317.73"/>
        <n v="12.35"/>
        <n v="14.98"/>
        <n v="458.64"/>
        <n v="200.01"/>
        <n v="153.61000000000001"/>
        <n v="1017.77"/>
        <n v="893.38"/>
        <n v="54.81"/>
        <n v="27.2"/>
        <n v="345.98"/>
        <n v="35.53"/>
        <n v="108.27"/>
        <n v="226.79"/>
        <n v="57.69"/>
        <n v="42.78"/>
        <n v="1161.75"/>
        <n v="452.07"/>
        <n v="37.65"/>
        <n v="8.3699999999999992"/>
        <n v="67.680000000000007"/>
        <n v="198.67"/>
        <n v="221.81"/>
        <n v="439.8"/>
        <n v="336.36"/>
        <n v="103.2"/>
        <n v="847.36"/>
        <n v="46.82"/>
        <n v="62.78"/>
        <n v="92.31"/>
        <n v="607.82000000000005"/>
        <n v="212.74"/>
        <n v="6.08"/>
        <n v="189.82"/>
        <n v="156.25"/>
        <n v="1070.1600000000001"/>
        <n v="127.34"/>
        <n v="56.31"/>
        <n v="51.55"/>
        <n v="1377.74"/>
        <n v="211.34"/>
        <n v="221.31"/>
        <n v="108.45"/>
        <n v="168.69"/>
        <n v="34.39"/>
        <n v="135.84"/>
        <n v="160.41"/>
        <n v="838.57"/>
        <n v="56.28"/>
        <n v="132.65"/>
        <n v="90.19"/>
        <n v="106.92"/>
        <n v="1263.47"/>
        <n v="90.92"/>
        <n v="200.48"/>
        <n v="129.03"/>
        <n v="661.98"/>
        <n v="221.44"/>
        <n v="657.01"/>
        <n v="716.92"/>
        <n v="109.19"/>
        <n v="275.83"/>
        <n v="310.36"/>
        <n v="68.09"/>
        <n v="107.65"/>
        <n v="194.74"/>
        <n v="183.84"/>
        <n v="314.24"/>
        <n v="1276.99"/>
        <n v="215.79"/>
        <n v="137.94"/>
        <n v="848.47"/>
        <n v="480.43"/>
        <n v="65.48"/>
        <n v="87.11"/>
        <n v="81.48"/>
        <n v="4.29"/>
        <n v="479.83"/>
        <n v="40.74"/>
        <n v="302.22000000000003"/>
        <n v="49.02"/>
        <n v="203.9"/>
        <n v="12.7"/>
        <n v="655.86"/>
        <n v="210.63"/>
        <n v="174.7"/>
        <n v="294.49"/>
        <n v="61.38"/>
        <n v="527.97"/>
        <n v="414.44"/>
        <n v="370.57"/>
        <n v="116.01"/>
        <n v="648.75"/>
        <n v="599.48"/>
        <n v="57.57"/>
        <n v="1611.86"/>
        <n v="350.62"/>
        <n v="163.27000000000001"/>
        <n v="661.34"/>
        <n v="511.41"/>
        <n v="17.87"/>
        <n v="309.33999999999997"/>
        <n v="465.38"/>
        <n v="576.54999999999995"/>
        <n v="1302.03"/>
        <n v="245.96"/>
        <n v="141.09"/>
        <n v="72.599999999999994"/>
        <n v="965.48"/>
        <n v="411.24"/>
        <n v="163.03"/>
        <n v="51.77"/>
        <n v="295.86"/>
        <n v="187.93"/>
        <n v="59.88"/>
        <n v="542.29"/>
        <n v="444.54"/>
        <n v="274.41000000000003"/>
        <n v="77.569999999999993"/>
        <n v="45.95"/>
        <n v="375.93"/>
        <n v="195.54"/>
        <n v="135.04"/>
        <n v="12.98"/>
        <n v="58.55"/>
        <n v="126.08"/>
        <n v="12.2"/>
        <n v="230.57"/>
        <n v="189.78"/>
        <n v="48.28"/>
        <n v="37.06"/>
        <n v="153.76"/>
        <n v="134.36000000000001"/>
        <n v="33.75"/>
        <n v="502.82"/>
        <n v="362.38"/>
        <n v="139.84"/>
        <n v="170.73"/>
        <n v="324.58999999999997"/>
        <n v="489.09"/>
        <n v="161.31"/>
        <n v="167.72"/>
        <n v="1147.22"/>
        <n v="8.68"/>
        <n v="329.99"/>
        <n v="833.83"/>
        <n v="172.73"/>
        <n v="841.76"/>
        <n v="181.02"/>
        <n v="171.17"/>
        <n v="338.31"/>
        <n v="88.85"/>
        <n v="127.89"/>
        <n v="159.41"/>
        <n v="14.54"/>
        <n v="1511.08"/>
        <n v="298.01"/>
        <n v="149.75"/>
        <n v="51.84"/>
        <n v="802.94"/>
        <n v="409.96"/>
        <n v="98.23"/>
        <n v="161.08000000000001"/>
        <n v="528.01"/>
        <n v="153"/>
        <n v="575.21"/>
        <n v="181.03"/>
        <n v="331.36"/>
        <n v="342.71"/>
        <n v="58.5"/>
        <n v="249.66"/>
        <n v="14.81"/>
        <n v="194.79"/>
        <n v="343.29"/>
        <n v="753.41"/>
        <n v="112.61"/>
        <n v="609.63"/>
        <n v="92.1"/>
        <n v="216.1"/>
        <n v="128.97"/>
        <n v="425.66"/>
        <n v="587.45000000000005"/>
        <n v="475.37"/>
        <n v="560.04999999999995"/>
        <n v="268.67"/>
        <n v="28.92"/>
        <n v="12.5"/>
        <n v="956.39"/>
        <n v="367.21"/>
        <n v="587.99"/>
        <n v="48.32"/>
        <n v="86.63"/>
        <n v="80.58"/>
        <n v="436.82"/>
        <n v="370.73"/>
        <n v="97.98"/>
        <n v="659.84"/>
        <n v="81.150000000000006"/>
        <n v="80.75"/>
        <n v="168.55"/>
        <n v="170.54"/>
        <n v="42.35"/>
        <n v="122.89"/>
        <n v="116.5"/>
        <n v="163.19"/>
        <n v="47.71"/>
        <n v="31"/>
        <n v="465.2"/>
        <n v="194.99"/>
        <n v="12.38"/>
        <n v="665.64"/>
        <n v="15.25"/>
        <n v="20.28"/>
        <n v="251.59"/>
        <n v="263.92"/>
        <n v="28.95"/>
        <n v="217.85"/>
        <n v="75.11"/>
        <n v="25.42"/>
        <n v="188.22"/>
        <n v="211.14"/>
        <n v="42.49"/>
        <n v="1068.81"/>
        <n v="1024.81"/>
        <n v="26.95"/>
        <n v="26.82"/>
        <n v="35.97"/>
        <n v="496.8"/>
        <n v="92.27"/>
        <n v="107.66"/>
        <n v="41.24"/>
        <n v="239.56"/>
        <n v="336.77"/>
        <n v="113.55"/>
        <n v="221.66"/>
        <n v="396.54"/>
        <n v="14.47"/>
        <n v="372.22"/>
        <n v="856.28"/>
        <n v="85.47"/>
        <n v="172.91"/>
        <n v="11.67"/>
        <n v="547.64"/>
        <n v="1117.83"/>
        <n v="1357.19"/>
        <n v="26.46"/>
        <n v="16.48"/>
        <n v="93.81"/>
        <n v="222.62"/>
        <n v="477.8"/>
        <n v="11.32"/>
        <n v="56.04"/>
        <n v="237.33"/>
        <n v="90.51"/>
        <n v="27.98"/>
        <n v="91.97"/>
        <n v="410.84"/>
        <n v="116.8"/>
        <n v="47.08"/>
        <n v="356.03"/>
        <n v="23.58"/>
        <n v="223.91"/>
        <n v="219.33"/>
        <n v="517.85"/>
        <n v="151.72"/>
        <n v="332.46"/>
        <n v="619.26"/>
        <n v="184.3"/>
        <n v="54.76"/>
        <n v="418.16"/>
        <n v="459.23"/>
        <n v="400.71"/>
        <n v="152.31"/>
        <n v="993.25"/>
        <n v="283"/>
        <n v="66.069999999999993"/>
        <n v="995.18"/>
        <n v="222.44"/>
        <n v="247.34"/>
        <n v="628.08000000000004"/>
        <n v="7.15"/>
        <n v="35.31"/>
        <n v="330.9"/>
        <n v="317.68"/>
        <n v="137.72999999999999"/>
        <n v="498.52"/>
        <n v="264.07"/>
        <n v="1384.85"/>
        <n v="34.89"/>
        <n v="25.37"/>
        <n v="442.98"/>
        <n v="30.64"/>
        <n v="1122.3800000000001"/>
        <n v="1227.81"/>
        <n v="76.760000000000005"/>
        <n v="27.23"/>
        <n v="209.23"/>
        <n v="267.66000000000003"/>
        <n v="65.78"/>
        <n v="134.22999999999999"/>
        <n v="156.99"/>
        <n v="681.64"/>
        <n v="48.3"/>
        <n v="693.56"/>
        <n v="341.33"/>
        <n v="165.68"/>
        <n v="663.72"/>
        <n v="114.16"/>
        <n v="725.25"/>
        <n v="91.39"/>
        <n v="42.18"/>
        <n v="424.3"/>
        <n v="33.270000000000003"/>
        <n v="134.11000000000001"/>
        <n v="356.39"/>
        <n v="16.3"/>
        <n v="1022.21"/>
        <n v="1163.1400000000001"/>
        <n v="29.37"/>
        <n v="733.95"/>
        <n v="166.69"/>
        <n v="506.21"/>
        <n v="50.46"/>
        <n v="347.59"/>
        <n v="29.15"/>
        <n v="28.28"/>
        <n v="162.65"/>
        <n v="216.11"/>
        <n v="1268.68"/>
        <n v="765.58"/>
        <n v="1170.56"/>
        <n v="56.46"/>
        <n v="951.69"/>
        <n v="110.56"/>
        <n v="262.99"/>
        <n v="79.44"/>
        <n v="125.75"/>
        <n v="104.89"/>
        <n v="179.88"/>
        <n v="222.25"/>
        <n v="179.04"/>
        <n v="191.36"/>
        <n v="670.14"/>
        <n v="156.88"/>
        <n v="373.06"/>
        <n v="179.28"/>
        <n v="317.01"/>
        <n v="1060.8800000000001"/>
        <n v="1125.57"/>
        <n v="968.26"/>
        <n v="271.75"/>
        <n v="240.31"/>
        <n v="437.7"/>
        <n v="201"/>
        <n v="3.56"/>
        <n v="46.52"/>
        <n v="333.08"/>
        <n v="423.82"/>
        <n v="90.47"/>
        <n v="88.04"/>
        <n v="27.59"/>
        <n v="586.69000000000005"/>
        <n v="182.9"/>
        <n v="125.27"/>
        <n v="351.8"/>
        <n v="483.96"/>
        <n v="670"/>
        <n v="256.39"/>
        <n v="472.95"/>
        <n v="553.49"/>
        <n v="1393.78"/>
        <n v="206.35"/>
        <n v="6.96"/>
        <n v="48.1"/>
        <n v="1271.99"/>
        <n v="72.73"/>
        <n v="68.13"/>
        <n v="122.11"/>
        <n v="860.63"/>
        <n v="112.8"/>
        <n v="10.07"/>
        <n v="165.76"/>
        <n v="406.91"/>
        <n v="280.14"/>
        <n v="487.69"/>
        <n v="8.11"/>
        <n v="296.02"/>
        <n v="90.35"/>
        <n v="956.21"/>
        <n v="563.79"/>
        <n v="101.07"/>
        <n v="100.24"/>
        <n v="282.08999999999997"/>
        <n v="61.56"/>
        <n v="85.16"/>
        <n v="981.31"/>
        <n v="29.23"/>
        <n v="97.15"/>
        <n v="860.41"/>
        <n v="207.74"/>
        <n v="134.63"/>
        <n v="199.64"/>
        <n v="245.91"/>
        <n v="443.45"/>
        <n v="176.9"/>
        <n v="1127.22"/>
        <n v="742.77"/>
        <n v="787.19"/>
        <n v="359.85"/>
        <n v="33.9"/>
        <n v="133.97999999999999"/>
        <n v="192.15"/>
        <n v="76.239999999999995"/>
        <n v="57.13"/>
        <n v="153.22"/>
        <n v="4.1500000000000004"/>
        <n v="448.16"/>
        <n v="386.77"/>
        <n v="42.06"/>
        <n v="4.62"/>
        <n v="313.76"/>
        <n v="58.4"/>
        <n v="195.93"/>
        <n v="49.38"/>
        <n v="104.94"/>
        <n v="107.37"/>
        <n v="237.27"/>
        <n v="1165.8499999999999"/>
        <n v="347.37"/>
        <n v="20.83"/>
        <n v="35.21"/>
        <n v="25.41"/>
        <n v="140.38999999999999"/>
        <n v="464.45"/>
        <n v="151.56"/>
        <n v="33.08"/>
        <n v="331.07"/>
        <n v="74.73"/>
        <n v="30.19"/>
        <n v="627"/>
        <n v="66.55"/>
        <n v="733.84"/>
        <n v="37.21"/>
        <n v="566.25"/>
        <n v="43.11"/>
        <n v="246.52"/>
        <n v="364.36"/>
        <n v="1185.06"/>
        <n v="145.6"/>
        <n v="715.08"/>
        <n v="54.17"/>
        <n v="408.82"/>
        <n v="459.33"/>
        <n v="1241.1400000000001"/>
        <n v="51.46"/>
        <n v="28.75"/>
        <n v="202.61"/>
        <n v="84.22"/>
        <n v="19.010000000000002"/>
        <n v="320.14"/>
        <n v="95.15"/>
        <n v="442.5"/>
        <n v="261.97000000000003"/>
        <n v="357.31"/>
        <n v="69.25"/>
        <n v="368.55"/>
        <n v="425.39"/>
        <n v="25.99"/>
        <n v="1152.74"/>
        <n v="253.58"/>
        <n v="32.92"/>
        <n v="953.5"/>
        <n v="261.48"/>
        <n v="102.43"/>
        <n v="265.56"/>
        <n v="95.33"/>
        <n v="153.80000000000001"/>
        <n v="71.790000000000006"/>
        <n v="272.20999999999998"/>
        <n v="51.66"/>
        <n v="44.62"/>
        <n v="231.92"/>
        <n v="768.96"/>
        <n v="393.29"/>
        <n v="613.17999999999995"/>
        <n v="192.28"/>
        <n v="448.98"/>
        <n v="120.93"/>
        <n v="639.22"/>
        <n v="285.25"/>
        <n v="75.790000000000006"/>
        <n v="193.85"/>
        <n v="79.61"/>
        <n v="97.74"/>
        <n v="147.08000000000001"/>
        <n v="116.72"/>
        <n v="163.41"/>
        <n v="315.89"/>
        <n v="81.55"/>
        <n v="83.07"/>
        <n v="45.83"/>
        <n v="634.42999999999995"/>
        <n v="39.96"/>
        <n v="138.16"/>
        <n v="38.08"/>
        <n v="62.84"/>
        <n v="152.30000000000001"/>
        <n v="496.87"/>
        <n v="200.06"/>
        <n v="707.42"/>
        <n v="175.12"/>
        <n v="171.47"/>
        <n v="181.1"/>
        <n v="158.16999999999999"/>
        <n v="69.72"/>
        <n v="79.38"/>
        <n v="587.72"/>
        <n v="598.20000000000005"/>
        <n v="147.29"/>
        <n v="40.72"/>
        <n v="109.39"/>
        <n v="13.81"/>
        <n v="201.52"/>
        <n v="83.14"/>
        <n v="564.76"/>
        <n v="309.58999999999997"/>
        <n v="11.26"/>
        <n v="339.18"/>
        <n v="220.43"/>
        <n v="199.71"/>
        <n v="415.31"/>
        <n v="569.5"/>
        <n v="155.31"/>
        <n v="395.44"/>
        <n v="276.44"/>
        <n v="223.27"/>
        <n v="178.12"/>
        <n v="542.73"/>
        <n v="241.02"/>
        <n v="160.16999999999999"/>
        <n v="473.29"/>
        <n v="161.19"/>
        <n v="1200.17"/>
        <n v="172.87"/>
        <n v="9.8800000000000008"/>
        <n v="1418.3"/>
        <n v="415.28"/>
        <n v="498.08"/>
        <n v="264.62"/>
        <n v="125.72"/>
        <n v="344.8"/>
        <n v="269.12"/>
        <n v="1301.8"/>
        <n v="576.6"/>
        <n v="146.87"/>
        <n v="954.76"/>
        <n v="40.229999999999997"/>
        <n v="19.170000000000002"/>
        <n v="462.86"/>
        <n v="177.44"/>
        <n v="96.24"/>
        <n v="114.84"/>
        <n v="204.53"/>
        <n v="80.150000000000006"/>
        <n v="679.61"/>
        <n v="187.9"/>
        <n v="12.58"/>
        <n v="181.12"/>
        <n v="499.79"/>
        <n v="29.49"/>
        <n v="1086.9100000000001"/>
        <n v="67.2"/>
        <n v="67.77"/>
        <n v="73.31"/>
        <n v="541.73"/>
        <n v="685.03"/>
        <n v="824.33"/>
        <n v="24.46"/>
        <n v="607.51"/>
        <n v="218.44"/>
        <n v="562.26"/>
        <n v="730.5"/>
      </sharedItems>
    </cacheField>
    <cacheField name="Customer_Segment" numFmtId="0">
      <sharedItems count="5">
        <s v="Small Business"/>
        <s v="Home Office"/>
        <s v="Corporate"/>
        <s v="Enterprise"/>
        <s v="Consumer"/>
      </sharedItems>
    </cacheField>
    <cacheField name="Salesperson" numFmtId="0">
      <sharedItems count="15">
        <s v="Priya Nair"/>
        <s v="Michael Brown"/>
        <s v="Ravi Patel"/>
        <s v="David Kim"/>
        <s v="Sarah Thompson"/>
        <s v="Carlos Rodriguez"/>
        <s v="Aditi Sharma"/>
        <s v="James O'Brien"/>
        <s v="Fatima Al-Farsi"/>
        <s v="John Mitchell"/>
        <s v="Anna Kowalski"/>
        <s v="Maria Garcia"/>
        <s v="Grace Okafor"/>
        <s v="Liam Walsh"/>
        <s v="Wei Chen"/>
      </sharedItems>
    </cacheField>
    <cacheField name="Payment_Method" numFmtId="0">
      <sharedItems count="6">
        <s v="Check"/>
        <s v="Digital Wallet"/>
        <s v="Cash"/>
        <s v="Bank Transfer"/>
        <s v="Credit Card"/>
        <s v="PayPal"/>
      </sharedItems>
    </cacheField>
  </cacheFields>
  <extLst>
    <ext xmlns:x14="http://schemas.microsoft.com/office/spreadsheetml/2009/9/main" uri="{725AE2AE-9491-48be-B2B4-4EB974FC3084}">
      <x14:pivotCacheDefinition pivotCacheId="1665890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n v="151.08000000000001"/>
    <x v="0"/>
    <x v="0"/>
    <x v="0"/>
    <x v="0"/>
  </r>
  <r>
    <x v="0"/>
    <x v="0"/>
    <x v="1"/>
    <x v="1"/>
    <n v="65.53"/>
    <x v="1"/>
    <x v="1"/>
    <x v="1"/>
    <x v="0"/>
  </r>
  <r>
    <x v="0"/>
    <x v="1"/>
    <x v="1"/>
    <x v="2"/>
    <n v="659.48"/>
    <x v="2"/>
    <x v="2"/>
    <x v="2"/>
    <x v="1"/>
  </r>
  <r>
    <x v="1"/>
    <x v="1"/>
    <x v="0"/>
    <x v="3"/>
    <n v="731.05"/>
    <x v="3"/>
    <x v="0"/>
    <x v="3"/>
    <x v="0"/>
  </r>
  <r>
    <x v="1"/>
    <x v="2"/>
    <x v="2"/>
    <x v="4"/>
    <n v="64.34"/>
    <x v="4"/>
    <x v="2"/>
    <x v="4"/>
    <x v="1"/>
  </r>
  <r>
    <x v="2"/>
    <x v="3"/>
    <x v="2"/>
    <x v="5"/>
    <n v="89.06"/>
    <x v="5"/>
    <x v="1"/>
    <x v="0"/>
    <x v="2"/>
  </r>
  <r>
    <x v="2"/>
    <x v="4"/>
    <x v="3"/>
    <x v="6"/>
    <n v="16.420000000000002"/>
    <x v="6"/>
    <x v="3"/>
    <x v="5"/>
    <x v="3"/>
  </r>
  <r>
    <x v="2"/>
    <x v="4"/>
    <x v="4"/>
    <x v="7"/>
    <n v="203.12"/>
    <x v="7"/>
    <x v="2"/>
    <x v="6"/>
    <x v="4"/>
  </r>
  <r>
    <x v="3"/>
    <x v="3"/>
    <x v="2"/>
    <x v="8"/>
    <n v="122.65"/>
    <x v="8"/>
    <x v="3"/>
    <x v="6"/>
    <x v="3"/>
  </r>
  <r>
    <x v="3"/>
    <x v="2"/>
    <x v="5"/>
    <x v="9"/>
    <n v="317.08"/>
    <x v="9"/>
    <x v="0"/>
    <x v="5"/>
    <x v="5"/>
  </r>
  <r>
    <x v="4"/>
    <x v="4"/>
    <x v="1"/>
    <x v="10"/>
    <n v="796.95"/>
    <x v="10"/>
    <x v="1"/>
    <x v="5"/>
    <x v="1"/>
  </r>
  <r>
    <x v="4"/>
    <x v="4"/>
    <x v="0"/>
    <x v="11"/>
    <n v="551.46"/>
    <x v="11"/>
    <x v="1"/>
    <x v="5"/>
    <x v="2"/>
  </r>
  <r>
    <x v="5"/>
    <x v="1"/>
    <x v="0"/>
    <x v="12"/>
    <n v="120.39"/>
    <x v="12"/>
    <x v="3"/>
    <x v="1"/>
    <x v="2"/>
  </r>
  <r>
    <x v="6"/>
    <x v="2"/>
    <x v="1"/>
    <x v="13"/>
    <n v="688.64"/>
    <x v="13"/>
    <x v="0"/>
    <x v="0"/>
    <x v="1"/>
  </r>
  <r>
    <x v="7"/>
    <x v="1"/>
    <x v="1"/>
    <x v="14"/>
    <n v="431.41"/>
    <x v="14"/>
    <x v="0"/>
    <x v="7"/>
    <x v="2"/>
  </r>
  <r>
    <x v="7"/>
    <x v="3"/>
    <x v="0"/>
    <x v="15"/>
    <n v="815.69"/>
    <x v="15"/>
    <x v="0"/>
    <x v="5"/>
    <x v="1"/>
  </r>
  <r>
    <x v="7"/>
    <x v="0"/>
    <x v="3"/>
    <x v="16"/>
    <n v="10.6"/>
    <x v="16"/>
    <x v="3"/>
    <x v="8"/>
    <x v="0"/>
  </r>
  <r>
    <x v="7"/>
    <x v="4"/>
    <x v="4"/>
    <x v="17"/>
    <n v="279.64999999999998"/>
    <x v="17"/>
    <x v="3"/>
    <x v="9"/>
    <x v="4"/>
  </r>
  <r>
    <x v="8"/>
    <x v="3"/>
    <x v="6"/>
    <x v="18"/>
    <n v="13.31"/>
    <x v="18"/>
    <x v="4"/>
    <x v="0"/>
    <x v="5"/>
  </r>
  <r>
    <x v="9"/>
    <x v="1"/>
    <x v="5"/>
    <x v="19"/>
    <n v="118.5"/>
    <x v="19"/>
    <x v="3"/>
    <x v="10"/>
    <x v="0"/>
  </r>
  <r>
    <x v="9"/>
    <x v="4"/>
    <x v="5"/>
    <x v="20"/>
    <n v="68.349999999999994"/>
    <x v="20"/>
    <x v="3"/>
    <x v="6"/>
    <x v="2"/>
  </r>
  <r>
    <x v="9"/>
    <x v="4"/>
    <x v="1"/>
    <x v="21"/>
    <n v="833.44"/>
    <x v="21"/>
    <x v="3"/>
    <x v="0"/>
    <x v="1"/>
  </r>
  <r>
    <x v="9"/>
    <x v="1"/>
    <x v="1"/>
    <x v="22"/>
    <n v="1090.8599999999999"/>
    <x v="22"/>
    <x v="4"/>
    <x v="3"/>
    <x v="4"/>
  </r>
  <r>
    <x v="10"/>
    <x v="2"/>
    <x v="5"/>
    <x v="23"/>
    <n v="217.98"/>
    <x v="23"/>
    <x v="1"/>
    <x v="10"/>
    <x v="1"/>
  </r>
  <r>
    <x v="10"/>
    <x v="2"/>
    <x v="4"/>
    <x v="24"/>
    <n v="307.76"/>
    <x v="24"/>
    <x v="1"/>
    <x v="6"/>
    <x v="3"/>
  </r>
  <r>
    <x v="11"/>
    <x v="2"/>
    <x v="1"/>
    <x v="25"/>
    <n v="628.44000000000005"/>
    <x v="25"/>
    <x v="0"/>
    <x v="7"/>
    <x v="1"/>
  </r>
  <r>
    <x v="11"/>
    <x v="1"/>
    <x v="0"/>
    <x v="26"/>
    <n v="320.48"/>
    <x v="26"/>
    <x v="3"/>
    <x v="0"/>
    <x v="4"/>
  </r>
  <r>
    <x v="12"/>
    <x v="4"/>
    <x v="2"/>
    <x v="27"/>
    <n v="55.71"/>
    <x v="27"/>
    <x v="0"/>
    <x v="11"/>
    <x v="0"/>
  </r>
  <r>
    <x v="13"/>
    <x v="1"/>
    <x v="2"/>
    <x v="28"/>
    <n v="104.11"/>
    <x v="28"/>
    <x v="1"/>
    <x v="12"/>
    <x v="4"/>
  </r>
  <r>
    <x v="13"/>
    <x v="1"/>
    <x v="5"/>
    <x v="29"/>
    <n v="200.69"/>
    <x v="29"/>
    <x v="0"/>
    <x v="4"/>
    <x v="3"/>
  </r>
  <r>
    <x v="13"/>
    <x v="4"/>
    <x v="0"/>
    <x v="30"/>
    <n v="139.51"/>
    <x v="30"/>
    <x v="3"/>
    <x v="3"/>
    <x v="0"/>
  </r>
  <r>
    <x v="14"/>
    <x v="1"/>
    <x v="2"/>
    <x v="31"/>
    <n v="109.45"/>
    <x v="31"/>
    <x v="3"/>
    <x v="2"/>
    <x v="3"/>
  </r>
  <r>
    <x v="15"/>
    <x v="4"/>
    <x v="6"/>
    <x v="32"/>
    <n v="21.52"/>
    <x v="32"/>
    <x v="3"/>
    <x v="7"/>
    <x v="1"/>
  </r>
  <r>
    <x v="15"/>
    <x v="2"/>
    <x v="5"/>
    <x v="33"/>
    <n v="354.84"/>
    <x v="33"/>
    <x v="1"/>
    <x v="9"/>
    <x v="3"/>
  </r>
  <r>
    <x v="15"/>
    <x v="0"/>
    <x v="0"/>
    <x v="34"/>
    <n v="610.69000000000005"/>
    <x v="34"/>
    <x v="0"/>
    <x v="0"/>
    <x v="5"/>
  </r>
  <r>
    <x v="15"/>
    <x v="0"/>
    <x v="2"/>
    <x v="35"/>
    <n v="86.9"/>
    <x v="35"/>
    <x v="0"/>
    <x v="13"/>
    <x v="2"/>
  </r>
  <r>
    <x v="16"/>
    <x v="0"/>
    <x v="0"/>
    <x v="36"/>
    <n v="478.47"/>
    <x v="36"/>
    <x v="4"/>
    <x v="9"/>
    <x v="5"/>
  </r>
  <r>
    <x v="17"/>
    <x v="4"/>
    <x v="0"/>
    <x v="37"/>
    <n v="407.42"/>
    <x v="37"/>
    <x v="0"/>
    <x v="8"/>
    <x v="0"/>
  </r>
  <r>
    <x v="18"/>
    <x v="1"/>
    <x v="0"/>
    <x v="38"/>
    <n v="682.84"/>
    <x v="38"/>
    <x v="1"/>
    <x v="9"/>
    <x v="5"/>
  </r>
  <r>
    <x v="18"/>
    <x v="4"/>
    <x v="5"/>
    <x v="39"/>
    <n v="207.64"/>
    <x v="39"/>
    <x v="3"/>
    <x v="0"/>
    <x v="3"/>
  </r>
  <r>
    <x v="19"/>
    <x v="1"/>
    <x v="4"/>
    <x v="40"/>
    <n v="270.70999999999998"/>
    <x v="40"/>
    <x v="0"/>
    <x v="11"/>
    <x v="1"/>
  </r>
  <r>
    <x v="19"/>
    <x v="0"/>
    <x v="1"/>
    <x v="41"/>
    <n v="163.02000000000001"/>
    <x v="41"/>
    <x v="0"/>
    <x v="6"/>
    <x v="2"/>
  </r>
  <r>
    <x v="20"/>
    <x v="3"/>
    <x v="5"/>
    <x v="42"/>
    <n v="74.31"/>
    <x v="42"/>
    <x v="4"/>
    <x v="11"/>
    <x v="5"/>
  </r>
  <r>
    <x v="20"/>
    <x v="2"/>
    <x v="6"/>
    <x v="43"/>
    <n v="46.32"/>
    <x v="43"/>
    <x v="0"/>
    <x v="12"/>
    <x v="3"/>
  </r>
  <r>
    <x v="20"/>
    <x v="1"/>
    <x v="0"/>
    <x v="44"/>
    <n v="779.13"/>
    <x v="44"/>
    <x v="0"/>
    <x v="11"/>
    <x v="0"/>
  </r>
  <r>
    <x v="21"/>
    <x v="2"/>
    <x v="0"/>
    <x v="45"/>
    <n v="758.58"/>
    <x v="45"/>
    <x v="0"/>
    <x v="6"/>
    <x v="5"/>
  </r>
  <r>
    <x v="22"/>
    <x v="1"/>
    <x v="1"/>
    <x v="46"/>
    <n v="293.38"/>
    <x v="46"/>
    <x v="2"/>
    <x v="3"/>
    <x v="0"/>
  </r>
  <r>
    <x v="22"/>
    <x v="0"/>
    <x v="1"/>
    <x v="47"/>
    <n v="972.9"/>
    <x v="47"/>
    <x v="2"/>
    <x v="4"/>
    <x v="2"/>
  </r>
  <r>
    <x v="23"/>
    <x v="2"/>
    <x v="0"/>
    <x v="48"/>
    <n v="612.16999999999996"/>
    <x v="48"/>
    <x v="2"/>
    <x v="12"/>
    <x v="3"/>
  </r>
  <r>
    <x v="24"/>
    <x v="3"/>
    <x v="3"/>
    <x v="49"/>
    <n v="16.71"/>
    <x v="49"/>
    <x v="0"/>
    <x v="6"/>
    <x v="0"/>
  </r>
  <r>
    <x v="24"/>
    <x v="2"/>
    <x v="3"/>
    <x v="50"/>
    <n v="44.52"/>
    <x v="50"/>
    <x v="0"/>
    <x v="3"/>
    <x v="3"/>
  </r>
  <r>
    <x v="24"/>
    <x v="3"/>
    <x v="6"/>
    <x v="51"/>
    <n v="101.24"/>
    <x v="51"/>
    <x v="1"/>
    <x v="11"/>
    <x v="3"/>
  </r>
  <r>
    <x v="24"/>
    <x v="2"/>
    <x v="1"/>
    <x v="52"/>
    <n v="426.02"/>
    <x v="52"/>
    <x v="0"/>
    <x v="1"/>
    <x v="2"/>
  </r>
  <r>
    <x v="25"/>
    <x v="1"/>
    <x v="2"/>
    <x v="53"/>
    <n v="72.569999999999993"/>
    <x v="53"/>
    <x v="4"/>
    <x v="12"/>
    <x v="4"/>
  </r>
  <r>
    <x v="26"/>
    <x v="2"/>
    <x v="5"/>
    <x v="54"/>
    <n v="124.06"/>
    <x v="54"/>
    <x v="0"/>
    <x v="12"/>
    <x v="2"/>
  </r>
  <r>
    <x v="27"/>
    <x v="4"/>
    <x v="4"/>
    <x v="55"/>
    <n v="256.64999999999998"/>
    <x v="55"/>
    <x v="0"/>
    <x v="4"/>
    <x v="0"/>
  </r>
  <r>
    <x v="27"/>
    <x v="2"/>
    <x v="4"/>
    <x v="56"/>
    <n v="331.37"/>
    <x v="56"/>
    <x v="0"/>
    <x v="7"/>
    <x v="1"/>
  </r>
  <r>
    <x v="28"/>
    <x v="1"/>
    <x v="4"/>
    <x v="57"/>
    <n v="349.04"/>
    <x v="57"/>
    <x v="1"/>
    <x v="12"/>
    <x v="4"/>
  </r>
  <r>
    <x v="28"/>
    <x v="4"/>
    <x v="3"/>
    <x v="58"/>
    <n v="33.33"/>
    <x v="58"/>
    <x v="3"/>
    <x v="8"/>
    <x v="4"/>
  </r>
  <r>
    <x v="29"/>
    <x v="3"/>
    <x v="6"/>
    <x v="59"/>
    <n v="24.17"/>
    <x v="59"/>
    <x v="4"/>
    <x v="0"/>
    <x v="3"/>
  </r>
  <r>
    <x v="30"/>
    <x v="1"/>
    <x v="4"/>
    <x v="60"/>
    <n v="13.26"/>
    <x v="60"/>
    <x v="4"/>
    <x v="14"/>
    <x v="3"/>
  </r>
  <r>
    <x v="31"/>
    <x v="2"/>
    <x v="6"/>
    <x v="61"/>
    <n v="63.08"/>
    <x v="61"/>
    <x v="3"/>
    <x v="11"/>
    <x v="4"/>
  </r>
  <r>
    <x v="32"/>
    <x v="0"/>
    <x v="6"/>
    <x v="62"/>
    <n v="66.42"/>
    <x v="62"/>
    <x v="2"/>
    <x v="7"/>
    <x v="1"/>
  </r>
  <r>
    <x v="33"/>
    <x v="0"/>
    <x v="5"/>
    <x v="63"/>
    <n v="94.25"/>
    <x v="63"/>
    <x v="2"/>
    <x v="1"/>
    <x v="0"/>
  </r>
  <r>
    <x v="34"/>
    <x v="2"/>
    <x v="2"/>
    <x v="64"/>
    <n v="161.06"/>
    <x v="64"/>
    <x v="2"/>
    <x v="8"/>
    <x v="5"/>
  </r>
  <r>
    <x v="35"/>
    <x v="3"/>
    <x v="4"/>
    <x v="65"/>
    <n v="27.23"/>
    <x v="65"/>
    <x v="1"/>
    <x v="0"/>
    <x v="1"/>
  </r>
  <r>
    <x v="35"/>
    <x v="0"/>
    <x v="5"/>
    <x v="66"/>
    <n v="300.5"/>
    <x v="66"/>
    <x v="0"/>
    <x v="13"/>
    <x v="4"/>
  </r>
  <r>
    <x v="36"/>
    <x v="3"/>
    <x v="4"/>
    <x v="67"/>
    <n v="134.47"/>
    <x v="67"/>
    <x v="4"/>
    <x v="3"/>
    <x v="3"/>
  </r>
  <r>
    <x v="36"/>
    <x v="4"/>
    <x v="2"/>
    <x v="68"/>
    <n v="179"/>
    <x v="68"/>
    <x v="0"/>
    <x v="12"/>
    <x v="1"/>
  </r>
  <r>
    <x v="37"/>
    <x v="0"/>
    <x v="0"/>
    <x v="69"/>
    <n v="701.38"/>
    <x v="69"/>
    <x v="0"/>
    <x v="13"/>
    <x v="1"/>
  </r>
  <r>
    <x v="37"/>
    <x v="3"/>
    <x v="4"/>
    <x v="70"/>
    <n v="270.92"/>
    <x v="70"/>
    <x v="3"/>
    <x v="8"/>
    <x v="2"/>
  </r>
  <r>
    <x v="37"/>
    <x v="4"/>
    <x v="4"/>
    <x v="71"/>
    <n v="97.1"/>
    <x v="71"/>
    <x v="3"/>
    <x v="9"/>
    <x v="1"/>
  </r>
  <r>
    <x v="38"/>
    <x v="4"/>
    <x v="2"/>
    <x v="72"/>
    <n v="97.68"/>
    <x v="72"/>
    <x v="1"/>
    <x v="14"/>
    <x v="4"/>
  </r>
  <r>
    <x v="38"/>
    <x v="0"/>
    <x v="2"/>
    <x v="73"/>
    <n v="92.85"/>
    <x v="73"/>
    <x v="2"/>
    <x v="11"/>
    <x v="1"/>
  </r>
  <r>
    <x v="39"/>
    <x v="1"/>
    <x v="6"/>
    <x v="74"/>
    <n v="67.27"/>
    <x v="74"/>
    <x v="3"/>
    <x v="0"/>
    <x v="4"/>
  </r>
  <r>
    <x v="39"/>
    <x v="1"/>
    <x v="3"/>
    <x v="75"/>
    <n v="13.48"/>
    <x v="75"/>
    <x v="3"/>
    <x v="13"/>
    <x v="0"/>
  </r>
  <r>
    <x v="39"/>
    <x v="4"/>
    <x v="4"/>
    <x v="76"/>
    <n v="228.37"/>
    <x v="76"/>
    <x v="0"/>
    <x v="6"/>
    <x v="2"/>
  </r>
  <r>
    <x v="40"/>
    <x v="3"/>
    <x v="0"/>
    <x v="77"/>
    <n v="793.14"/>
    <x v="77"/>
    <x v="2"/>
    <x v="3"/>
    <x v="1"/>
  </r>
  <r>
    <x v="40"/>
    <x v="2"/>
    <x v="3"/>
    <x v="78"/>
    <n v="30.13"/>
    <x v="78"/>
    <x v="3"/>
    <x v="14"/>
    <x v="0"/>
  </r>
  <r>
    <x v="40"/>
    <x v="4"/>
    <x v="3"/>
    <x v="79"/>
    <n v="49.94"/>
    <x v="79"/>
    <x v="1"/>
    <x v="0"/>
    <x v="3"/>
  </r>
  <r>
    <x v="40"/>
    <x v="0"/>
    <x v="3"/>
    <x v="80"/>
    <n v="33.799999999999997"/>
    <x v="80"/>
    <x v="4"/>
    <x v="7"/>
    <x v="2"/>
  </r>
  <r>
    <x v="41"/>
    <x v="3"/>
    <x v="6"/>
    <x v="81"/>
    <n v="56.53"/>
    <x v="81"/>
    <x v="0"/>
    <x v="11"/>
    <x v="2"/>
  </r>
  <r>
    <x v="41"/>
    <x v="3"/>
    <x v="2"/>
    <x v="82"/>
    <n v="46.68"/>
    <x v="82"/>
    <x v="3"/>
    <x v="0"/>
    <x v="3"/>
  </r>
  <r>
    <x v="41"/>
    <x v="0"/>
    <x v="2"/>
    <x v="83"/>
    <n v="103.28"/>
    <x v="83"/>
    <x v="0"/>
    <x v="12"/>
    <x v="1"/>
  </r>
  <r>
    <x v="42"/>
    <x v="3"/>
    <x v="2"/>
    <x v="84"/>
    <n v="65.94"/>
    <x v="84"/>
    <x v="2"/>
    <x v="5"/>
    <x v="3"/>
  </r>
  <r>
    <x v="43"/>
    <x v="0"/>
    <x v="1"/>
    <x v="85"/>
    <n v="483.23"/>
    <x v="85"/>
    <x v="2"/>
    <x v="3"/>
    <x v="3"/>
  </r>
  <r>
    <x v="43"/>
    <x v="0"/>
    <x v="1"/>
    <x v="86"/>
    <n v="234.86"/>
    <x v="86"/>
    <x v="2"/>
    <x v="0"/>
    <x v="4"/>
  </r>
  <r>
    <x v="44"/>
    <x v="4"/>
    <x v="0"/>
    <x v="87"/>
    <n v="501.71"/>
    <x v="87"/>
    <x v="4"/>
    <x v="2"/>
    <x v="0"/>
  </r>
  <r>
    <x v="44"/>
    <x v="4"/>
    <x v="4"/>
    <x v="88"/>
    <n v="339.04"/>
    <x v="88"/>
    <x v="1"/>
    <x v="4"/>
    <x v="3"/>
  </r>
  <r>
    <x v="45"/>
    <x v="3"/>
    <x v="6"/>
    <x v="89"/>
    <n v="13.85"/>
    <x v="89"/>
    <x v="4"/>
    <x v="0"/>
    <x v="0"/>
  </r>
  <r>
    <x v="46"/>
    <x v="3"/>
    <x v="1"/>
    <x v="90"/>
    <n v="276.86"/>
    <x v="90"/>
    <x v="0"/>
    <x v="1"/>
    <x v="3"/>
  </r>
  <r>
    <x v="46"/>
    <x v="1"/>
    <x v="0"/>
    <x v="91"/>
    <n v="86.49"/>
    <x v="91"/>
    <x v="4"/>
    <x v="14"/>
    <x v="2"/>
  </r>
  <r>
    <x v="46"/>
    <x v="4"/>
    <x v="0"/>
    <x v="92"/>
    <n v="151.32"/>
    <x v="92"/>
    <x v="0"/>
    <x v="0"/>
    <x v="1"/>
  </r>
  <r>
    <x v="47"/>
    <x v="1"/>
    <x v="2"/>
    <x v="93"/>
    <n v="27.07"/>
    <x v="93"/>
    <x v="2"/>
    <x v="3"/>
    <x v="5"/>
  </r>
  <r>
    <x v="47"/>
    <x v="1"/>
    <x v="6"/>
    <x v="94"/>
    <n v="76.84"/>
    <x v="94"/>
    <x v="2"/>
    <x v="4"/>
    <x v="3"/>
  </r>
  <r>
    <x v="48"/>
    <x v="1"/>
    <x v="2"/>
    <x v="95"/>
    <n v="151.63999999999999"/>
    <x v="95"/>
    <x v="4"/>
    <x v="8"/>
    <x v="1"/>
  </r>
  <r>
    <x v="48"/>
    <x v="4"/>
    <x v="4"/>
    <x v="96"/>
    <n v="142.02000000000001"/>
    <x v="96"/>
    <x v="2"/>
    <x v="9"/>
    <x v="2"/>
  </r>
  <r>
    <x v="48"/>
    <x v="4"/>
    <x v="6"/>
    <x v="97"/>
    <n v="61.39"/>
    <x v="97"/>
    <x v="0"/>
    <x v="13"/>
    <x v="0"/>
  </r>
  <r>
    <x v="48"/>
    <x v="0"/>
    <x v="2"/>
    <x v="98"/>
    <n v="129.49"/>
    <x v="98"/>
    <x v="1"/>
    <x v="10"/>
    <x v="2"/>
  </r>
  <r>
    <x v="49"/>
    <x v="2"/>
    <x v="5"/>
    <x v="99"/>
    <n v="272.01"/>
    <x v="99"/>
    <x v="0"/>
    <x v="11"/>
    <x v="0"/>
  </r>
  <r>
    <x v="49"/>
    <x v="2"/>
    <x v="2"/>
    <x v="100"/>
    <n v="45.62"/>
    <x v="100"/>
    <x v="0"/>
    <x v="4"/>
    <x v="2"/>
  </r>
  <r>
    <x v="49"/>
    <x v="2"/>
    <x v="5"/>
    <x v="101"/>
    <n v="268.95"/>
    <x v="101"/>
    <x v="4"/>
    <x v="3"/>
    <x v="2"/>
  </r>
  <r>
    <x v="49"/>
    <x v="2"/>
    <x v="2"/>
    <x v="102"/>
    <n v="17.52"/>
    <x v="102"/>
    <x v="1"/>
    <x v="8"/>
    <x v="5"/>
  </r>
  <r>
    <x v="49"/>
    <x v="3"/>
    <x v="4"/>
    <x v="103"/>
    <n v="106.08"/>
    <x v="103"/>
    <x v="1"/>
    <x v="13"/>
    <x v="2"/>
  </r>
  <r>
    <x v="50"/>
    <x v="3"/>
    <x v="4"/>
    <x v="104"/>
    <n v="84.12"/>
    <x v="104"/>
    <x v="0"/>
    <x v="12"/>
    <x v="2"/>
  </r>
  <r>
    <x v="51"/>
    <x v="2"/>
    <x v="4"/>
    <x v="105"/>
    <n v="154.44"/>
    <x v="105"/>
    <x v="3"/>
    <x v="12"/>
    <x v="3"/>
  </r>
  <r>
    <x v="51"/>
    <x v="4"/>
    <x v="4"/>
    <x v="106"/>
    <n v="258.72000000000003"/>
    <x v="106"/>
    <x v="0"/>
    <x v="11"/>
    <x v="1"/>
  </r>
  <r>
    <x v="51"/>
    <x v="1"/>
    <x v="5"/>
    <x v="107"/>
    <n v="116.68"/>
    <x v="107"/>
    <x v="3"/>
    <x v="12"/>
    <x v="1"/>
  </r>
  <r>
    <x v="52"/>
    <x v="3"/>
    <x v="3"/>
    <x v="108"/>
    <n v="5.74"/>
    <x v="108"/>
    <x v="1"/>
    <x v="6"/>
    <x v="4"/>
  </r>
  <r>
    <x v="53"/>
    <x v="3"/>
    <x v="3"/>
    <x v="109"/>
    <n v="31.65"/>
    <x v="109"/>
    <x v="2"/>
    <x v="1"/>
    <x v="4"/>
  </r>
  <r>
    <x v="53"/>
    <x v="0"/>
    <x v="2"/>
    <x v="110"/>
    <n v="157.65"/>
    <x v="110"/>
    <x v="2"/>
    <x v="8"/>
    <x v="2"/>
  </r>
  <r>
    <x v="53"/>
    <x v="2"/>
    <x v="0"/>
    <x v="111"/>
    <n v="512.75"/>
    <x v="111"/>
    <x v="1"/>
    <x v="3"/>
    <x v="1"/>
  </r>
  <r>
    <x v="54"/>
    <x v="3"/>
    <x v="1"/>
    <x v="112"/>
    <n v="665.7"/>
    <x v="112"/>
    <x v="3"/>
    <x v="4"/>
    <x v="2"/>
  </r>
  <r>
    <x v="54"/>
    <x v="3"/>
    <x v="2"/>
    <x v="113"/>
    <n v="11.7"/>
    <x v="113"/>
    <x v="2"/>
    <x v="8"/>
    <x v="1"/>
  </r>
  <r>
    <x v="54"/>
    <x v="2"/>
    <x v="0"/>
    <x v="114"/>
    <n v="123.09"/>
    <x v="114"/>
    <x v="4"/>
    <x v="14"/>
    <x v="2"/>
  </r>
  <r>
    <x v="55"/>
    <x v="0"/>
    <x v="2"/>
    <x v="115"/>
    <n v="17.170000000000002"/>
    <x v="115"/>
    <x v="3"/>
    <x v="10"/>
    <x v="0"/>
  </r>
  <r>
    <x v="56"/>
    <x v="1"/>
    <x v="5"/>
    <x v="116"/>
    <n v="257.11"/>
    <x v="116"/>
    <x v="3"/>
    <x v="14"/>
    <x v="2"/>
  </r>
  <r>
    <x v="57"/>
    <x v="0"/>
    <x v="2"/>
    <x v="117"/>
    <n v="34.369999999999997"/>
    <x v="117"/>
    <x v="3"/>
    <x v="2"/>
    <x v="5"/>
  </r>
  <r>
    <x v="57"/>
    <x v="2"/>
    <x v="5"/>
    <x v="118"/>
    <n v="379.07"/>
    <x v="118"/>
    <x v="3"/>
    <x v="2"/>
    <x v="4"/>
  </r>
  <r>
    <x v="57"/>
    <x v="1"/>
    <x v="6"/>
    <x v="119"/>
    <n v="16.14"/>
    <x v="119"/>
    <x v="2"/>
    <x v="1"/>
    <x v="3"/>
  </r>
  <r>
    <x v="58"/>
    <x v="3"/>
    <x v="5"/>
    <x v="120"/>
    <n v="124.16"/>
    <x v="120"/>
    <x v="1"/>
    <x v="11"/>
    <x v="1"/>
  </r>
  <r>
    <x v="59"/>
    <x v="0"/>
    <x v="2"/>
    <x v="121"/>
    <n v="116.03"/>
    <x v="121"/>
    <x v="3"/>
    <x v="6"/>
    <x v="3"/>
  </r>
  <r>
    <x v="60"/>
    <x v="4"/>
    <x v="0"/>
    <x v="122"/>
    <n v="238.36"/>
    <x v="122"/>
    <x v="4"/>
    <x v="0"/>
    <x v="4"/>
  </r>
  <r>
    <x v="61"/>
    <x v="4"/>
    <x v="2"/>
    <x v="123"/>
    <n v="106.33"/>
    <x v="123"/>
    <x v="3"/>
    <x v="6"/>
    <x v="3"/>
  </r>
  <r>
    <x v="62"/>
    <x v="3"/>
    <x v="5"/>
    <x v="124"/>
    <n v="177.64"/>
    <x v="124"/>
    <x v="4"/>
    <x v="2"/>
    <x v="3"/>
  </r>
  <r>
    <x v="62"/>
    <x v="3"/>
    <x v="6"/>
    <x v="125"/>
    <n v="105.73"/>
    <x v="125"/>
    <x v="2"/>
    <x v="4"/>
    <x v="0"/>
  </r>
  <r>
    <x v="62"/>
    <x v="0"/>
    <x v="0"/>
    <x v="126"/>
    <n v="462.94"/>
    <x v="126"/>
    <x v="1"/>
    <x v="6"/>
    <x v="0"/>
  </r>
  <r>
    <x v="62"/>
    <x v="2"/>
    <x v="5"/>
    <x v="127"/>
    <n v="243.89"/>
    <x v="127"/>
    <x v="2"/>
    <x v="12"/>
    <x v="3"/>
  </r>
  <r>
    <x v="63"/>
    <x v="1"/>
    <x v="2"/>
    <x v="128"/>
    <n v="190.63"/>
    <x v="128"/>
    <x v="0"/>
    <x v="3"/>
    <x v="1"/>
  </r>
  <r>
    <x v="64"/>
    <x v="2"/>
    <x v="4"/>
    <x v="129"/>
    <n v="154.03"/>
    <x v="129"/>
    <x v="2"/>
    <x v="9"/>
    <x v="5"/>
  </r>
  <r>
    <x v="64"/>
    <x v="3"/>
    <x v="2"/>
    <x v="130"/>
    <n v="138.31"/>
    <x v="130"/>
    <x v="0"/>
    <x v="4"/>
    <x v="3"/>
  </r>
  <r>
    <x v="64"/>
    <x v="3"/>
    <x v="6"/>
    <x v="131"/>
    <n v="9.1300000000000008"/>
    <x v="131"/>
    <x v="2"/>
    <x v="7"/>
    <x v="2"/>
  </r>
  <r>
    <x v="64"/>
    <x v="4"/>
    <x v="0"/>
    <x v="132"/>
    <n v="171.99"/>
    <x v="132"/>
    <x v="4"/>
    <x v="1"/>
    <x v="1"/>
  </r>
  <r>
    <x v="64"/>
    <x v="2"/>
    <x v="0"/>
    <x v="133"/>
    <n v="42.87"/>
    <x v="133"/>
    <x v="0"/>
    <x v="10"/>
    <x v="5"/>
  </r>
  <r>
    <x v="64"/>
    <x v="0"/>
    <x v="3"/>
    <x v="134"/>
    <n v="24.11"/>
    <x v="134"/>
    <x v="1"/>
    <x v="2"/>
    <x v="3"/>
  </r>
  <r>
    <x v="65"/>
    <x v="2"/>
    <x v="2"/>
    <x v="135"/>
    <n v="123.39"/>
    <x v="135"/>
    <x v="0"/>
    <x v="5"/>
    <x v="4"/>
  </r>
  <r>
    <x v="66"/>
    <x v="0"/>
    <x v="0"/>
    <x v="136"/>
    <n v="528.84"/>
    <x v="136"/>
    <x v="0"/>
    <x v="0"/>
    <x v="3"/>
  </r>
  <r>
    <x v="67"/>
    <x v="1"/>
    <x v="1"/>
    <x v="137"/>
    <n v="543.57000000000005"/>
    <x v="137"/>
    <x v="0"/>
    <x v="0"/>
    <x v="1"/>
  </r>
  <r>
    <x v="67"/>
    <x v="1"/>
    <x v="1"/>
    <x v="138"/>
    <n v="468.16"/>
    <x v="138"/>
    <x v="4"/>
    <x v="5"/>
    <x v="0"/>
  </r>
  <r>
    <x v="68"/>
    <x v="4"/>
    <x v="4"/>
    <x v="139"/>
    <n v="241.83"/>
    <x v="139"/>
    <x v="3"/>
    <x v="8"/>
    <x v="0"/>
  </r>
  <r>
    <x v="68"/>
    <x v="3"/>
    <x v="4"/>
    <x v="140"/>
    <n v="290.49"/>
    <x v="140"/>
    <x v="1"/>
    <x v="6"/>
    <x v="0"/>
  </r>
  <r>
    <x v="69"/>
    <x v="2"/>
    <x v="1"/>
    <x v="141"/>
    <n v="769.32"/>
    <x v="141"/>
    <x v="4"/>
    <x v="2"/>
    <x v="5"/>
  </r>
  <r>
    <x v="69"/>
    <x v="3"/>
    <x v="5"/>
    <x v="142"/>
    <n v="138.75"/>
    <x v="142"/>
    <x v="2"/>
    <x v="2"/>
    <x v="5"/>
  </r>
  <r>
    <x v="70"/>
    <x v="4"/>
    <x v="5"/>
    <x v="143"/>
    <n v="274.88"/>
    <x v="143"/>
    <x v="1"/>
    <x v="0"/>
    <x v="2"/>
  </r>
  <r>
    <x v="70"/>
    <x v="3"/>
    <x v="2"/>
    <x v="144"/>
    <n v="147.43"/>
    <x v="144"/>
    <x v="3"/>
    <x v="2"/>
    <x v="3"/>
  </r>
  <r>
    <x v="71"/>
    <x v="3"/>
    <x v="0"/>
    <x v="145"/>
    <n v="66.680000000000007"/>
    <x v="145"/>
    <x v="3"/>
    <x v="6"/>
    <x v="3"/>
  </r>
  <r>
    <x v="72"/>
    <x v="4"/>
    <x v="3"/>
    <x v="146"/>
    <n v="5.49"/>
    <x v="146"/>
    <x v="4"/>
    <x v="7"/>
    <x v="5"/>
  </r>
  <r>
    <x v="72"/>
    <x v="1"/>
    <x v="0"/>
    <x v="147"/>
    <n v="374.37"/>
    <x v="147"/>
    <x v="1"/>
    <x v="4"/>
    <x v="0"/>
  </r>
  <r>
    <x v="73"/>
    <x v="4"/>
    <x v="1"/>
    <x v="148"/>
    <n v="779.77"/>
    <x v="148"/>
    <x v="0"/>
    <x v="0"/>
    <x v="5"/>
  </r>
  <r>
    <x v="73"/>
    <x v="2"/>
    <x v="0"/>
    <x v="149"/>
    <n v="188.11"/>
    <x v="149"/>
    <x v="4"/>
    <x v="14"/>
    <x v="0"/>
  </r>
  <r>
    <x v="74"/>
    <x v="4"/>
    <x v="2"/>
    <x v="150"/>
    <n v="54.05"/>
    <x v="150"/>
    <x v="4"/>
    <x v="14"/>
    <x v="0"/>
  </r>
  <r>
    <x v="74"/>
    <x v="3"/>
    <x v="0"/>
    <x v="151"/>
    <n v="619.5"/>
    <x v="151"/>
    <x v="1"/>
    <x v="13"/>
    <x v="2"/>
  </r>
  <r>
    <x v="74"/>
    <x v="4"/>
    <x v="3"/>
    <x v="152"/>
    <n v="7.72"/>
    <x v="152"/>
    <x v="3"/>
    <x v="1"/>
    <x v="3"/>
  </r>
  <r>
    <x v="75"/>
    <x v="3"/>
    <x v="4"/>
    <x v="153"/>
    <n v="220.69"/>
    <x v="153"/>
    <x v="4"/>
    <x v="3"/>
    <x v="4"/>
  </r>
  <r>
    <x v="75"/>
    <x v="3"/>
    <x v="6"/>
    <x v="154"/>
    <n v="42.84"/>
    <x v="154"/>
    <x v="0"/>
    <x v="9"/>
    <x v="0"/>
  </r>
  <r>
    <x v="76"/>
    <x v="1"/>
    <x v="3"/>
    <x v="155"/>
    <n v="11.03"/>
    <x v="155"/>
    <x v="0"/>
    <x v="9"/>
    <x v="4"/>
  </r>
  <r>
    <x v="76"/>
    <x v="0"/>
    <x v="2"/>
    <x v="156"/>
    <n v="211.35"/>
    <x v="156"/>
    <x v="2"/>
    <x v="3"/>
    <x v="3"/>
  </r>
  <r>
    <x v="76"/>
    <x v="1"/>
    <x v="1"/>
    <x v="157"/>
    <n v="555.58000000000004"/>
    <x v="157"/>
    <x v="0"/>
    <x v="1"/>
    <x v="5"/>
  </r>
  <r>
    <x v="76"/>
    <x v="1"/>
    <x v="4"/>
    <x v="158"/>
    <n v="210.8"/>
    <x v="158"/>
    <x v="4"/>
    <x v="6"/>
    <x v="3"/>
  </r>
  <r>
    <x v="76"/>
    <x v="3"/>
    <x v="2"/>
    <x v="159"/>
    <n v="139.13"/>
    <x v="159"/>
    <x v="1"/>
    <x v="6"/>
    <x v="2"/>
  </r>
  <r>
    <x v="77"/>
    <x v="4"/>
    <x v="5"/>
    <x v="160"/>
    <n v="296.39999999999998"/>
    <x v="160"/>
    <x v="1"/>
    <x v="4"/>
    <x v="4"/>
  </r>
  <r>
    <x v="78"/>
    <x v="4"/>
    <x v="2"/>
    <x v="161"/>
    <n v="62.93"/>
    <x v="161"/>
    <x v="1"/>
    <x v="7"/>
    <x v="4"/>
  </r>
  <r>
    <x v="78"/>
    <x v="4"/>
    <x v="1"/>
    <x v="162"/>
    <n v="724.69"/>
    <x v="162"/>
    <x v="4"/>
    <x v="12"/>
    <x v="5"/>
  </r>
  <r>
    <x v="79"/>
    <x v="3"/>
    <x v="0"/>
    <x v="163"/>
    <n v="540.70000000000005"/>
    <x v="163"/>
    <x v="4"/>
    <x v="5"/>
    <x v="1"/>
  </r>
  <r>
    <x v="80"/>
    <x v="0"/>
    <x v="1"/>
    <x v="164"/>
    <n v="373.18"/>
    <x v="164"/>
    <x v="1"/>
    <x v="8"/>
    <x v="3"/>
  </r>
  <r>
    <x v="81"/>
    <x v="3"/>
    <x v="6"/>
    <x v="165"/>
    <n v="75.95"/>
    <x v="165"/>
    <x v="0"/>
    <x v="4"/>
    <x v="1"/>
  </r>
  <r>
    <x v="82"/>
    <x v="2"/>
    <x v="3"/>
    <x v="166"/>
    <n v="21.44"/>
    <x v="166"/>
    <x v="3"/>
    <x v="11"/>
    <x v="3"/>
  </r>
  <r>
    <x v="82"/>
    <x v="3"/>
    <x v="2"/>
    <x v="167"/>
    <n v="33.299999999999997"/>
    <x v="167"/>
    <x v="3"/>
    <x v="13"/>
    <x v="2"/>
  </r>
  <r>
    <x v="82"/>
    <x v="4"/>
    <x v="1"/>
    <x v="168"/>
    <n v="291.85000000000002"/>
    <x v="168"/>
    <x v="0"/>
    <x v="3"/>
    <x v="1"/>
  </r>
  <r>
    <x v="82"/>
    <x v="2"/>
    <x v="5"/>
    <x v="169"/>
    <n v="367.26"/>
    <x v="169"/>
    <x v="3"/>
    <x v="12"/>
    <x v="4"/>
  </r>
  <r>
    <x v="83"/>
    <x v="0"/>
    <x v="2"/>
    <x v="170"/>
    <n v="212.09"/>
    <x v="170"/>
    <x v="4"/>
    <x v="12"/>
    <x v="3"/>
  </r>
  <r>
    <x v="83"/>
    <x v="0"/>
    <x v="6"/>
    <x v="171"/>
    <n v="16.95"/>
    <x v="171"/>
    <x v="3"/>
    <x v="12"/>
    <x v="3"/>
  </r>
  <r>
    <x v="83"/>
    <x v="4"/>
    <x v="4"/>
    <x v="172"/>
    <n v="169.23"/>
    <x v="172"/>
    <x v="0"/>
    <x v="7"/>
    <x v="3"/>
  </r>
  <r>
    <x v="84"/>
    <x v="2"/>
    <x v="5"/>
    <x v="173"/>
    <n v="167.91"/>
    <x v="173"/>
    <x v="0"/>
    <x v="3"/>
    <x v="5"/>
  </r>
  <r>
    <x v="84"/>
    <x v="0"/>
    <x v="2"/>
    <x v="174"/>
    <n v="81.41"/>
    <x v="174"/>
    <x v="3"/>
    <x v="11"/>
    <x v="2"/>
  </r>
  <r>
    <x v="85"/>
    <x v="1"/>
    <x v="0"/>
    <x v="175"/>
    <n v="392.51"/>
    <x v="175"/>
    <x v="4"/>
    <x v="12"/>
    <x v="5"/>
  </r>
  <r>
    <x v="85"/>
    <x v="4"/>
    <x v="1"/>
    <x v="176"/>
    <n v="484.03"/>
    <x v="176"/>
    <x v="0"/>
    <x v="10"/>
    <x v="2"/>
  </r>
  <r>
    <x v="85"/>
    <x v="1"/>
    <x v="3"/>
    <x v="177"/>
    <n v="18.96"/>
    <x v="177"/>
    <x v="4"/>
    <x v="3"/>
    <x v="3"/>
  </r>
  <r>
    <x v="85"/>
    <x v="2"/>
    <x v="3"/>
    <x v="178"/>
    <n v="5.03"/>
    <x v="178"/>
    <x v="3"/>
    <x v="9"/>
    <x v="0"/>
  </r>
  <r>
    <x v="86"/>
    <x v="0"/>
    <x v="4"/>
    <x v="179"/>
    <n v="214.59"/>
    <x v="179"/>
    <x v="3"/>
    <x v="12"/>
    <x v="2"/>
  </r>
  <r>
    <x v="86"/>
    <x v="2"/>
    <x v="2"/>
    <x v="180"/>
    <n v="113.66"/>
    <x v="180"/>
    <x v="1"/>
    <x v="9"/>
    <x v="3"/>
  </r>
  <r>
    <x v="87"/>
    <x v="1"/>
    <x v="0"/>
    <x v="181"/>
    <n v="805.83"/>
    <x v="181"/>
    <x v="0"/>
    <x v="12"/>
    <x v="2"/>
  </r>
  <r>
    <x v="87"/>
    <x v="0"/>
    <x v="1"/>
    <x v="182"/>
    <n v="625.04"/>
    <x v="182"/>
    <x v="1"/>
    <x v="2"/>
    <x v="1"/>
  </r>
  <r>
    <x v="88"/>
    <x v="2"/>
    <x v="5"/>
    <x v="183"/>
    <n v="134.22"/>
    <x v="183"/>
    <x v="3"/>
    <x v="12"/>
    <x v="0"/>
  </r>
  <r>
    <x v="89"/>
    <x v="2"/>
    <x v="4"/>
    <x v="184"/>
    <n v="270"/>
    <x v="184"/>
    <x v="2"/>
    <x v="13"/>
    <x v="1"/>
  </r>
  <r>
    <x v="89"/>
    <x v="3"/>
    <x v="5"/>
    <x v="185"/>
    <n v="171.78"/>
    <x v="185"/>
    <x v="4"/>
    <x v="0"/>
    <x v="2"/>
  </r>
  <r>
    <x v="89"/>
    <x v="4"/>
    <x v="3"/>
    <x v="186"/>
    <n v="31.82"/>
    <x v="186"/>
    <x v="2"/>
    <x v="10"/>
    <x v="1"/>
  </r>
  <r>
    <x v="89"/>
    <x v="2"/>
    <x v="1"/>
    <x v="187"/>
    <n v="573.59"/>
    <x v="187"/>
    <x v="1"/>
    <x v="9"/>
    <x v="2"/>
  </r>
  <r>
    <x v="90"/>
    <x v="1"/>
    <x v="3"/>
    <x v="188"/>
    <n v="17.41"/>
    <x v="188"/>
    <x v="1"/>
    <x v="12"/>
    <x v="0"/>
  </r>
  <r>
    <x v="91"/>
    <x v="2"/>
    <x v="3"/>
    <x v="189"/>
    <n v="2.4700000000000002"/>
    <x v="189"/>
    <x v="0"/>
    <x v="5"/>
    <x v="3"/>
  </r>
  <r>
    <x v="91"/>
    <x v="3"/>
    <x v="4"/>
    <x v="190"/>
    <n v="19.309999999999999"/>
    <x v="190"/>
    <x v="0"/>
    <x v="0"/>
    <x v="1"/>
  </r>
  <r>
    <x v="92"/>
    <x v="3"/>
    <x v="1"/>
    <x v="191"/>
    <n v="483.68"/>
    <x v="191"/>
    <x v="1"/>
    <x v="9"/>
    <x v="3"/>
  </r>
  <r>
    <x v="92"/>
    <x v="4"/>
    <x v="4"/>
    <x v="192"/>
    <n v="162.97"/>
    <x v="192"/>
    <x v="4"/>
    <x v="0"/>
    <x v="0"/>
  </r>
  <r>
    <x v="93"/>
    <x v="0"/>
    <x v="5"/>
    <x v="193"/>
    <n v="194.74"/>
    <x v="193"/>
    <x v="3"/>
    <x v="1"/>
    <x v="2"/>
  </r>
  <r>
    <x v="94"/>
    <x v="1"/>
    <x v="0"/>
    <x v="194"/>
    <n v="499.68"/>
    <x v="194"/>
    <x v="4"/>
    <x v="2"/>
    <x v="3"/>
  </r>
  <r>
    <x v="95"/>
    <x v="0"/>
    <x v="4"/>
    <x v="195"/>
    <n v="79.239999999999995"/>
    <x v="195"/>
    <x v="4"/>
    <x v="8"/>
    <x v="1"/>
  </r>
  <r>
    <x v="95"/>
    <x v="3"/>
    <x v="6"/>
    <x v="196"/>
    <n v="42.84"/>
    <x v="196"/>
    <x v="2"/>
    <x v="10"/>
    <x v="1"/>
  </r>
  <r>
    <x v="96"/>
    <x v="3"/>
    <x v="0"/>
    <x v="197"/>
    <n v="98.75"/>
    <x v="197"/>
    <x v="2"/>
    <x v="3"/>
    <x v="1"/>
  </r>
  <r>
    <x v="96"/>
    <x v="2"/>
    <x v="6"/>
    <x v="198"/>
    <n v="66.02"/>
    <x v="198"/>
    <x v="4"/>
    <x v="8"/>
    <x v="1"/>
  </r>
  <r>
    <x v="97"/>
    <x v="2"/>
    <x v="5"/>
    <x v="199"/>
    <n v="71.87"/>
    <x v="199"/>
    <x v="3"/>
    <x v="14"/>
    <x v="4"/>
  </r>
  <r>
    <x v="97"/>
    <x v="4"/>
    <x v="4"/>
    <x v="200"/>
    <n v="139.37"/>
    <x v="200"/>
    <x v="0"/>
    <x v="0"/>
    <x v="3"/>
  </r>
  <r>
    <x v="97"/>
    <x v="2"/>
    <x v="3"/>
    <x v="201"/>
    <n v="27.66"/>
    <x v="201"/>
    <x v="1"/>
    <x v="13"/>
    <x v="1"/>
  </r>
  <r>
    <x v="98"/>
    <x v="1"/>
    <x v="6"/>
    <x v="202"/>
    <n v="74.7"/>
    <x v="202"/>
    <x v="1"/>
    <x v="9"/>
    <x v="3"/>
  </r>
  <r>
    <x v="98"/>
    <x v="3"/>
    <x v="4"/>
    <x v="203"/>
    <n v="71.680000000000007"/>
    <x v="203"/>
    <x v="1"/>
    <x v="4"/>
    <x v="0"/>
  </r>
  <r>
    <x v="99"/>
    <x v="4"/>
    <x v="5"/>
    <x v="204"/>
    <n v="151.51"/>
    <x v="204"/>
    <x v="4"/>
    <x v="9"/>
    <x v="1"/>
  </r>
  <r>
    <x v="100"/>
    <x v="1"/>
    <x v="2"/>
    <x v="205"/>
    <n v="61.28"/>
    <x v="205"/>
    <x v="3"/>
    <x v="2"/>
    <x v="1"/>
  </r>
  <r>
    <x v="100"/>
    <x v="4"/>
    <x v="0"/>
    <x v="206"/>
    <n v="927.97"/>
    <x v="206"/>
    <x v="1"/>
    <x v="12"/>
    <x v="5"/>
  </r>
  <r>
    <x v="101"/>
    <x v="3"/>
    <x v="5"/>
    <x v="207"/>
    <n v="339.02"/>
    <x v="207"/>
    <x v="1"/>
    <x v="4"/>
    <x v="3"/>
  </r>
  <r>
    <x v="102"/>
    <x v="4"/>
    <x v="0"/>
    <x v="208"/>
    <n v="291.89999999999998"/>
    <x v="208"/>
    <x v="2"/>
    <x v="6"/>
    <x v="4"/>
  </r>
  <r>
    <x v="102"/>
    <x v="3"/>
    <x v="5"/>
    <x v="209"/>
    <n v="385.81"/>
    <x v="209"/>
    <x v="3"/>
    <x v="9"/>
    <x v="5"/>
  </r>
  <r>
    <x v="102"/>
    <x v="2"/>
    <x v="1"/>
    <x v="210"/>
    <n v="473.97"/>
    <x v="210"/>
    <x v="4"/>
    <x v="8"/>
    <x v="1"/>
  </r>
  <r>
    <x v="103"/>
    <x v="4"/>
    <x v="2"/>
    <x v="211"/>
    <n v="133.11000000000001"/>
    <x v="211"/>
    <x v="4"/>
    <x v="8"/>
    <x v="0"/>
  </r>
  <r>
    <x v="103"/>
    <x v="2"/>
    <x v="0"/>
    <x v="212"/>
    <n v="795.03"/>
    <x v="212"/>
    <x v="0"/>
    <x v="8"/>
    <x v="0"/>
  </r>
  <r>
    <x v="103"/>
    <x v="2"/>
    <x v="0"/>
    <x v="213"/>
    <n v="380.9"/>
    <x v="213"/>
    <x v="0"/>
    <x v="0"/>
    <x v="1"/>
  </r>
  <r>
    <x v="104"/>
    <x v="4"/>
    <x v="2"/>
    <x v="214"/>
    <n v="63.18"/>
    <x v="214"/>
    <x v="4"/>
    <x v="11"/>
    <x v="2"/>
  </r>
  <r>
    <x v="104"/>
    <x v="4"/>
    <x v="6"/>
    <x v="215"/>
    <n v="20.58"/>
    <x v="215"/>
    <x v="1"/>
    <x v="12"/>
    <x v="2"/>
  </r>
  <r>
    <x v="105"/>
    <x v="0"/>
    <x v="3"/>
    <x v="188"/>
    <n v="15.14"/>
    <x v="216"/>
    <x v="3"/>
    <x v="4"/>
    <x v="2"/>
  </r>
  <r>
    <x v="105"/>
    <x v="2"/>
    <x v="2"/>
    <x v="216"/>
    <n v="133.27000000000001"/>
    <x v="217"/>
    <x v="0"/>
    <x v="1"/>
    <x v="1"/>
  </r>
  <r>
    <x v="106"/>
    <x v="0"/>
    <x v="1"/>
    <x v="217"/>
    <n v="769.82"/>
    <x v="218"/>
    <x v="3"/>
    <x v="10"/>
    <x v="5"/>
  </r>
  <r>
    <x v="106"/>
    <x v="4"/>
    <x v="3"/>
    <x v="218"/>
    <n v="25.38"/>
    <x v="219"/>
    <x v="2"/>
    <x v="10"/>
    <x v="5"/>
  </r>
  <r>
    <x v="106"/>
    <x v="1"/>
    <x v="5"/>
    <x v="219"/>
    <n v="44.16"/>
    <x v="220"/>
    <x v="4"/>
    <x v="4"/>
    <x v="4"/>
  </r>
  <r>
    <x v="107"/>
    <x v="2"/>
    <x v="0"/>
    <x v="220"/>
    <n v="315.93"/>
    <x v="221"/>
    <x v="2"/>
    <x v="6"/>
    <x v="3"/>
  </r>
  <r>
    <x v="107"/>
    <x v="0"/>
    <x v="1"/>
    <x v="221"/>
    <n v="915.24"/>
    <x v="222"/>
    <x v="0"/>
    <x v="1"/>
    <x v="0"/>
  </r>
  <r>
    <x v="107"/>
    <x v="4"/>
    <x v="1"/>
    <x v="222"/>
    <n v="609.30999999999995"/>
    <x v="223"/>
    <x v="4"/>
    <x v="7"/>
    <x v="5"/>
  </r>
  <r>
    <x v="108"/>
    <x v="2"/>
    <x v="0"/>
    <x v="223"/>
    <n v="553.91"/>
    <x v="224"/>
    <x v="4"/>
    <x v="2"/>
    <x v="3"/>
  </r>
  <r>
    <x v="108"/>
    <x v="1"/>
    <x v="4"/>
    <x v="224"/>
    <n v="181.27"/>
    <x v="225"/>
    <x v="2"/>
    <x v="13"/>
    <x v="3"/>
  </r>
  <r>
    <x v="109"/>
    <x v="0"/>
    <x v="4"/>
    <x v="225"/>
    <n v="248.54"/>
    <x v="226"/>
    <x v="3"/>
    <x v="6"/>
    <x v="0"/>
  </r>
  <r>
    <x v="110"/>
    <x v="3"/>
    <x v="3"/>
    <x v="226"/>
    <n v="17.489999999999998"/>
    <x v="227"/>
    <x v="3"/>
    <x v="6"/>
    <x v="2"/>
  </r>
  <r>
    <x v="110"/>
    <x v="0"/>
    <x v="2"/>
    <x v="227"/>
    <n v="111.8"/>
    <x v="228"/>
    <x v="2"/>
    <x v="8"/>
    <x v="0"/>
  </r>
  <r>
    <x v="111"/>
    <x v="4"/>
    <x v="2"/>
    <x v="228"/>
    <n v="91.21"/>
    <x v="229"/>
    <x v="3"/>
    <x v="6"/>
    <x v="5"/>
  </r>
  <r>
    <x v="111"/>
    <x v="1"/>
    <x v="4"/>
    <x v="229"/>
    <n v="264.85000000000002"/>
    <x v="230"/>
    <x v="2"/>
    <x v="10"/>
    <x v="3"/>
  </r>
  <r>
    <x v="111"/>
    <x v="1"/>
    <x v="3"/>
    <x v="230"/>
    <n v="28.66"/>
    <x v="231"/>
    <x v="0"/>
    <x v="14"/>
    <x v="2"/>
  </r>
  <r>
    <x v="111"/>
    <x v="4"/>
    <x v="2"/>
    <x v="231"/>
    <n v="153.74"/>
    <x v="232"/>
    <x v="2"/>
    <x v="0"/>
    <x v="1"/>
  </r>
  <r>
    <x v="112"/>
    <x v="0"/>
    <x v="2"/>
    <x v="232"/>
    <n v="87.05"/>
    <x v="233"/>
    <x v="2"/>
    <x v="7"/>
    <x v="0"/>
  </r>
  <r>
    <x v="112"/>
    <x v="2"/>
    <x v="6"/>
    <x v="233"/>
    <n v="53.17"/>
    <x v="234"/>
    <x v="0"/>
    <x v="0"/>
    <x v="1"/>
  </r>
  <r>
    <x v="113"/>
    <x v="0"/>
    <x v="0"/>
    <x v="234"/>
    <n v="670.25"/>
    <x v="235"/>
    <x v="3"/>
    <x v="11"/>
    <x v="2"/>
  </r>
  <r>
    <x v="114"/>
    <x v="2"/>
    <x v="3"/>
    <x v="235"/>
    <n v="12.88"/>
    <x v="236"/>
    <x v="1"/>
    <x v="7"/>
    <x v="5"/>
  </r>
  <r>
    <x v="114"/>
    <x v="3"/>
    <x v="6"/>
    <x v="236"/>
    <n v="2.29"/>
    <x v="237"/>
    <x v="0"/>
    <x v="9"/>
    <x v="0"/>
  </r>
  <r>
    <x v="114"/>
    <x v="4"/>
    <x v="3"/>
    <x v="237"/>
    <n v="25.11"/>
    <x v="238"/>
    <x v="0"/>
    <x v="14"/>
    <x v="3"/>
  </r>
  <r>
    <x v="114"/>
    <x v="1"/>
    <x v="0"/>
    <x v="238"/>
    <n v="51.42"/>
    <x v="239"/>
    <x v="3"/>
    <x v="8"/>
    <x v="2"/>
  </r>
  <r>
    <x v="115"/>
    <x v="4"/>
    <x v="0"/>
    <x v="239"/>
    <n v="368.54"/>
    <x v="240"/>
    <x v="0"/>
    <x v="13"/>
    <x v="5"/>
  </r>
  <r>
    <x v="115"/>
    <x v="3"/>
    <x v="3"/>
    <x v="240"/>
    <n v="21.6"/>
    <x v="241"/>
    <x v="2"/>
    <x v="11"/>
    <x v="2"/>
  </r>
  <r>
    <x v="115"/>
    <x v="4"/>
    <x v="1"/>
    <x v="241"/>
    <n v="871.44"/>
    <x v="242"/>
    <x v="3"/>
    <x v="1"/>
    <x v="0"/>
  </r>
  <r>
    <x v="115"/>
    <x v="0"/>
    <x v="1"/>
    <x v="242"/>
    <n v="183.44"/>
    <x v="243"/>
    <x v="3"/>
    <x v="1"/>
    <x v="3"/>
  </r>
  <r>
    <x v="116"/>
    <x v="4"/>
    <x v="6"/>
    <x v="243"/>
    <n v="35.14"/>
    <x v="244"/>
    <x v="0"/>
    <x v="7"/>
    <x v="5"/>
  </r>
  <r>
    <x v="116"/>
    <x v="1"/>
    <x v="6"/>
    <x v="244"/>
    <n v="42.9"/>
    <x v="245"/>
    <x v="4"/>
    <x v="8"/>
    <x v="1"/>
  </r>
  <r>
    <x v="116"/>
    <x v="2"/>
    <x v="3"/>
    <x v="245"/>
    <n v="22.57"/>
    <x v="246"/>
    <x v="2"/>
    <x v="0"/>
    <x v="3"/>
  </r>
  <r>
    <x v="117"/>
    <x v="3"/>
    <x v="2"/>
    <x v="246"/>
    <n v="29.02"/>
    <x v="247"/>
    <x v="1"/>
    <x v="12"/>
    <x v="2"/>
  </r>
  <r>
    <x v="117"/>
    <x v="2"/>
    <x v="4"/>
    <x v="247"/>
    <n v="141.19999999999999"/>
    <x v="248"/>
    <x v="3"/>
    <x v="9"/>
    <x v="4"/>
  </r>
  <r>
    <x v="117"/>
    <x v="1"/>
    <x v="6"/>
    <x v="248"/>
    <n v="66.34"/>
    <x v="249"/>
    <x v="0"/>
    <x v="14"/>
    <x v="4"/>
  </r>
  <r>
    <x v="118"/>
    <x v="2"/>
    <x v="6"/>
    <x v="249"/>
    <n v="43.33"/>
    <x v="250"/>
    <x v="3"/>
    <x v="8"/>
    <x v="3"/>
  </r>
  <r>
    <x v="119"/>
    <x v="3"/>
    <x v="1"/>
    <x v="250"/>
    <n v="436.53"/>
    <x v="251"/>
    <x v="3"/>
    <x v="3"/>
    <x v="0"/>
  </r>
  <r>
    <x v="119"/>
    <x v="0"/>
    <x v="0"/>
    <x v="251"/>
    <n v="390.88"/>
    <x v="252"/>
    <x v="1"/>
    <x v="9"/>
    <x v="4"/>
  </r>
  <r>
    <x v="120"/>
    <x v="1"/>
    <x v="6"/>
    <x v="252"/>
    <n v="41.68"/>
    <x v="253"/>
    <x v="2"/>
    <x v="4"/>
    <x v="0"/>
  </r>
  <r>
    <x v="120"/>
    <x v="2"/>
    <x v="0"/>
    <x v="253"/>
    <n v="99.75"/>
    <x v="254"/>
    <x v="3"/>
    <x v="8"/>
    <x v="5"/>
  </r>
  <r>
    <x v="120"/>
    <x v="1"/>
    <x v="3"/>
    <x v="254"/>
    <n v="29.97"/>
    <x v="255"/>
    <x v="4"/>
    <x v="2"/>
    <x v="2"/>
  </r>
  <r>
    <x v="120"/>
    <x v="3"/>
    <x v="3"/>
    <x v="255"/>
    <n v="29.36"/>
    <x v="256"/>
    <x v="0"/>
    <x v="0"/>
    <x v="4"/>
  </r>
  <r>
    <x v="120"/>
    <x v="4"/>
    <x v="4"/>
    <x v="256"/>
    <n v="128.43"/>
    <x v="257"/>
    <x v="4"/>
    <x v="2"/>
    <x v="3"/>
  </r>
  <r>
    <x v="120"/>
    <x v="0"/>
    <x v="3"/>
    <x v="257"/>
    <n v="31.2"/>
    <x v="258"/>
    <x v="0"/>
    <x v="4"/>
    <x v="3"/>
  </r>
  <r>
    <x v="121"/>
    <x v="4"/>
    <x v="3"/>
    <x v="258"/>
    <n v="18.45"/>
    <x v="259"/>
    <x v="2"/>
    <x v="11"/>
    <x v="0"/>
  </r>
  <r>
    <x v="122"/>
    <x v="4"/>
    <x v="3"/>
    <x v="259"/>
    <n v="26.65"/>
    <x v="260"/>
    <x v="3"/>
    <x v="2"/>
    <x v="1"/>
  </r>
  <r>
    <x v="122"/>
    <x v="1"/>
    <x v="0"/>
    <x v="260"/>
    <n v="723.1"/>
    <x v="261"/>
    <x v="3"/>
    <x v="1"/>
    <x v="2"/>
  </r>
  <r>
    <x v="123"/>
    <x v="0"/>
    <x v="6"/>
    <x v="261"/>
    <n v="19.489999999999998"/>
    <x v="262"/>
    <x v="4"/>
    <x v="6"/>
    <x v="2"/>
  </r>
  <r>
    <x v="124"/>
    <x v="1"/>
    <x v="5"/>
    <x v="262"/>
    <n v="114.73"/>
    <x v="263"/>
    <x v="2"/>
    <x v="9"/>
    <x v="5"/>
  </r>
  <r>
    <x v="124"/>
    <x v="3"/>
    <x v="0"/>
    <x v="263"/>
    <n v="338.01"/>
    <x v="264"/>
    <x v="1"/>
    <x v="12"/>
    <x v="5"/>
  </r>
  <r>
    <x v="124"/>
    <x v="4"/>
    <x v="5"/>
    <x v="264"/>
    <n v="117.86"/>
    <x v="265"/>
    <x v="0"/>
    <x v="12"/>
    <x v="2"/>
  </r>
  <r>
    <x v="125"/>
    <x v="0"/>
    <x v="4"/>
    <x v="265"/>
    <n v="229.34"/>
    <x v="266"/>
    <x v="3"/>
    <x v="13"/>
    <x v="0"/>
  </r>
  <r>
    <x v="125"/>
    <x v="1"/>
    <x v="2"/>
    <x v="266"/>
    <n v="103.74"/>
    <x v="267"/>
    <x v="1"/>
    <x v="8"/>
    <x v="2"/>
  </r>
  <r>
    <x v="125"/>
    <x v="3"/>
    <x v="6"/>
    <x v="267"/>
    <n v="36.44"/>
    <x v="268"/>
    <x v="3"/>
    <x v="5"/>
    <x v="3"/>
  </r>
  <r>
    <x v="126"/>
    <x v="3"/>
    <x v="0"/>
    <x v="268"/>
    <n v="123.28"/>
    <x v="269"/>
    <x v="1"/>
    <x v="4"/>
    <x v="1"/>
  </r>
  <r>
    <x v="126"/>
    <x v="1"/>
    <x v="5"/>
    <x v="269"/>
    <n v="337.29"/>
    <x v="270"/>
    <x v="3"/>
    <x v="0"/>
    <x v="2"/>
  </r>
  <r>
    <x v="126"/>
    <x v="1"/>
    <x v="4"/>
    <x v="270"/>
    <n v="71.53"/>
    <x v="271"/>
    <x v="1"/>
    <x v="3"/>
    <x v="1"/>
  </r>
  <r>
    <x v="126"/>
    <x v="1"/>
    <x v="4"/>
    <x v="271"/>
    <n v="393.37"/>
    <x v="272"/>
    <x v="2"/>
    <x v="4"/>
    <x v="3"/>
  </r>
  <r>
    <x v="127"/>
    <x v="1"/>
    <x v="3"/>
    <x v="272"/>
    <n v="32.950000000000003"/>
    <x v="273"/>
    <x v="3"/>
    <x v="7"/>
    <x v="1"/>
  </r>
  <r>
    <x v="127"/>
    <x v="3"/>
    <x v="6"/>
    <x v="273"/>
    <n v="84.4"/>
    <x v="274"/>
    <x v="4"/>
    <x v="0"/>
    <x v="3"/>
  </r>
  <r>
    <x v="128"/>
    <x v="0"/>
    <x v="6"/>
    <x v="274"/>
    <n v="34.03"/>
    <x v="275"/>
    <x v="0"/>
    <x v="9"/>
    <x v="1"/>
  </r>
  <r>
    <x v="129"/>
    <x v="0"/>
    <x v="1"/>
    <x v="275"/>
    <n v="1146.33"/>
    <x v="276"/>
    <x v="4"/>
    <x v="12"/>
    <x v="1"/>
  </r>
  <r>
    <x v="129"/>
    <x v="3"/>
    <x v="1"/>
    <x v="276"/>
    <n v="319.57"/>
    <x v="277"/>
    <x v="3"/>
    <x v="5"/>
    <x v="5"/>
  </r>
  <r>
    <x v="130"/>
    <x v="1"/>
    <x v="6"/>
    <x v="277"/>
    <n v="34.869999999999997"/>
    <x v="278"/>
    <x v="3"/>
    <x v="10"/>
    <x v="2"/>
  </r>
  <r>
    <x v="131"/>
    <x v="3"/>
    <x v="4"/>
    <x v="278"/>
    <n v="126.88"/>
    <x v="279"/>
    <x v="0"/>
    <x v="2"/>
    <x v="0"/>
  </r>
  <r>
    <x v="131"/>
    <x v="2"/>
    <x v="6"/>
    <x v="279"/>
    <n v="56.28"/>
    <x v="280"/>
    <x v="2"/>
    <x v="1"/>
    <x v="5"/>
  </r>
  <r>
    <x v="131"/>
    <x v="4"/>
    <x v="4"/>
    <x v="280"/>
    <n v="134.84"/>
    <x v="281"/>
    <x v="2"/>
    <x v="6"/>
    <x v="5"/>
  </r>
  <r>
    <x v="131"/>
    <x v="3"/>
    <x v="6"/>
    <x v="281"/>
    <n v="107.93"/>
    <x v="282"/>
    <x v="1"/>
    <x v="5"/>
    <x v="0"/>
  </r>
  <r>
    <x v="131"/>
    <x v="2"/>
    <x v="0"/>
    <x v="282"/>
    <n v="675.46"/>
    <x v="283"/>
    <x v="4"/>
    <x v="14"/>
    <x v="1"/>
  </r>
  <r>
    <x v="132"/>
    <x v="0"/>
    <x v="4"/>
    <x v="283"/>
    <n v="51.73"/>
    <x v="284"/>
    <x v="1"/>
    <x v="14"/>
    <x v="5"/>
  </r>
  <r>
    <x v="132"/>
    <x v="0"/>
    <x v="6"/>
    <x v="284"/>
    <n v="47.66"/>
    <x v="285"/>
    <x v="0"/>
    <x v="7"/>
    <x v="4"/>
  </r>
  <r>
    <x v="133"/>
    <x v="3"/>
    <x v="6"/>
    <x v="285"/>
    <n v="96.86"/>
    <x v="286"/>
    <x v="0"/>
    <x v="3"/>
    <x v="1"/>
  </r>
  <r>
    <x v="134"/>
    <x v="2"/>
    <x v="6"/>
    <x v="286"/>
    <n v="4.12"/>
    <x v="287"/>
    <x v="2"/>
    <x v="13"/>
    <x v="1"/>
  </r>
  <r>
    <x v="135"/>
    <x v="0"/>
    <x v="6"/>
    <x v="287"/>
    <n v="23.26"/>
    <x v="288"/>
    <x v="4"/>
    <x v="5"/>
    <x v="2"/>
  </r>
  <r>
    <x v="135"/>
    <x v="4"/>
    <x v="4"/>
    <x v="288"/>
    <n v="254.68"/>
    <x v="289"/>
    <x v="1"/>
    <x v="0"/>
    <x v="1"/>
  </r>
  <r>
    <x v="135"/>
    <x v="1"/>
    <x v="3"/>
    <x v="289"/>
    <n v="2.4500000000000002"/>
    <x v="290"/>
    <x v="0"/>
    <x v="1"/>
    <x v="4"/>
  </r>
  <r>
    <x v="136"/>
    <x v="3"/>
    <x v="2"/>
    <x v="290"/>
    <n v="101.43"/>
    <x v="291"/>
    <x v="3"/>
    <x v="9"/>
    <x v="4"/>
  </r>
  <r>
    <x v="136"/>
    <x v="2"/>
    <x v="4"/>
    <x v="291"/>
    <n v="227.64"/>
    <x v="292"/>
    <x v="2"/>
    <x v="3"/>
    <x v="1"/>
  </r>
  <r>
    <x v="137"/>
    <x v="3"/>
    <x v="5"/>
    <x v="292"/>
    <n v="400.08"/>
    <x v="293"/>
    <x v="4"/>
    <x v="3"/>
    <x v="3"/>
  </r>
  <r>
    <x v="137"/>
    <x v="4"/>
    <x v="3"/>
    <x v="293"/>
    <n v="36.630000000000003"/>
    <x v="294"/>
    <x v="1"/>
    <x v="9"/>
    <x v="2"/>
  </r>
  <r>
    <x v="137"/>
    <x v="2"/>
    <x v="3"/>
    <x v="294"/>
    <n v="49.74"/>
    <x v="295"/>
    <x v="2"/>
    <x v="10"/>
    <x v="4"/>
  </r>
  <r>
    <x v="137"/>
    <x v="4"/>
    <x v="4"/>
    <x v="295"/>
    <n v="373.48"/>
    <x v="296"/>
    <x v="4"/>
    <x v="4"/>
    <x v="4"/>
  </r>
  <r>
    <x v="138"/>
    <x v="2"/>
    <x v="6"/>
    <x v="296"/>
    <n v="79.03"/>
    <x v="297"/>
    <x v="4"/>
    <x v="13"/>
    <x v="4"/>
  </r>
  <r>
    <x v="139"/>
    <x v="4"/>
    <x v="1"/>
    <x v="297"/>
    <n v="229.27"/>
    <x v="298"/>
    <x v="0"/>
    <x v="1"/>
    <x v="3"/>
  </r>
  <r>
    <x v="139"/>
    <x v="1"/>
    <x v="3"/>
    <x v="298"/>
    <n v="15.15"/>
    <x v="299"/>
    <x v="2"/>
    <x v="7"/>
    <x v="0"/>
  </r>
  <r>
    <x v="139"/>
    <x v="2"/>
    <x v="2"/>
    <x v="299"/>
    <n v="106.94"/>
    <x v="300"/>
    <x v="4"/>
    <x v="8"/>
    <x v="0"/>
  </r>
  <r>
    <x v="139"/>
    <x v="2"/>
    <x v="2"/>
    <x v="300"/>
    <n v="45.34"/>
    <x v="301"/>
    <x v="0"/>
    <x v="7"/>
    <x v="5"/>
  </r>
  <r>
    <x v="140"/>
    <x v="1"/>
    <x v="6"/>
    <x v="301"/>
    <n v="15.38"/>
    <x v="302"/>
    <x v="4"/>
    <x v="3"/>
    <x v="2"/>
  </r>
  <r>
    <x v="140"/>
    <x v="3"/>
    <x v="5"/>
    <x v="302"/>
    <n v="219.56"/>
    <x v="303"/>
    <x v="0"/>
    <x v="9"/>
    <x v="0"/>
  </r>
  <r>
    <x v="140"/>
    <x v="1"/>
    <x v="1"/>
    <x v="303"/>
    <n v="774"/>
    <x v="304"/>
    <x v="1"/>
    <x v="0"/>
    <x v="4"/>
  </r>
  <r>
    <x v="141"/>
    <x v="1"/>
    <x v="4"/>
    <x v="304"/>
    <n v="87.01"/>
    <x v="305"/>
    <x v="2"/>
    <x v="1"/>
    <x v="0"/>
  </r>
  <r>
    <x v="142"/>
    <x v="0"/>
    <x v="0"/>
    <x v="305"/>
    <n v="358.79"/>
    <x v="306"/>
    <x v="2"/>
    <x v="10"/>
    <x v="2"/>
  </r>
  <r>
    <x v="142"/>
    <x v="1"/>
    <x v="0"/>
    <x v="306"/>
    <n v="59.73"/>
    <x v="307"/>
    <x v="2"/>
    <x v="12"/>
    <x v="5"/>
  </r>
  <r>
    <x v="142"/>
    <x v="1"/>
    <x v="5"/>
    <x v="307"/>
    <n v="148.57"/>
    <x v="308"/>
    <x v="4"/>
    <x v="13"/>
    <x v="3"/>
  </r>
  <r>
    <x v="143"/>
    <x v="1"/>
    <x v="1"/>
    <x v="308"/>
    <n v="376.43"/>
    <x v="309"/>
    <x v="0"/>
    <x v="7"/>
    <x v="2"/>
  </r>
  <r>
    <x v="143"/>
    <x v="4"/>
    <x v="5"/>
    <x v="309"/>
    <n v="205.49"/>
    <x v="310"/>
    <x v="1"/>
    <x v="1"/>
    <x v="1"/>
  </r>
  <r>
    <x v="143"/>
    <x v="4"/>
    <x v="6"/>
    <x v="310"/>
    <n v="22.22"/>
    <x v="311"/>
    <x v="0"/>
    <x v="9"/>
    <x v="2"/>
  </r>
  <r>
    <x v="143"/>
    <x v="3"/>
    <x v="2"/>
    <x v="298"/>
    <n v="17.149999999999999"/>
    <x v="312"/>
    <x v="2"/>
    <x v="10"/>
    <x v="4"/>
  </r>
  <r>
    <x v="144"/>
    <x v="2"/>
    <x v="2"/>
    <x v="311"/>
    <n v="48.88"/>
    <x v="313"/>
    <x v="3"/>
    <x v="1"/>
    <x v="2"/>
  </r>
  <r>
    <x v="144"/>
    <x v="3"/>
    <x v="4"/>
    <x v="312"/>
    <n v="218.66"/>
    <x v="314"/>
    <x v="4"/>
    <x v="8"/>
    <x v="2"/>
  </r>
  <r>
    <x v="145"/>
    <x v="3"/>
    <x v="2"/>
    <x v="313"/>
    <n v="16.89"/>
    <x v="315"/>
    <x v="2"/>
    <x v="7"/>
    <x v="0"/>
  </r>
  <r>
    <x v="145"/>
    <x v="1"/>
    <x v="2"/>
    <x v="314"/>
    <n v="172.63"/>
    <x v="316"/>
    <x v="4"/>
    <x v="9"/>
    <x v="3"/>
  </r>
  <r>
    <x v="145"/>
    <x v="3"/>
    <x v="2"/>
    <x v="315"/>
    <n v="44.18"/>
    <x v="317"/>
    <x v="3"/>
    <x v="7"/>
    <x v="4"/>
  </r>
  <r>
    <x v="145"/>
    <x v="2"/>
    <x v="2"/>
    <x v="316"/>
    <n v="105.95"/>
    <x v="318"/>
    <x v="4"/>
    <x v="9"/>
    <x v="1"/>
  </r>
  <r>
    <x v="146"/>
    <x v="4"/>
    <x v="3"/>
    <x v="317"/>
    <n v="44.61"/>
    <x v="319"/>
    <x v="2"/>
    <x v="5"/>
    <x v="3"/>
  </r>
  <r>
    <x v="146"/>
    <x v="0"/>
    <x v="6"/>
    <x v="318"/>
    <n v="5.29"/>
    <x v="320"/>
    <x v="4"/>
    <x v="10"/>
    <x v="3"/>
  </r>
  <r>
    <x v="147"/>
    <x v="2"/>
    <x v="1"/>
    <x v="319"/>
    <n v="267.98"/>
    <x v="321"/>
    <x v="0"/>
    <x v="12"/>
    <x v="0"/>
  </r>
  <r>
    <x v="148"/>
    <x v="0"/>
    <x v="3"/>
    <x v="320"/>
    <n v="36.729999999999997"/>
    <x v="322"/>
    <x v="3"/>
    <x v="7"/>
    <x v="5"/>
  </r>
  <r>
    <x v="149"/>
    <x v="0"/>
    <x v="2"/>
    <x v="321"/>
    <n v="34.51"/>
    <x v="323"/>
    <x v="0"/>
    <x v="13"/>
    <x v="0"/>
  </r>
  <r>
    <x v="149"/>
    <x v="1"/>
    <x v="4"/>
    <x v="322"/>
    <n v="87.53"/>
    <x v="324"/>
    <x v="0"/>
    <x v="3"/>
    <x v="1"/>
  </r>
  <r>
    <x v="149"/>
    <x v="1"/>
    <x v="0"/>
    <x v="323"/>
    <n v="440.69"/>
    <x v="325"/>
    <x v="2"/>
    <x v="3"/>
    <x v="1"/>
  </r>
  <r>
    <x v="149"/>
    <x v="0"/>
    <x v="2"/>
    <x v="324"/>
    <n v="81.09"/>
    <x v="326"/>
    <x v="3"/>
    <x v="2"/>
    <x v="2"/>
  </r>
  <r>
    <x v="150"/>
    <x v="1"/>
    <x v="2"/>
    <x v="325"/>
    <n v="215.71"/>
    <x v="327"/>
    <x v="1"/>
    <x v="2"/>
    <x v="2"/>
  </r>
  <r>
    <x v="150"/>
    <x v="4"/>
    <x v="4"/>
    <x v="326"/>
    <n v="308.56"/>
    <x v="328"/>
    <x v="0"/>
    <x v="4"/>
    <x v="4"/>
  </r>
  <r>
    <x v="151"/>
    <x v="0"/>
    <x v="3"/>
    <x v="327"/>
    <n v="6.01"/>
    <x v="329"/>
    <x v="1"/>
    <x v="12"/>
    <x v="0"/>
  </r>
  <r>
    <x v="151"/>
    <x v="2"/>
    <x v="1"/>
    <x v="328"/>
    <n v="755.64"/>
    <x v="330"/>
    <x v="4"/>
    <x v="7"/>
    <x v="3"/>
  </r>
  <r>
    <x v="152"/>
    <x v="4"/>
    <x v="5"/>
    <x v="329"/>
    <n v="293.26"/>
    <x v="331"/>
    <x v="4"/>
    <x v="8"/>
    <x v="3"/>
  </r>
  <r>
    <x v="153"/>
    <x v="1"/>
    <x v="5"/>
    <x v="330"/>
    <n v="162.51"/>
    <x v="332"/>
    <x v="3"/>
    <x v="11"/>
    <x v="0"/>
  </r>
  <r>
    <x v="154"/>
    <x v="0"/>
    <x v="4"/>
    <x v="331"/>
    <n v="178.75"/>
    <x v="333"/>
    <x v="4"/>
    <x v="5"/>
    <x v="4"/>
  </r>
  <r>
    <x v="155"/>
    <x v="2"/>
    <x v="6"/>
    <x v="332"/>
    <n v="71.16"/>
    <x v="334"/>
    <x v="1"/>
    <x v="4"/>
    <x v="5"/>
  </r>
  <r>
    <x v="155"/>
    <x v="3"/>
    <x v="2"/>
    <x v="333"/>
    <n v="117.09"/>
    <x v="335"/>
    <x v="4"/>
    <x v="10"/>
    <x v="5"/>
  </r>
  <r>
    <x v="155"/>
    <x v="3"/>
    <x v="5"/>
    <x v="334"/>
    <n v="304.98"/>
    <x v="336"/>
    <x v="3"/>
    <x v="13"/>
    <x v="0"/>
  </r>
  <r>
    <x v="156"/>
    <x v="4"/>
    <x v="4"/>
    <x v="335"/>
    <n v="135.13999999999999"/>
    <x v="337"/>
    <x v="2"/>
    <x v="1"/>
    <x v="5"/>
  </r>
  <r>
    <x v="156"/>
    <x v="4"/>
    <x v="3"/>
    <x v="336"/>
    <n v="2.92"/>
    <x v="338"/>
    <x v="3"/>
    <x v="14"/>
    <x v="3"/>
  </r>
  <r>
    <x v="156"/>
    <x v="4"/>
    <x v="1"/>
    <x v="337"/>
    <n v="1062.81"/>
    <x v="339"/>
    <x v="2"/>
    <x v="4"/>
    <x v="2"/>
  </r>
  <r>
    <x v="157"/>
    <x v="1"/>
    <x v="6"/>
    <x v="338"/>
    <n v="80"/>
    <x v="340"/>
    <x v="1"/>
    <x v="8"/>
    <x v="1"/>
  </r>
  <r>
    <x v="157"/>
    <x v="2"/>
    <x v="3"/>
    <x v="339"/>
    <n v="36.159999999999997"/>
    <x v="341"/>
    <x v="4"/>
    <x v="5"/>
    <x v="1"/>
  </r>
  <r>
    <x v="157"/>
    <x v="2"/>
    <x v="4"/>
    <x v="340"/>
    <n v="155.87"/>
    <x v="342"/>
    <x v="0"/>
    <x v="8"/>
    <x v="5"/>
  </r>
  <r>
    <x v="157"/>
    <x v="1"/>
    <x v="2"/>
    <x v="341"/>
    <n v="109.73"/>
    <x v="343"/>
    <x v="2"/>
    <x v="5"/>
    <x v="4"/>
  </r>
  <r>
    <x v="158"/>
    <x v="0"/>
    <x v="4"/>
    <x v="342"/>
    <n v="87.67"/>
    <x v="344"/>
    <x v="3"/>
    <x v="12"/>
    <x v="5"/>
  </r>
  <r>
    <x v="159"/>
    <x v="3"/>
    <x v="2"/>
    <x v="343"/>
    <n v="77.959999999999994"/>
    <x v="345"/>
    <x v="0"/>
    <x v="0"/>
    <x v="3"/>
  </r>
  <r>
    <x v="159"/>
    <x v="3"/>
    <x v="1"/>
    <x v="344"/>
    <n v="56.42"/>
    <x v="346"/>
    <x v="3"/>
    <x v="6"/>
    <x v="1"/>
  </r>
  <r>
    <x v="160"/>
    <x v="0"/>
    <x v="3"/>
    <x v="345"/>
    <n v="41.93"/>
    <x v="347"/>
    <x v="1"/>
    <x v="12"/>
    <x v="1"/>
  </r>
  <r>
    <x v="160"/>
    <x v="0"/>
    <x v="2"/>
    <x v="346"/>
    <n v="174.4"/>
    <x v="348"/>
    <x v="1"/>
    <x v="14"/>
    <x v="5"/>
  </r>
  <r>
    <x v="161"/>
    <x v="0"/>
    <x v="4"/>
    <x v="347"/>
    <n v="212.55"/>
    <x v="349"/>
    <x v="1"/>
    <x v="12"/>
    <x v="1"/>
  </r>
  <r>
    <x v="161"/>
    <x v="4"/>
    <x v="0"/>
    <x v="348"/>
    <n v="639.58000000000004"/>
    <x v="350"/>
    <x v="0"/>
    <x v="14"/>
    <x v="0"/>
  </r>
  <r>
    <x v="161"/>
    <x v="3"/>
    <x v="5"/>
    <x v="349"/>
    <n v="54"/>
    <x v="351"/>
    <x v="0"/>
    <x v="2"/>
    <x v="5"/>
  </r>
  <r>
    <x v="161"/>
    <x v="4"/>
    <x v="0"/>
    <x v="350"/>
    <n v="909.71"/>
    <x v="352"/>
    <x v="2"/>
    <x v="3"/>
    <x v="1"/>
  </r>
  <r>
    <x v="162"/>
    <x v="2"/>
    <x v="2"/>
    <x v="351"/>
    <n v="47.39"/>
    <x v="353"/>
    <x v="3"/>
    <x v="1"/>
    <x v="5"/>
  </r>
  <r>
    <x v="163"/>
    <x v="2"/>
    <x v="4"/>
    <x v="352"/>
    <n v="69.709999999999994"/>
    <x v="354"/>
    <x v="3"/>
    <x v="7"/>
    <x v="5"/>
  </r>
  <r>
    <x v="163"/>
    <x v="0"/>
    <x v="5"/>
    <x v="353"/>
    <n v="271.48"/>
    <x v="355"/>
    <x v="1"/>
    <x v="13"/>
    <x v="2"/>
  </r>
  <r>
    <x v="164"/>
    <x v="4"/>
    <x v="1"/>
    <x v="354"/>
    <n v="454"/>
    <x v="356"/>
    <x v="4"/>
    <x v="1"/>
    <x v="1"/>
  </r>
  <r>
    <x v="164"/>
    <x v="1"/>
    <x v="6"/>
    <x v="355"/>
    <n v="20.34"/>
    <x v="357"/>
    <x v="4"/>
    <x v="8"/>
    <x v="4"/>
  </r>
  <r>
    <x v="164"/>
    <x v="1"/>
    <x v="0"/>
    <x v="356"/>
    <n v="309.7"/>
    <x v="358"/>
    <x v="3"/>
    <x v="11"/>
    <x v="0"/>
  </r>
  <r>
    <x v="164"/>
    <x v="0"/>
    <x v="3"/>
    <x v="357"/>
    <n v="43.56"/>
    <x v="359"/>
    <x v="3"/>
    <x v="13"/>
    <x v="5"/>
  </r>
  <r>
    <x v="164"/>
    <x v="1"/>
    <x v="0"/>
    <x v="358"/>
    <n v="411.86"/>
    <x v="360"/>
    <x v="1"/>
    <x v="4"/>
    <x v="1"/>
  </r>
  <r>
    <x v="164"/>
    <x v="2"/>
    <x v="0"/>
    <x v="359"/>
    <n v="618.16"/>
    <x v="361"/>
    <x v="0"/>
    <x v="13"/>
    <x v="3"/>
  </r>
  <r>
    <x v="165"/>
    <x v="1"/>
    <x v="2"/>
    <x v="360"/>
    <n v="103.81"/>
    <x v="362"/>
    <x v="4"/>
    <x v="11"/>
    <x v="3"/>
  </r>
  <r>
    <x v="165"/>
    <x v="1"/>
    <x v="5"/>
    <x v="361"/>
    <n v="180.02"/>
    <x v="363"/>
    <x v="1"/>
    <x v="11"/>
    <x v="1"/>
  </r>
  <r>
    <x v="165"/>
    <x v="3"/>
    <x v="4"/>
    <x v="362"/>
    <n v="24.28"/>
    <x v="364"/>
    <x v="4"/>
    <x v="11"/>
    <x v="2"/>
  </r>
  <r>
    <x v="165"/>
    <x v="3"/>
    <x v="5"/>
    <x v="363"/>
    <n v="81.239999999999995"/>
    <x v="365"/>
    <x v="1"/>
    <x v="0"/>
    <x v="1"/>
  </r>
  <r>
    <x v="166"/>
    <x v="3"/>
    <x v="5"/>
    <x v="364"/>
    <n v="326.73"/>
    <x v="366"/>
    <x v="3"/>
    <x v="0"/>
    <x v="0"/>
  </r>
  <r>
    <x v="166"/>
    <x v="4"/>
    <x v="6"/>
    <x v="365"/>
    <n v="69.22"/>
    <x v="367"/>
    <x v="4"/>
    <x v="10"/>
    <x v="3"/>
  </r>
  <r>
    <x v="167"/>
    <x v="2"/>
    <x v="2"/>
    <x v="366"/>
    <n v="145.72999999999999"/>
    <x v="61"/>
    <x v="2"/>
    <x v="11"/>
    <x v="0"/>
  </r>
  <r>
    <x v="167"/>
    <x v="3"/>
    <x v="6"/>
    <x v="367"/>
    <n v="33.71"/>
    <x v="368"/>
    <x v="4"/>
    <x v="14"/>
    <x v="5"/>
  </r>
  <r>
    <x v="167"/>
    <x v="1"/>
    <x v="4"/>
    <x v="368"/>
    <n v="364.24"/>
    <x v="369"/>
    <x v="4"/>
    <x v="0"/>
    <x v="2"/>
  </r>
  <r>
    <x v="168"/>
    <x v="1"/>
    <x v="3"/>
    <x v="369"/>
    <n v="13.97"/>
    <x v="370"/>
    <x v="1"/>
    <x v="2"/>
    <x v="4"/>
  </r>
  <r>
    <x v="169"/>
    <x v="0"/>
    <x v="0"/>
    <x v="370"/>
    <n v="226.44"/>
    <x v="371"/>
    <x v="4"/>
    <x v="13"/>
    <x v="3"/>
  </r>
  <r>
    <x v="169"/>
    <x v="1"/>
    <x v="2"/>
    <x v="371"/>
    <n v="157.71"/>
    <x v="372"/>
    <x v="2"/>
    <x v="6"/>
    <x v="0"/>
  </r>
  <r>
    <x v="169"/>
    <x v="4"/>
    <x v="1"/>
    <x v="372"/>
    <n v="556.88"/>
    <x v="373"/>
    <x v="3"/>
    <x v="2"/>
    <x v="0"/>
  </r>
  <r>
    <x v="170"/>
    <x v="3"/>
    <x v="5"/>
    <x v="373"/>
    <n v="195.28"/>
    <x v="374"/>
    <x v="4"/>
    <x v="11"/>
    <x v="1"/>
  </r>
  <r>
    <x v="170"/>
    <x v="3"/>
    <x v="1"/>
    <x v="374"/>
    <n v="573.86"/>
    <x v="375"/>
    <x v="0"/>
    <x v="12"/>
    <x v="4"/>
  </r>
  <r>
    <x v="170"/>
    <x v="1"/>
    <x v="5"/>
    <x v="375"/>
    <n v="111.19"/>
    <x v="376"/>
    <x v="3"/>
    <x v="13"/>
    <x v="4"/>
  </r>
  <r>
    <x v="170"/>
    <x v="4"/>
    <x v="6"/>
    <x v="376"/>
    <n v="25.09"/>
    <x v="377"/>
    <x v="1"/>
    <x v="3"/>
    <x v="4"/>
  </r>
  <r>
    <x v="171"/>
    <x v="0"/>
    <x v="4"/>
    <x v="377"/>
    <n v="167.75"/>
    <x v="378"/>
    <x v="1"/>
    <x v="0"/>
    <x v="2"/>
  </r>
  <r>
    <x v="171"/>
    <x v="2"/>
    <x v="0"/>
    <x v="378"/>
    <n v="710.77"/>
    <x v="379"/>
    <x v="0"/>
    <x v="7"/>
    <x v="5"/>
  </r>
  <r>
    <x v="171"/>
    <x v="1"/>
    <x v="4"/>
    <x v="379"/>
    <n v="258.06"/>
    <x v="380"/>
    <x v="4"/>
    <x v="4"/>
    <x v="3"/>
  </r>
  <r>
    <x v="172"/>
    <x v="0"/>
    <x v="5"/>
    <x v="380"/>
    <n v="46.15"/>
    <x v="381"/>
    <x v="2"/>
    <x v="14"/>
    <x v="3"/>
  </r>
  <r>
    <x v="172"/>
    <x v="0"/>
    <x v="2"/>
    <x v="381"/>
    <n v="168.93"/>
    <x v="382"/>
    <x v="2"/>
    <x v="2"/>
    <x v="4"/>
  </r>
  <r>
    <x v="173"/>
    <x v="2"/>
    <x v="1"/>
    <x v="382"/>
    <n v="164.96"/>
    <x v="383"/>
    <x v="4"/>
    <x v="11"/>
    <x v="4"/>
  </r>
  <r>
    <x v="173"/>
    <x v="0"/>
    <x v="3"/>
    <x v="383"/>
    <n v="21.02"/>
    <x v="384"/>
    <x v="2"/>
    <x v="10"/>
    <x v="5"/>
  </r>
  <r>
    <x v="174"/>
    <x v="1"/>
    <x v="1"/>
    <x v="384"/>
    <n v="739.74"/>
    <x v="385"/>
    <x v="3"/>
    <x v="10"/>
    <x v="2"/>
  </r>
  <r>
    <x v="174"/>
    <x v="4"/>
    <x v="2"/>
    <x v="385"/>
    <n v="125.25"/>
    <x v="386"/>
    <x v="3"/>
    <x v="10"/>
    <x v="0"/>
  </r>
  <r>
    <x v="174"/>
    <x v="1"/>
    <x v="6"/>
    <x v="386"/>
    <n v="9.5"/>
    <x v="387"/>
    <x v="4"/>
    <x v="4"/>
    <x v="1"/>
  </r>
  <r>
    <x v="174"/>
    <x v="0"/>
    <x v="1"/>
    <x v="387"/>
    <n v="204.47"/>
    <x v="388"/>
    <x v="2"/>
    <x v="13"/>
    <x v="0"/>
  </r>
  <r>
    <x v="175"/>
    <x v="3"/>
    <x v="4"/>
    <x v="388"/>
    <n v="260.18"/>
    <x v="389"/>
    <x v="3"/>
    <x v="13"/>
    <x v="5"/>
  </r>
  <r>
    <x v="176"/>
    <x v="4"/>
    <x v="0"/>
    <x v="389"/>
    <n v="533.74"/>
    <x v="390"/>
    <x v="4"/>
    <x v="1"/>
    <x v="2"/>
  </r>
  <r>
    <x v="176"/>
    <x v="0"/>
    <x v="4"/>
    <x v="390"/>
    <n v="82.28"/>
    <x v="391"/>
    <x v="4"/>
    <x v="10"/>
    <x v="3"/>
  </r>
  <r>
    <x v="176"/>
    <x v="2"/>
    <x v="3"/>
    <x v="391"/>
    <n v="37.79"/>
    <x v="392"/>
    <x v="2"/>
    <x v="8"/>
    <x v="4"/>
  </r>
  <r>
    <x v="177"/>
    <x v="3"/>
    <x v="6"/>
    <x v="392"/>
    <n v="5.0599999999999996"/>
    <x v="393"/>
    <x v="0"/>
    <x v="6"/>
    <x v="3"/>
  </r>
  <r>
    <x v="178"/>
    <x v="4"/>
    <x v="4"/>
    <x v="393"/>
    <n v="321.38"/>
    <x v="394"/>
    <x v="4"/>
    <x v="1"/>
    <x v="3"/>
  </r>
  <r>
    <x v="179"/>
    <x v="2"/>
    <x v="2"/>
    <x v="394"/>
    <n v="36.07"/>
    <x v="395"/>
    <x v="4"/>
    <x v="11"/>
    <x v="2"/>
  </r>
  <r>
    <x v="180"/>
    <x v="1"/>
    <x v="5"/>
    <x v="395"/>
    <n v="146.69"/>
    <x v="396"/>
    <x v="3"/>
    <x v="7"/>
    <x v="0"/>
  </r>
  <r>
    <x v="180"/>
    <x v="3"/>
    <x v="4"/>
    <x v="396"/>
    <n v="51.51"/>
    <x v="397"/>
    <x v="3"/>
    <x v="2"/>
    <x v="5"/>
  </r>
  <r>
    <x v="180"/>
    <x v="3"/>
    <x v="1"/>
    <x v="397"/>
    <n v="617.88"/>
    <x v="398"/>
    <x v="0"/>
    <x v="2"/>
    <x v="4"/>
  </r>
  <r>
    <x v="181"/>
    <x v="4"/>
    <x v="3"/>
    <x v="398"/>
    <n v="2.73"/>
    <x v="399"/>
    <x v="4"/>
    <x v="14"/>
    <x v="1"/>
  </r>
  <r>
    <x v="181"/>
    <x v="4"/>
    <x v="0"/>
    <x v="399"/>
    <n v="229.96"/>
    <x v="400"/>
    <x v="3"/>
    <x v="7"/>
    <x v="3"/>
  </r>
  <r>
    <x v="181"/>
    <x v="3"/>
    <x v="5"/>
    <x v="400"/>
    <n v="215.51"/>
    <x v="401"/>
    <x v="2"/>
    <x v="6"/>
    <x v="3"/>
  </r>
  <r>
    <x v="181"/>
    <x v="4"/>
    <x v="0"/>
    <x v="401"/>
    <n v="377.82"/>
    <x v="402"/>
    <x v="2"/>
    <x v="9"/>
    <x v="3"/>
  </r>
  <r>
    <x v="182"/>
    <x v="0"/>
    <x v="2"/>
    <x v="402"/>
    <n v="96.43"/>
    <x v="403"/>
    <x v="1"/>
    <x v="6"/>
    <x v="1"/>
  </r>
  <r>
    <x v="182"/>
    <x v="0"/>
    <x v="2"/>
    <x v="403"/>
    <n v="130.21"/>
    <x v="404"/>
    <x v="3"/>
    <x v="5"/>
    <x v="0"/>
  </r>
  <r>
    <x v="183"/>
    <x v="1"/>
    <x v="3"/>
    <x v="404"/>
    <n v="10.79"/>
    <x v="405"/>
    <x v="3"/>
    <x v="3"/>
    <x v="5"/>
  </r>
  <r>
    <x v="183"/>
    <x v="0"/>
    <x v="1"/>
    <x v="405"/>
    <n v="48.92"/>
    <x v="406"/>
    <x v="3"/>
    <x v="5"/>
    <x v="5"/>
  </r>
  <r>
    <x v="184"/>
    <x v="1"/>
    <x v="5"/>
    <x v="406"/>
    <n v="350.84"/>
    <x v="407"/>
    <x v="0"/>
    <x v="2"/>
    <x v="2"/>
  </r>
  <r>
    <x v="184"/>
    <x v="4"/>
    <x v="2"/>
    <x v="407"/>
    <n v="97.86"/>
    <x v="408"/>
    <x v="0"/>
    <x v="0"/>
    <x v="4"/>
  </r>
  <r>
    <x v="185"/>
    <x v="1"/>
    <x v="5"/>
    <x v="408"/>
    <n v="168.5"/>
    <x v="409"/>
    <x v="2"/>
    <x v="2"/>
    <x v="2"/>
  </r>
  <r>
    <x v="185"/>
    <x v="1"/>
    <x v="5"/>
    <x v="409"/>
    <n v="320.54000000000002"/>
    <x v="410"/>
    <x v="0"/>
    <x v="9"/>
    <x v="0"/>
  </r>
  <r>
    <x v="186"/>
    <x v="2"/>
    <x v="3"/>
    <x v="410"/>
    <n v="43.78"/>
    <x v="411"/>
    <x v="1"/>
    <x v="9"/>
    <x v="3"/>
  </r>
  <r>
    <x v="186"/>
    <x v="4"/>
    <x v="0"/>
    <x v="411"/>
    <n v="835.69"/>
    <x v="412"/>
    <x v="1"/>
    <x v="10"/>
    <x v="2"/>
  </r>
  <r>
    <x v="187"/>
    <x v="0"/>
    <x v="5"/>
    <x v="412"/>
    <n v="115.1"/>
    <x v="413"/>
    <x v="0"/>
    <x v="9"/>
    <x v="0"/>
  </r>
  <r>
    <x v="187"/>
    <x v="1"/>
    <x v="6"/>
    <x v="413"/>
    <n v="6.78"/>
    <x v="414"/>
    <x v="4"/>
    <x v="13"/>
    <x v="1"/>
  </r>
  <r>
    <x v="188"/>
    <x v="3"/>
    <x v="6"/>
    <x v="414"/>
    <n v="50.4"/>
    <x v="415"/>
    <x v="1"/>
    <x v="7"/>
    <x v="1"/>
  </r>
  <r>
    <x v="188"/>
    <x v="0"/>
    <x v="5"/>
    <x v="415"/>
    <n v="454.37"/>
    <x v="416"/>
    <x v="4"/>
    <x v="0"/>
    <x v="5"/>
  </r>
  <r>
    <x v="189"/>
    <x v="0"/>
    <x v="3"/>
    <x v="416"/>
    <n v="18.329999999999998"/>
    <x v="417"/>
    <x v="0"/>
    <x v="2"/>
    <x v="3"/>
  </r>
  <r>
    <x v="190"/>
    <x v="4"/>
    <x v="2"/>
    <x v="417"/>
    <n v="64.400000000000006"/>
    <x v="418"/>
    <x v="2"/>
    <x v="2"/>
    <x v="5"/>
  </r>
  <r>
    <x v="190"/>
    <x v="1"/>
    <x v="4"/>
    <x v="418"/>
    <n v="184.03"/>
    <x v="419"/>
    <x v="4"/>
    <x v="12"/>
    <x v="0"/>
  </r>
  <r>
    <x v="190"/>
    <x v="4"/>
    <x v="3"/>
    <x v="419"/>
    <n v="9.51"/>
    <x v="420"/>
    <x v="1"/>
    <x v="2"/>
    <x v="3"/>
  </r>
  <r>
    <x v="190"/>
    <x v="3"/>
    <x v="2"/>
    <x v="420"/>
    <n v="114.23"/>
    <x v="421"/>
    <x v="4"/>
    <x v="6"/>
    <x v="5"/>
  </r>
  <r>
    <x v="190"/>
    <x v="3"/>
    <x v="4"/>
    <x v="421"/>
    <n v="94.69"/>
    <x v="422"/>
    <x v="2"/>
    <x v="11"/>
    <x v="2"/>
  </r>
  <r>
    <x v="191"/>
    <x v="1"/>
    <x v="0"/>
    <x v="422"/>
    <n v="289.11"/>
    <x v="423"/>
    <x v="4"/>
    <x v="1"/>
    <x v="1"/>
  </r>
  <r>
    <x v="191"/>
    <x v="1"/>
    <x v="5"/>
    <x v="423"/>
    <n v="287.62"/>
    <x v="424"/>
    <x v="4"/>
    <x v="11"/>
    <x v="4"/>
  </r>
  <r>
    <x v="191"/>
    <x v="2"/>
    <x v="0"/>
    <x v="424"/>
    <n v="53.13"/>
    <x v="425"/>
    <x v="2"/>
    <x v="14"/>
    <x v="4"/>
  </r>
  <r>
    <x v="192"/>
    <x v="0"/>
    <x v="2"/>
    <x v="425"/>
    <n v="139.69999999999999"/>
    <x v="426"/>
    <x v="4"/>
    <x v="4"/>
    <x v="5"/>
  </r>
  <r>
    <x v="192"/>
    <x v="0"/>
    <x v="0"/>
    <x v="426"/>
    <n v="601.25"/>
    <x v="427"/>
    <x v="0"/>
    <x v="14"/>
    <x v="3"/>
  </r>
  <r>
    <x v="192"/>
    <x v="3"/>
    <x v="6"/>
    <x v="427"/>
    <n v="55.74"/>
    <x v="428"/>
    <x v="4"/>
    <x v="0"/>
    <x v="2"/>
  </r>
  <r>
    <x v="192"/>
    <x v="4"/>
    <x v="2"/>
    <x v="428"/>
    <n v="132.26"/>
    <x v="429"/>
    <x v="3"/>
    <x v="8"/>
    <x v="3"/>
  </r>
  <r>
    <x v="193"/>
    <x v="3"/>
    <x v="5"/>
    <x v="429"/>
    <n v="147.22999999999999"/>
    <x v="430"/>
    <x v="1"/>
    <x v="7"/>
    <x v="4"/>
  </r>
  <r>
    <x v="193"/>
    <x v="4"/>
    <x v="2"/>
    <x v="430"/>
    <n v="18.16"/>
    <x v="431"/>
    <x v="1"/>
    <x v="6"/>
    <x v="1"/>
  </r>
  <r>
    <x v="194"/>
    <x v="4"/>
    <x v="0"/>
    <x v="431"/>
    <n v="481.79"/>
    <x v="432"/>
    <x v="2"/>
    <x v="1"/>
    <x v="2"/>
  </r>
  <r>
    <x v="194"/>
    <x v="0"/>
    <x v="2"/>
    <x v="432"/>
    <n v="92.45"/>
    <x v="433"/>
    <x v="3"/>
    <x v="14"/>
    <x v="0"/>
  </r>
  <r>
    <x v="195"/>
    <x v="1"/>
    <x v="2"/>
    <x v="433"/>
    <n v="83.93"/>
    <x v="434"/>
    <x v="4"/>
    <x v="14"/>
    <x v="3"/>
  </r>
  <r>
    <x v="196"/>
    <x v="3"/>
    <x v="0"/>
    <x v="434"/>
    <n v="773.17"/>
    <x v="435"/>
    <x v="2"/>
    <x v="5"/>
    <x v="5"/>
  </r>
  <r>
    <x v="197"/>
    <x v="4"/>
    <x v="5"/>
    <x v="435"/>
    <n v="76.44"/>
    <x v="436"/>
    <x v="0"/>
    <x v="12"/>
    <x v="0"/>
  </r>
  <r>
    <x v="197"/>
    <x v="1"/>
    <x v="4"/>
    <x v="436"/>
    <n v="156.34"/>
    <x v="437"/>
    <x v="2"/>
    <x v="2"/>
    <x v="1"/>
  </r>
  <r>
    <x v="198"/>
    <x v="0"/>
    <x v="0"/>
    <x v="437"/>
    <n v="542.79"/>
    <x v="438"/>
    <x v="4"/>
    <x v="11"/>
    <x v="4"/>
  </r>
  <r>
    <x v="198"/>
    <x v="4"/>
    <x v="5"/>
    <x v="438"/>
    <n v="276.81"/>
    <x v="439"/>
    <x v="1"/>
    <x v="4"/>
    <x v="3"/>
  </r>
  <r>
    <x v="199"/>
    <x v="2"/>
    <x v="4"/>
    <x v="439"/>
    <n v="32.15"/>
    <x v="440"/>
    <x v="4"/>
    <x v="4"/>
    <x v="3"/>
  </r>
  <r>
    <x v="199"/>
    <x v="4"/>
    <x v="5"/>
    <x v="440"/>
    <n v="279.45"/>
    <x v="441"/>
    <x v="3"/>
    <x v="11"/>
    <x v="0"/>
  </r>
  <r>
    <x v="199"/>
    <x v="2"/>
    <x v="5"/>
    <x v="441"/>
    <n v="349.77"/>
    <x v="442"/>
    <x v="1"/>
    <x v="14"/>
    <x v="2"/>
  </r>
  <r>
    <x v="200"/>
    <x v="0"/>
    <x v="1"/>
    <x v="442"/>
    <n v="701.88"/>
    <x v="443"/>
    <x v="0"/>
    <x v="0"/>
    <x v="3"/>
  </r>
  <r>
    <x v="201"/>
    <x v="4"/>
    <x v="6"/>
    <x v="443"/>
    <n v="54.89"/>
    <x v="444"/>
    <x v="0"/>
    <x v="2"/>
    <x v="3"/>
  </r>
  <r>
    <x v="201"/>
    <x v="2"/>
    <x v="6"/>
    <x v="444"/>
    <n v="20.99"/>
    <x v="445"/>
    <x v="3"/>
    <x v="7"/>
    <x v="0"/>
  </r>
  <r>
    <x v="201"/>
    <x v="0"/>
    <x v="4"/>
    <x v="445"/>
    <n v="253.79"/>
    <x v="446"/>
    <x v="3"/>
    <x v="8"/>
    <x v="5"/>
  </r>
  <r>
    <x v="201"/>
    <x v="0"/>
    <x v="2"/>
    <x v="446"/>
    <n v="112.25"/>
    <x v="447"/>
    <x v="0"/>
    <x v="4"/>
    <x v="4"/>
  </r>
  <r>
    <x v="201"/>
    <x v="4"/>
    <x v="1"/>
    <x v="447"/>
    <n v="592.14"/>
    <x v="448"/>
    <x v="1"/>
    <x v="7"/>
    <x v="5"/>
  </r>
  <r>
    <x v="201"/>
    <x v="0"/>
    <x v="3"/>
    <x v="448"/>
    <n v="16.87"/>
    <x v="449"/>
    <x v="0"/>
    <x v="4"/>
    <x v="5"/>
  </r>
  <r>
    <x v="202"/>
    <x v="3"/>
    <x v="5"/>
    <x v="449"/>
    <n v="222.36"/>
    <x v="450"/>
    <x v="1"/>
    <x v="5"/>
    <x v="5"/>
  </r>
  <r>
    <x v="202"/>
    <x v="2"/>
    <x v="1"/>
    <x v="450"/>
    <n v="563.05999999999995"/>
    <x v="451"/>
    <x v="4"/>
    <x v="10"/>
    <x v="1"/>
  </r>
  <r>
    <x v="203"/>
    <x v="2"/>
    <x v="5"/>
    <x v="451"/>
    <n v="358.84"/>
    <x v="452"/>
    <x v="2"/>
    <x v="5"/>
    <x v="0"/>
  </r>
  <r>
    <x v="204"/>
    <x v="0"/>
    <x v="5"/>
    <x v="452"/>
    <n v="164.02"/>
    <x v="453"/>
    <x v="1"/>
    <x v="7"/>
    <x v="5"/>
  </r>
  <r>
    <x v="205"/>
    <x v="0"/>
    <x v="1"/>
    <x v="453"/>
    <n v="500.83"/>
    <x v="454"/>
    <x v="4"/>
    <x v="12"/>
    <x v="1"/>
  </r>
  <r>
    <x v="206"/>
    <x v="4"/>
    <x v="4"/>
    <x v="454"/>
    <n v="69.27"/>
    <x v="455"/>
    <x v="3"/>
    <x v="13"/>
    <x v="1"/>
  </r>
  <r>
    <x v="206"/>
    <x v="1"/>
    <x v="5"/>
    <x v="455"/>
    <n v="89.49"/>
    <x v="456"/>
    <x v="3"/>
    <x v="11"/>
    <x v="4"/>
  </r>
  <r>
    <x v="206"/>
    <x v="4"/>
    <x v="2"/>
    <x v="456"/>
    <n v="109.59"/>
    <x v="457"/>
    <x v="2"/>
    <x v="3"/>
    <x v="1"/>
  </r>
  <r>
    <x v="207"/>
    <x v="3"/>
    <x v="4"/>
    <x v="457"/>
    <n v="25.16"/>
    <x v="458"/>
    <x v="1"/>
    <x v="9"/>
    <x v="0"/>
  </r>
  <r>
    <x v="207"/>
    <x v="1"/>
    <x v="6"/>
    <x v="458"/>
    <n v="22.3"/>
    <x v="459"/>
    <x v="2"/>
    <x v="8"/>
    <x v="0"/>
  </r>
  <r>
    <x v="208"/>
    <x v="4"/>
    <x v="6"/>
    <x v="459"/>
    <n v="64.599999999999994"/>
    <x v="460"/>
    <x v="3"/>
    <x v="0"/>
    <x v="5"/>
  </r>
  <r>
    <x v="208"/>
    <x v="2"/>
    <x v="5"/>
    <x v="460"/>
    <n v="329.28"/>
    <x v="461"/>
    <x v="1"/>
    <x v="5"/>
    <x v="2"/>
  </r>
  <r>
    <x v="208"/>
    <x v="3"/>
    <x v="4"/>
    <x v="461"/>
    <n v="29.61"/>
    <x v="462"/>
    <x v="3"/>
    <x v="7"/>
    <x v="2"/>
  </r>
  <r>
    <x v="209"/>
    <x v="3"/>
    <x v="4"/>
    <x v="462"/>
    <n v="94.89"/>
    <x v="463"/>
    <x v="4"/>
    <x v="2"/>
    <x v="2"/>
  </r>
  <r>
    <x v="209"/>
    <x v="4"/>
    <x v="1"/>
    <x v="463"/>
    <n v="469.84"/>
    <x v="464"/>
    <x v="1"/>
    <x v="14"/>
    <x v="4"/>
  </r>
  <r>
    <x v="209"/>
    <x v="0"/>
    <x v="3"/>
    <x v="464"/>
    <n v="4.13"/>
    <x v="465"/>
    <x v="3"/>
    <x v="13"/>
    <x v="3"/>
  </r>
  <r>
    <x v="209"/>
    <x v="2"/>
    <x v="2"/>
    <x v="465"/>
    <n v="102.72"/>
    <x v="466"/>
    <x v="2"/>
    <x v="12"/>
    <x v="0"/>
  </r>
  <r>
    <x v="210"/>
    <x v="4"/>
    <x v="1"/>
    <x v="466"/>
    <n v="684.86"/>
    <x v="467"/>
    <x v="0"/>
    <x v="12"/>
    <x v="1"/>
  </r>
  <r>
    <x v="210"/>
    <x v="1"/>
    <x v="2"/>
    <x v="467"/>
    <n v="12.52"/>
    <x v="468"/>
    <x v="0"/>
    <x v="12"/>
    <x v="1"/>
  </r>
  <r>
    <x v="211"/>
    <x v="0"/>
    <x v="4"/>
    <x v="468"/>
    <n v="155.88"/>
    <x v="469"/>
    <x v="3"/>
    <x v="0"/>
    <x v="5"/>
  </r>
  <r>
    <x v="211"/>
    <x v="3"/>
    <x v="1"/>
    <x v="469"/>
    <n v="833.21"/>
    <x v="470"/>
    <x v="2"/>
    <x v="4"/>
    <x v="2"/>
  </r>
  <r>
    <x v="211"/>
    <x v="1"/>
    <x v="6"/>
    <x v="470"/>
    <n v="47.63"/>
    <x v="471"/>
    <x v="4"/>
    <x v="7"/>
    <x v="5"/>
  </r>
  <r>
    <x v="211"/>
    <x v="4"/>
    <x v="4"/>
    <x v="471"/>
    <n v="122.23"/>
    <x v="472"/>
    <x v="1"/>
    <x v="3"/>
    <x v="4"/>
  </r>
  <r>
    <x v="212"/>
    <x v="1"/>
    <x v="4"/>
    <x v="472"/>
    <n v="26.13"/>
    <x v="473"/>
    <x v="4"/>
    <x v="7"/>
    <x v="2"/>
  </r>
  <r>
    <x v="213"/>
    <x v="1"/>
    <x v="5"/>
    <x v="473"/>
    <n v="288.13"/>
    <x v="474"/>
    <x v="4"/>
    <x v="7"/>
    <x v="1"/>
  </r>
  <r>
    <x v="213"/>
    <x v="3"/>
    <x v="5"/>
    <x v="474"/>
    <n v="114.86"/>
    <x v="475"/>
    <x v="3"/>
    <x v="13"/>
    <x v="4"/>
  </r>
  <r>
    <x v="214"/>
    <x v="4"/>
    <x v="6"/>
    <x v="475"/>
    <n v="51.96"/>
    <x v="476"/>
    <x v="2"/>
    <x v="0"/>
    <x v="4"/>
  </r>
  <r>
    <x v="215"/>
    <x v="2"/>
    <x v="5"/>
    <x v="476"/>
    <n v="169.52"/>
    <x v="477"/>
    <x v="0"/>
    <x v="8"/>
    <x v="1"/>
  </r>
  <r>
    <x v="216"/>
    <x v="0"/>
    <x v="0"/>
    <x v="477"/>
    <n v="415.81"/>
    <x v="478"/>
    <x v="1"/>
    <x v="7"/>
    <x v="0"/>
  </r>
  <r>
    <x v="216"/>
    <x v="4"/>
    <x v="6"/>
    <x v="478"/>
    <n v="29.37"/>
    <x v="479"/>
    <x v="1"/>
    <x v="13"/>
    <x v="2"/>
  </r>
  <r>
    <x v="216"/>
    <x v="4"/>
    <x v="0"/>
    <x v="479"/>
    <n v="29.21"/>
    <x v="480"/>
    <x v="3"/>
    <x v="8"/>
    <x v="4"/>
  </r>
  <r>
    <x v="217"/>
    <x v="3"/>
    <x v="3"/>
    <x v="480"/>
    <n v="22.69"/>
    <x v="481"/>
    <x v="0"/>
    <x v="9"/>
    <x v="0"/>
  </r>
  <r>
    <x v="217"/>
    <x v="3"/>
    <x v="1"/>
    <x v="481"/>
    <n v="384.72"/>
    <x v="482"/>
    <x v="3"/>
    <x v="8"/>
    <x v="3"/>
  </r>
  <r>
    <x v="217"/>
    <x v="3"/>
    <x v="3"/>
    <x v="482"/>
    <n v="53.63"/>
    <x v="483"/>
    <x v="4"/>
    <x v="13"/>
    <x v="2"/>
  </r>
  <r>
    <x v="217"/>
    <x v="0"/>
    <x v="2"/>
    <x v="483"/>
    <n v="113.87"/>
    <x v="484"/>
    <x v="1"/>
    <x v="10"/>
    <x v="3"/>
  </r>
  <r>
    <x v="217"/>
    <x v="3"/>
    <x v="5"/>
    <x v="484"/>
    <n v="238.33"/>
    <x v="485"/>
    <x v="1"/>
    <x v="12"/>
    <x v="0"/>
  </r>
  <r>
    <x v="218"/>
    <x v="0"/>
    <x v="6"/>
    <x v="485"/>
    <n v="17.59"/>
    <x v="486"/>
    <x v="2"/>
    <x v="13"/>
    <x v="1"/>
  </r>
  <r>
    <x v="218"/>
    <x v="2"/>
    <x v="1"/>
    <x v="486"/>
    <n v="388.48"/>
    <x v="487"/>
    <x v="1"/>
    <x v="10"/>
    <x v="0"/>
  </r>
  <r>
    <x v="219"/>
    <x v="3"/>
    <x v="5"/>
    <x v="487"/>
    <n v="176.91"/>
    <x v="488"/>
    <x v="4"/>
    <x v="4"/>
    <x v="0"/>
  </r>
  <r>
    <x v="219"/>
    <x v="3"/>
    <x v="3"/>
    <x v="488"/>
    <n v="33.619999999999997"/>
    <x v="489"/>
    <x v="4"/>
    <x v="13"/>
    <x v="2"/>
  </r>
  <r>
    <x v="219"/>
    <x v="3"/>
    <x v="1"/>
    <x v="489"/>
    <n v="136.96"/>
    <x v="490"/>
    <x v="4"/>
    <x v="0"/>
    <x v="0"/>
  </r>
  <r>
    <x v="219"/>
    <x v="0"/>
    <x v="0"/>
    <x v="490"/>
    <n v="146.11000000000001"/>
    <x v="491"/>
    <x v="4"/>
    <x v="11"/>
    <x v="4"/>
  </r>
  <r>
    <x v="220"/>
    <x v="1"/>
    <x v="3"/>
    <x v="491"/>
    <n v="41.1"/>
    <x v="492"/>
    <x v="3"/>
    <x v="6"/>
    <x v="0"/>
  </r>
  <r>
    <x v="220"/>
    <x v="2"/>
    <x v="0"/>
    <x v="492"/>
    <n v="31.85"/>
    <x v="493"/>
    <x v="1"/>
    <x v="4"/>
    <x v="3"/>
  </r>
  <r>
    <x v="221"/>
    <x v="0"/>
    <x v="5"/>
    <x v="493"/>
    <n v="349.87"/>
    <x v="494"/>
    <x v="0"/>
    <x v="9"/>
    <x v="3"/>
  </r>
  <r>
    <x v="222"/>
    <x v="0"/>
    <x v="4"/>
    <x v="494"/>
    <n v="25.93"/>
    <x v="495"/>
    <x v="1"/>
    <x v="13"/>
    <x v="4"/>
  </r>
  <r>
    <x v="222"/>
    <x v="3"/>
    <x v="4"/>
    <x v="495"/>
    <n v="170.26"/>
    <x v="496"/>
    <x v="0"/>
    <x v="8"/>
    <x v="4"/>
  </r>
  <r>
    <x v="223"/>
    <x v="1"/>
    <x v="1"/>
    <x v="496"/>
    <n v="378.96"/>
    <x v="497"/>
    <x v="4"/>
    <x v="7"/>
    <x v="3"/>
  </r>
  <r>
    <x v="224"/>
    <x v="1"/>
    <x v="2"/>
    <x v="497"/>
    <n v="195.21"/>
    <x v="498"/>
    <x v="0"/>
    <x v="6"/>
    <x v="4"/>
  </r>
  <r>
    <x v="224"/>
    <x v="4"/>
    <x v="0"/>
    <x v="498"/>
    <n v="622.80999999999995"/>
    <x v="499"/>
    <x v="2"/>
    <x v="2"/>
    <x v="4"/>
  </r>
  <r>
    <x v="224"/>
    <x v="0"/>
    <x v="1"/>
    <x v="499"/>
    <n v="407.22"/>
    <x v="500"/>
    <x v="0"/>
    <x v="14"/>
    <x v="0"/>
  </r>
  <r>
    <x v="225"/>
    <x v="1"/>
    <x v="6"/>
    <x v="500"/>
    <n v="42.38"/>
    <x v="501"/>
    <x v="4"/>
    <x v="8"/>
    <x v="0"/>
  </r>
  <r>
    <x v="226"/>
    <x v="3"/>
    <x v="4"/>
    <x v="501"/>
    <n v="87.84"/>
    <x v="502"/>
    <x v="1"/>
    <x v="12"/>
    <x v="5"/>
  </r>
  <r>
    <x v="226"/>
    <x v="2"/>
    <x v="0"/>
    <x v="502"/>
    <n v="115.16"/>
    <x v="503"/>
    <x v="2"/>
    <x v="8"/>
    <x v="2"/>
  </r>
  <r>
    <x v="226"/>
    <x v="2"/>
    <x v="4"/>
    <x v="503"/>
    <n v="222.36"/>
    <x v="504"/>
    <x v="4"/>
    <x v="12"/>
    <x v="1"/>
  </r>
  <r>
    <x v="226"/>
    <x v="2"/>
    <x v="4"/>
    <x v="504"/>
    <n v="50.25"/>
    <x v="505"/>
    <x v="0"/>
    <x v="6"/>
    <x v="4"/>
  </r>
  <r>
    <x v="227"/>
    <x v="1"/>
    <x v="4"/>
    <x v="505"/>
    <n v="252.13"/>
    <x v="506"/>
    <x v="4"/>
    <x v="8"/>
    <x v="5"/>
  </r>
  <r>
    <x v="228"/>
    <x v="3"/>
    <x v="3"/>
    <x v="506"/>
    <n v="19.82"/>
    <x v="507"/>
    <x v="0"/>
    <x v="11"/>
    <x v="4"/>
  </r>
  <r>
    <x v="228"/>
    <x v="4"/>
    <x v="4"/>
    <x v="507"/>
    <n v="309.58999999999997"/>
    <x v="508"/>
    <x v="3"/>
    <x v="1"/>
    <x v="3"/>
  </r>
  <r>
    <x v="228"/>
    <x v="3"/>
    <x v="5"/>
    <x v="508"/>
    <n v="302.24"/>
    <x v="509"/>
    <x v="3"/>
    <x v="8"/>
    <x v="5"/>
  </r>
  <r>
    <x v="229"/>
    <x v="0"/>
    <x v="3"/>
    <x v="509"/>
    <n v="25.39"/>
    <x v="510"/>
    <x v="4"/>
    <x v="13"/>
    <x v="5"/>
  </r>
  <r>
    <x v="230"/>
    <x v="2"/>
    <x v="6"/>
    <x v="510"/>
    <n v="43.36"/>
    <x v="511"/>
    <x v="1"/>
    <x v="12"/>
    <x v="1"/>
  </r>
  <r>
    <x v="230"/>
    <x v="2"/>
    <x v="4"/>
    <x v="511"/>
    <n v="257.47000000000003"/>
    <x v="512"/>
    <x v="2"/>
    <x v="12"/>
    <x v="3"/>
  </r>
  <r>
    <x v="231"/>
    <x v="1"/>
    <x v="1"/>
    <x v="512"/>
    <n v="475.74"/>
    <x v="513"/>
    <x v="2"/>
    <x v="12"/>
    <x v="1"/>
  </r>
  <r>
    <x v="231"/>
    <x v="4"/>
    <x v="6"/>
    <x v="513"/>
    <n v="28.7"/>
    <x v="514"/>
    <x v="1"/>
    <x v="5"/>
    <x v="1"/>
  </r>
  <r>
    <x v="231"/>
    <x v="0"/>
    <x v="2"/>
    <x v="514"/>
    <n v="81.760000000000005"/>
    <x v="515"/>
    <x v="3"/>
    <x v="3"/>
    <x v="1"/>
  </r>
  <r>
    <x v="231"/>
    <x v="1"/>
    <x v="5"/>
    <x v="515"/>
    <n v="418.23"/>
    <x v="516"/>
    <x v="2"/>
    <x v="3"/>
    <x v="2"/>
  </r>
  <r>
    <x v="231"/>
    <x v="4"/>
    <x v="4"/>
    <x v="516"/>
    <n v="137.69999999999999"/>
    <x v="517"/>
    <x v="0"/>
    <x v="0"/>
    <x v="2"/>
  </r>
  <r>
    <x v="232"/>
    <x v="2"/>
    <x v="2"/>
    <x v="517"/>
    <n v="100.3"/>
    <x v="518"/>
    <x v="4"/>
    <x v="3"/>
    <x v="0"/>
  </r>
  <r>
    <x v="233"/>
    <x v="2"/>
    <x v="0"/>
    <x v="518"/>
    <n v="341.78"/>
    <x v="519"/>
    <x v="1"/>
    <x v="10"/>
    <x v="2"/>
  </r>
  <r>
    <x v="233"/>
    <x v="1"/>
    <x v="1"/>
    <x v="519"/>
    <n v="864.41"/>
    <x v="520"/>
    <x v="2"/>
    <x v="12"/>
    <x v="3"/>
  </r>
  <r>
    <x v="234"/>
    <x v="1"/>
    <x v="2"/>
    <x v="520"/>
    <n v="31.82"/>
    <x v="521"/>
    <x v="4"/>
    <x v="13"/>
    <x v="1"/>
  </r>
  <r>
    <x v="234"/>
    <x v="4"/>
    <x v="2"/>
    <x v="521"/>
    <n v="77.72"/>
    <x v="522"/>
    <x v="0"/>
    <x v="0"/>
    <x v="1"/>
  </r>
  <r>
    <x v="234"/>
    <x v="0"/>
    <x v="3"/>
    <x v="522"/>
    <n v="37.06"/>
    <x v="523"/>
    <x v="1"/>
    <x v="5"/>
    <x v="3"/>
  </r>
  <r>
    <x v="235"/>
    <x v="1"/>
    <x v="2"/>
    <x v="523"/>
    <n v="45.48"/>
    <x v="524"/>
    <x v="3"/>
    <x v="9"/>
    <x v="4"/>
  </r>
  <r>
    <x v="236"/>
    <x v="1"/>
    <x v="1"/>
    <x v="524"/>
    <n v="643.23"/>
    <x v="525"/>
    <x v="1"/>
    <x v="2"/>
    <x v="0"/>
  </r>
  <r>
    <x v="237"/>
    <x v="3"/>
    <x v="6"/>
    <x v="525"/>
    <n v="28.49"/>
    <x v="526"/>
    <x v="4"/>
    <x v="4"/>
    <x v="1"/>
  </r>
  <r>
    <x v="237"/>
    <x v="3"/>
    <x v="4"/>
    <x v="526"/>
    <n v="145.93"/>
    <x v="527"/>
    <x v="1"/>
    <x v="3"/>
    <x v="0"/>
  </r>
  <r>
    <x v="238"/>
    <x v="2"/>
    <x v="1"/>
    <x v="527"/>
    <n v="442.37"/>
    <x v="528"/>
    <x v="0"/>
    <x v="14"/>
    <x v="3"/>
  </r>
  <r>
    <x v="238"/>
    <x v="4"/>
    <x v="6"/>
    <x v="528"/>
    <n v="47.24"/>
    <x v="529"/>
    <x v="2"/>
    <x v="1"/>
    <x v="0"/>
  </r>
  <r>
    <x v="238"/>
    <x v="4"/>
    <x v="4"/>
    <x v="529"/>
    <n v="139.30000000000001"/>
    <x v="530"/>
    <x v="3"/>
    <x v="2"/>
    <x v="2"/>
  </r>
  <r>
    <x v="238"/>
    <x v="2"/>
    <x v="4"/>
    <x v="530"/>
    <n v="393.86"/>
    <x v="531"/>
    <x v="4"/>
    <x v="0"/>
    <x v="3"/>
  </r>
  <r>
    <x v="239"/>
    <x v="4"/>
    <x v="2"/>
    <x v="531"/>
    <n v="120.05"/>
    <x v="532"/>
    <x v="3"/>
    <x v="13"/>
    <x v="1"/>
  </r>
  <r>
    <x v="239"/>
    <x v="3"/>
    <x v="1"/>
    <x v="532"/>
    <n v="53.02"/>
    <x v="533"/>
    <x v="1"/>
    <x v="13"/>
    <x v="2"/>
  </r>
  <r>
    <x v="239"/>
    <x v="3"/>
    <x v="2"/>
    <x v="533"/>
    <n v="30.82"/>
    <x v="534"/>
    <x v="2"/>
    <x v="13"/>
    <x v="0"/>
  </r>
  <r>
    <x v="239"/>
    <x v="1"/>
    <x v="2"/>
    <x v="534"/>
    <n v="83.19"/>
    <x v="535"/>
    <x v="4"/>
    <x v="0"/>
    <x v="4"/>
  </r>
  <r>
    <x v="240"/>
    <x v="3"/>
    <x v="3"/>
    <x v="535"/>
    <n v="42.04"/>
    <x v="536"/>
    <x v="2"/>
    <x v="3"/>
    <x v="1"/>
  </r>
  <r>
    <x v="241"/>
    <x v="2"/>
    <x v="6"/>
    <x v="536"/>
    <n v="30.74"/>
    <x v="537"/>
    <x v="0"/>
    <x v="13"/>
    <x v="2"/>
  </r>
  <r>
    <x v="241"/>
    <x v="0"/>
    <x v="4"/>
    <x v="537"/>
    <n v="102.28"/>
    <x v="538"/>
    <x v="1"/>
    <x v="7"/>
    <x v="5"/>
  </r>
  <r>
    <x v="241"/>
    <x v="3"/>
    <x v="3"/>
    <x v="538"/>
    <n v="7.03"/>
    <x v="539"/>
    <x v="0"/>
    <x v="12"/>
    <x v="0"/>
  </r>
  <r>
    <x v="241"/>
    <x v="0"/>
    <x v="0"/>
    <x v="539"/>
    <n v="245.22"/>
    <x v="540"/>
    <x v="4"/>
    <x v="3"/>
    <x v="3"/>
  </r>
  <r>
    <x v="242"/>
    <x v="1"/>
    <x v="3"/>
    <x v="540"/>
    <n v="40.92"/>
    <x v="541"/>
    <x v="0"/>
    <x v="4"/>
    <x v="3"/>
  </r>
  <r>
    <x v="242"/>
    <x v="4"/>
    <x v="4"/>
    <x v="541"/>
    <n v="85.92"/>
    <x v="542"/>
    <x v="2"/>
    <x v="11"/>
    <x v="1"/>
  </r>
  <r>
    <x v="243"/>
    <x v="0"/>
    <x v="3"/>
    <x v="542"/>
    <n v="22.55"/>
    <x v="543"/>
    <x v="3"/>
    <x v="2"/>
    <x v="5"/>
  </r>
  <r>
    <x v="244"/>
    <x v="1"/>
    <x v="5"/>
    <x v="543"/>
    <n v="51.35"/>
    <x v="544"/>
    <x v="3"/>
    <x v="7"/>
    <x v="4"/>
  </r>
  <r>
    <x v="244"/>
    <x v="1"/>
    <x v="2"/>
    <x v="544"/>
    <n v="92.78"/>
    <x v="545"/>
    <x v="4"/>
    <x v="3"/>
    <x v="3"/>
  </r>
  <r>
    <x v="245"/>
    <x v="2"/>
    <x v="1"/>
    <x v="545"/>
    <n v="316.85000000000002"/>
    <x v="546"/>
    <x v="3"/>
    <x v="8"/>
    <x v="5"/>
  </r>
  <r>
    <x v="245"/>
    <x v="1"/>
    <x v="4"/>
    <x v="546"/>
    <n v="204.78"/>
    <x v="547"/>
    <x v="4"/>
    <x v="4"/>
    <x v="1"/>
  </r>
  <r>
    <x v="245"/>
    <x v="2"/>
    <x v="4"/>
    <x v="547"/>
    <n v="218.3"/>
    <x v="548"/>
    <x v="3"/>
    <x v="7"/>
    <x v="3"/>
  </r>
  <r>
    <x v="245"/>
    <x v="1"/>
    <x v="6"/>
    <x v="548"/>
    <n v="5.34"/>
    <x v="549"/>
    <x v="2"/>
    <x v="4"/>
    <x v="1"/>
  </r>
  <r>
    <x v="245"/>
    <x v="1"/>
    <x v="0"/>
    <x v="549"/>
    <n v="455.07"/>
    <x v="547"/>
    <x v="2"/>
    <x v="3"/>
    <x v="4"/>
  </r>
  <r>
    <x v="245"/>
    <x v="1"/>
    <x v="6"/>
    <x v="550"/>
    <n v="57.38"/>
    <x v="550"/>
    <x v="0"/>
    <x v="9"/>
    <x v="4"/>
  </r>
  <r>
    <x v="246"/>
    <x v="0"/>
    <x v="1"/>
    <x v="551"/>
    <n v="189.98"/>
    <x v="551"/>
    <x v="4"/>
    <x v="5"/>
    <x v="1"/>
  </r>
  <r>
    <x v="247"/>
    <x v="1"/>
    <x v="3"/>
    <x v="552"/>
    <n v="26.84"/>
    <x v="552"/>
    <x v="2"/>
    <x v="8"/>
    <x v="5"/>
  </r>
  <r>
    <x v="247"/>
    <x v="4"/>
    <x v="5"/>
    <x v="553"/>
    <n v="334.23"/>
    <x v="553"/>
    <x v="2"/>
    <x v="7"/>
    <x v="5"/>
  </r>
  <r>
    <x v="248"/>
    <x v="0"/>
    <x v="2"/>
    <x v="554"/>
    <n v="114.17"/>
    <x v="554"/>
    <x v="4"/>
    <x v="2"/>
    <x v="2"/>
  </r>
  <r>
    <x v="248"/>
    <x v="1"/>
    <x v="2"/>
    <x v="555"/>
    <n v="36.53"/>
    <x v="555"/>
    <x v="0"/>
    <x v="9"/>
    <x v="1"/>
  </r>
  <r>
    <x v="249"/>
    <x v="2"/>
    <x v="4"/>
    <x v="556"/>
    <n v="221.7"/>
    <x v="556"/>
    <x v="1"/>
    <x v="5"/>
    <x v="3"/>
  </r>
  <r>
    <x v="250"/>
    <x v="0"/>
    <x v="3"/>
    <x v="557"/>
    <n v="26.4"/>
    <x v="557"/>
    <x v="4"/>
    <x v="6"/>
    <x v="3"/>
  </r>
  <r>
    <x v="250"/>
    <x v="4"/>
    <x v="5"/>
    <x v="558"/>
    <n v="156.55000000000001"/>
    <x v="558"/>
    <x v="3"/>
    <x v="12"/>
    <x v="2"/>
  </r>
  <r>
    <x v="250"/>
    <x v="3"/>
    <x v="2"/>
    <x v="559"/>
    <n v="38.47"/>
    <x v="559"/>
    <x v="4"/>
    <x v="10"/>
    <x v="3"/>
  </r>
  <r>
    <x v="251"/>
    <x v="2"/>
    <x v="0"/>
    <x v="560"/>
    <n v="688.69"/>
    <x v="560"/>
    <x v="1"/>
    <x v="6"/>
    <x v="3"/>
  </r>
  <r>
    <x v="252"/>
    <x v="0"/>
    <x v="3"/>
    <x v="561"/>
    <n v="18.98"/>
    <x v="561"/>
    <x v="2"/>
    <x v="14"/>
    <x v="3"/>
  </r>
  <r>
    <x v="252"/>
    <x v="1"/>
    <x v="6"/>
    <x v="562"/>
    <n v="42.96"/>
    <x v="562"/>
    <x v="0"/>
    <x v="13"/>
    <x v="4"/>
  </r>
  <r>
    <x v="252"/>
    <x v="1"/>
    <x v="4"/>
    <x v="563"/>
    <n v="87.86"/>
    <x v="563"/>
    <x v="0"/>
    <x v="3"/>
    <x v="2"/>
  </r>
  <r>
    <x v="253"/>
    <x v="2"/>
    <x v="2"/>
    <x v="564"/>
    <n v="182.58"/>
    <x v="564"/>
    <x v="2"/>
    <x v="6"/>
    <x v="5"/>
  </r>
  <r>
    <x v="254"/>
    <x v="0"/>
    <x v="6"/>
    <x v="565"/>
    <n v="59.14"/>
    <x v="565"/>
    <x v="4"/>
    <x v="2"/>
    <x v="4"/>
  </r>
  <r>
    <x v="255"/>
    <x v="3"/>
    <x v="0"/>
    <x v="566"/>
    <n v="804.62"/>
    <x v="566"/>
    <x v="4"/>
    <x v="10"/>
    <x v="2"/>
  </r>
  <r>
    <x v="255"/>
    <x v="4"/>
    <x v="5"/>
    <x v="567"/>
    <n v="98"/>
    <x v="567"/>
    <x v="2"/>
    <x v="1"/>
    <x v="3"/>
  </r>
  <r>
    <x v="255"/>
    <x v="4"/>
    <x v="5"/>
    <x v="568"/>
    <n v="374.67"/>
    <x v="568"/>
    <x v="0"/>
    <x v="14"/>
    <x v="5"/>
  </r>
  <r>
    <x v="256"/>
    <x v="0"/>
    <x v="5"/>
    <x v="569"/>
    <n v="124.71"/>
    <x v="569"/>
    <x v="3"/>
    <x v="14"/>
    <x v="1"/>
  </r>
  <r>
    <x v="256"/>
    <x v="0"/>
    <x v="5"/>
    <x v="570"/>
    <n v="232.79"/>
    <x v="570"/>
    <x v="2"/>
    <x v="6"/>
    <x v="2"/>
  </r>
  <r>
    <x v="256"/>
    <x v="3"/>
    <x v="1"/>
    <x v="571"/>
    <n v="307.56"/>
    <x v="571"/>
    <x v="4"/>
    <x v="9"/>
    <x v="2"/>
  </r>
  <r>
    <x v="257"/>
    <x v="1"/>
    <x v="1"/>
    <x v="572"/>
    <n v="463.43"/>
    <x v="572"/>
    <x v="4"/>
    <x v="0"/>
    <x v="5"/>
  </r>
  <r>
    <x v="257"/>
    <x v="3"/>
    <x v="5"/>
    <x v="573"/>
    <n v="129.16"/>
    <x v="573"/>
    <x v="3"/>
    <x v="5"/>
    <x v="2"/>
  </r>
  <r>
    <x v="258"/>
    <x v="4"/>
    <x v="3"/>
    <x v="574"/>
    <n v="28.1"/>
    <x v="574"/>
    <x v="3"/>
    <x v="5"/>
    <x v="2"/>
  </r>
  <r>
    <x v="258"/>
    <x v="2"/>
    <x v="2"/>
    <x v="575"/>
    <n v="37.43"/>
    <x v="575"/>
    <x v="1"/>
    <x v="14"/>
    <x v="2"/>
  </r>
  <r>
    <x v="258"/>
    <x v="1"/>
    <x v="5"/>
    <x v="576"/>
    <n v="336.35"/>
    <x v="576"/>
    <x v="1"/>
    <x v="2"/>
    <x v="2"/>
  </r>
  <r>
    <x v="259"/>
    <x v="3"/>
    <x v="5"/>
    <x v="577"/>
    <n v="342.28"/>
    <x v="577"/>
    <x v="2"/>
    <x v="5"/>
    <x v="3"/>
  </r>
  <r>
    <x v="259"/>
    <x v="1"/>
    <x v="4"/>
    <x v="578"/>
    <n v="161.94999999999999"/>
    <x v="578"/>
    <x v="4"/>
    <x v="2"/>
    <x v="5"/>
  </r>
  <r>
    <x v="260"/>
    <x v="2"/>
    <x v="5"/>
    <x v="579"/>
    <n v="321.3"/>
    <x v="579"/>
    <x v="1"/>
    <x v="3"/>
    <x v="1"/>
  </r>
  <r>
    <x v="260"/>
    <x v="4"/>
    <x v="5"/>
    <x v="580"/>
    <n v="535.5"/>
    <x v="580"/>
    <x v="2"/>
    <x v="11"/>
    <x v="1"/>
  </r>
  <r>
    <x v="261"/>
    <x v="1"/>
    <x v="2"/>
    <x v="581"/>
    <n v="19.3"/>
    <x v="581"/>
    <x v="1"/>
    <x v="10"/>
    <x v="4"/>
  </r>
  <r>
    <x v="261"/>
    <x v="2"/>
    <x v="5"/>
    <x v="582"/>
    <n v="256.8"/>
    <x v="582"/>
    <x v="4"/>
    <x v="9"/>
    <x v="1"/>
  </r>
  <r>
    <x v="261"/>
    <x v="1"/>
    <x v="2"/>
    <x v="583"/>
    <n v="45.62"/>
    <x v="583"/>
    <x v="0"/>
    <x v="4"/>
    <x v="2"/>
  </r>
  <r>
    <x v="261"/>
    <x v="4"/>
    <x v="1"/>
    <x v="584"/>
    <n v="399.7"/>
    <x v="584"/>
    <x v="2"/>
    <x v="13"/>
    <x v="2"/>
  </r>
  <r>
    <x v="262"/>
    <x v="3"/>
    <x v="5"/>
    <x v="585"/>
    <n v="298.85000000000002"/>
    <x v="585"/>
    <x v="3"/>
    <x v="3"/>
    <x v="2"/>
  </r>
  <r>
    <x v="263"/>
    <x v="4"/>
    <x v="5"/>
    <x v="586"/>
    <n v="465.62"/>
    <x v="586"/>
    <x v="2"/>
    <x v="2"/>
    <x v="3"/>
  </r>
  <r>
    <x v="263"/>
    <x v="1"/>
    <x v="0"/>
    <x v="587"/>
    <n v="543.73"/>
    <x v="587"/>
    <x v="3"/>
    <x v="12"/>
    <x v="5"/>
  </r>
  <r>
    <x v="263"/>
    <x v="4"/>
    <x v="4"/>
    <x v="588"/>
    <n v="306.69"/>
    <x v="588"/>
    <x v="2"/>
    <x v="1"/>
    <x v="2"/>
  </r>
  <r>
    <x v="264"/>
    <x v="2"/>
    <x v="5"/>
    <x v="589"/>
    <n v="114.14"/>
    <x v="589"/>
    <x v="0"/>
    <x v="7"/>
    <x v="1"/>
  </r>
  <r>
    <x v="264"/>
    <x v="3"/>
    <x v="3"/>
    <x v="590"/>
    <n v="26.82"/>
    <x v="590"/>
    <x v="4"/>
    <x v="5"/>
    <x v="5"/>
  </r>
  <r>
    <x v="265"/>
    <x v="4"/>
    <x v="1"/>
    <x v="591"/>
    <n v="991.3"/>
    <x v="591"/>
    <x v="3"/>
    <x v="14"/>
    <x v="3"/>
  </r>
  <r>
    <x v="265"/>
    <x v="3"/>
    <x v="0"/>
    <x v="592"/>
    <n v="184.35"/>
    <x v="592"/>
    <x v="1"/>
    <x v="8"/>
    <x v="5"/>
  </r>
  <r>
    <x v="265"/>
    <x v="3"/>
    <x v="6"/>
    <x v="593"/>
    <n v="20.309999999999999"/>
    <x v="593"/>
    <x v="1"/>
    <x v="10"/>
    <x v="3"/>
  </r>
  <r>
    <x v="265"/>
    <x v="0"/>
    <x v="4"/>
    <x v="594"/>
    <n v="68.709999999999994"/>
    <x v="594"/>
    <x v="4"/>
    <x v="6"/>
    <x v="0"/>
  </r>
  <r>
    <x v="266"/>
    <x v="2"/>
    <x v="4"/>
    <x v="595"/>
    <n v="49.5"/>
    <x v="595"/>
    <x v="3"/>
    <x v="2"/>
    <x v="4"/>
  </r>
  <r>
    <x v="266"/>
    <x v="1"/>
    <x v="3"/>
    <x v="596"/>
    <n v="25.64"/>
    <x v="596"/>
    <x v="4"/>
    <x v="0"/>
    <x v="2"/>
  </r>
  <r>
    <x v="267"/>
    <x v="4"/>
    <x v="1"/>
    <x v="597"/>
    <n v="344.89"/>
    <x v="597"/>
    <x v="3"/>
    <x v="14"/>
    <x v="0"/>
  </r>
  <r>
    <x v="267"/>
    <x v="1"/>
    <x v="1"/>
    <x v="598"/>
    <n v="52.67"/>
    <x v="598"/>
    <x v="3"/>
    <x v="8"/>
    <x v="3"/>
  </r>
  <r>
    <x v="267"/>
    <x v="1"/>
    <x v="2"/>
    <x v="599"/>
    <n v="158.06"/>
    <x v="599"/>
    <x v="4"/>
    <x v="6"/>
    <x v="3"/>
  </r>
  <r>
    <x v="268"/>
    <x v="4"/>
    <x v="0"/>
    <x v="600"/>
    <n v="247.79"/>
    <x v="600"/>
    <x v="0"/>
    <x v="12"/>
    <x v="2"/>
  </r>
  <r>
    <x v="268"/>
    <x v="0"/>
    <x v="6"/>
    <x v="601"/>
    <n v="61.71"/>
    <x v="601"/>
    <x v="2"/>
    <x v="10"/>
    <x v="2"/>
  </r>
  <r>
    <x v="268"/>
    <x v="4"/>
    <x v="1"/>
    <x v="602"/>
    <n v="465.16"/>
    <x v="602"/>
    <x v="1"/>
    <x v="8"/>
    <x v="5"/>
  </r>
  <r>
    <x v="268"/>
    <x v="4"/>
    <x v="4"/>
    <x v="603"/>
    <n v="295.62"/>
    <x v="603"/>
    <x v="2"/>
    <x v="1"/>
    <x v="2"/>
  </r>
  <r>
    <x v="268"/>
    <x v="1"/>
    <x v="1"/>
    <x v="604"/>
    <n v="528.5"/>
    <x v="604"/>
    <x v="1"/>
    <x v="2"/>
    <x v="1"/>
  </r>
  <r>
    <x v="269"/>
    <x v="0"/>
    <x v="4"/>
    <x v="605"/>
    <n v="55.53"/>
    <x v="605"/>
    <x v="2"/>
    <x v="2"/>
    <x v="2"/>
  </r>
  <r>
    <x v="269"/>
    <x v="3"/>
    <x v="6"/>
    <x v="606"/>
    <n v="60.52"/>
    <x v="606"/>
    <x v="3"/>
    <x v="0"/>
    <x v="1"/>
  </r>
  <r>
    <x v="269"/>
    <x v="2"/>
    <x v="0"/>
    <x v="607"/>
    <n v="226.71"/>
    <x v="607"/>
    <x v="4"/>
    <x v="13"/>
    <x v="2"/>
  </r>
  <r>
    <x v="269"/>
    <x v="3"/>
    <x v="1"/>
    <x v="608"/>
    <n v="475.35"/>
    <x v="608"/>
    <x v="2"/>
    <x v="7"/>
    <x v="3"/>
  </r>
  <r>
    <x v="270"/>
    <x v="1"/>
    <x v="0"/>
    <x v="609"/>
    <n v="199.56"/>
    <x v="263"/>
    <x v="2"/>
    <x v="5"/>
    <x v="0"/>
  </r>
  <r>
    <x v="271"/>
    <x v="0"/>
    <x v="1"/>
    <x v="610"/>
    <n v="376.28"/>
    <x v="609"/>
    <x v="2"/>
    <x v="3"/>
    <x v="5"/>
  </r>
  <r>
    <x v="272"/>
    <x v="3"/>
    <x v="6"/>
    <x v="611"/>
    <n v="51.42"/>
    <x v="610"/>
    <x v="2"/>
    <x v="9"/>
    <x v="2"/>
  </r>
  <r>
    <x v="272"/>
    <x v="2"/>
    <x v="0"/>
    <x v="612"/>
    <n v="395.85"/>
    <x v="611"/>
    <x v="4"/>
    <x v="14"/>
    <x v="1"/>
  </r>
  <r>
    <x v="272"/>
    <x v="3"/>
    <x v="1"/>
    <x v="613"/>
    <n v="1101.1199999999999"/>
    <x v="612"/>
    <x v="0"/>
    <x v="9"/>
    <x v="4"/>
  </r>
  <r>
    <x v="272"/>
    <x v="0"/>
    <x v="2"/>
    <x v="614"/>
    <n v="54.02"/>
    <x v="613"/>
    <x v="1"/>
    <x v="13"/>
    <x v="2"/>
  </r>
  <r>
    <x v="273"/>
    <x v="2"/>
    <x v="3"/>
    <x v="615"/>
    <n v="46.09"/>
    <x v="614"/>
    <x v="2"/>
    <x v="5"/>
    <x v="5"/>
  </r>
  <r>
    <x v="274"/>
    <x v="4"/>
    <x v="2"/>
    <x v="616"/>
    <n v="6.29"/>
    <x v="615"/>
    <x v="2"/>
    <x v="10"/>
    <x v="3"/>
  </r>
  <r>
    <x v="274"/>
    <x v="2"/>
    <x v="5"/>
    <x v="617"/>
    <n v="191.36"/>
    <x v="616"/>
    <x v="4"/>
    <x v="14"/>
    <x v="5"/>
  </r>
  <r>
    <x v="274"/>
    <x v="0"/>
    <x v="3"/>
    <x v="618"/>
    <n v="29.66"/>
    <x v="617"/>
    <x v="2"/>
    <x v="12"/>
    <x v="0"/>
  </r>
  <r>
    <x v="274"/>
    <x v="3"/>
    <x v="0"/>
    <x v="619"/>
    <n v="128.04"/>
    <x v="618"/>
    <x v="0"/>
    <x v="1"/>
    <x v="0"/>
  </r>
  <r>
    <x v="275"/>
    <x v="4"/>
    <x v="4"/>
    <x v="620"/>
    <n v="333.71"/>
    <x v="619"/>
    <x v="3"/>
    <x v="5"/>
    <x v="1"/>
  </r>
  <r>
    <x v="276"/>
    <x v="2"/>
    <x v="1"/>
    <x v="621"/>
    <n v="973.08"/>
    <x v="620"/>
    <x v="1"/>
    <x v="1"/>
    <x v="0"/>
  </r>
  <r>
    <x v="276"/>
    <x v="4"/>
    <x v="2"/>
    <x v="622"/>
    <n v="22.46"/>
    <x v="621"/>
    <x v="3"/>
    <x v="5"/>
    <x v="2"/>
  </r>
  <r>
    <x v="276"/>
    <x v="2"/>
    <x v="6"/>
    <x v="623"/>
    <n v="14.63"/>
    <x v="622"/>
    <x v="4"/>
    <x v="1"/>
    <x v="0"/>
  </r>
  <r>
    <x v="276"/>
    <x v="1"/>
    <x v="0"/>
    <x v="624"/>
    <n v="157.1"/>
    <x v="623"/>
    <x v="3"/>
    <x v="11"/>
    <x v="1"/>
  </r>
  <r>
    <x v="277"/>
    <x v="1"/>
    <x v="6"/>
    <x v="625"/>
    <n v="67.709999999999994"/>
    <x v="624"/>
    <x v="0"/>
    <x v="6"/>
    <x v="3"/>
  </r>
  <r>
    <x v="277"/>
    <x v="2"/>
    <x v="3"/>
    <x v="626"/>
    <n v="44.52"/>
    <x v="625"/>
    <x v="2"/>
    <x v="8"/>
    <x v="0"/>
  </r>
  <r>
    <x v="277"/>
    <x v="1"/>
    <x v="5"/>
    <x v="627"/>
    <n v="371.03"/>
    <x v="626"/>
    <x v="1"/>
    <x v="11"/>
    <x v="5"/>
  </r>
  <r>
    <x v="278"/>
    <x v="1"/>
    <x v="3"/>
    <x v="628"/>
    <n v="10.5"/>
    <x v="627"/>
    <x v="1"/>
    <x v="7"/>
    <x v="5"/>
  </r>
  <r>
    <x v="278"/>
    <x v="2"/>
    <x v="3"/>
    <x v="629"/>
    <n v="5.16"/>
    <x v="628"/>
    <x v="3"/>
    <x v="10"/>
    <x v="5"/>
  </r>
  <r>
    <x v="278"/>
    <x v="2"/>
    <x v="0"/>
    <x v="630"/>
    <n v="387.45"/>
    <x v="629"/>
    <x v="0"/>
    <x v="6"/>
    <x v="1"/>
  </r>
  <r>
    <x v="279"/>
    <x v="2"/>
    <x v="0"/>
    <x v="631"/>
    <n v="202.59"/>
    <x v="630"/>
    <x v="1"/>
    <x v="11"/>
    <x v="0"/>
  </r>
  <r>
    <x v="280"/>
    <x v="4"/>
    <x v="3"/>
    <x v="632"/>
    <n v="34.450000000000003"/>
    <x v="631"/>
    <x v="4"/>
    <x v="9"/>
    <x v="1"/>
  </r>
  <r>
    <x v="280"/>
    <x v="1"/>
    <x v="5"/>
    <x v="633"/>
    <n v="308.12"/>
    <x v="632"/>
    <x v="0"/>
    <x v="5"/>
    <x v="1"/>
  </r>
  <r>
    <x v="281"/>
    <x v="2"/>
    <x v="0"/>
    <x v="634"/>
    <n v="174.57"/>
    <x v="633"/>
    <x v="3"/>
    <x v="2"/>
    <x v="5"/>
  </r>
  <r>
    <x v="281"/>
    <x v="1"/>
    <x v="6"/>
    <x v="635"/>
    <n v="38.22"/>
    <x v="634"/>
    <x v="3"/>
    <x v="0"/>
    <x v="1"/>
  </r>
  <r>
    <x v="281"/>
    <x v="4"/>
    <x v="4"/>
    <x v="636"/>
    <n v="195.54"/>
    <x v="635"/>
    <x v="0"/>
    <x v="8"/>
    <x v="3"/>
  </r>
  <r>
    <x v="282"/>
    <x v="2"/>
    <x v="2"/>
    <x v="637"/>
    <n v="45.35"/>
    <x v="636"/>
    <x v="4"/>
    <x v="8"/>
    <x v="4"/>
  </r>
  <r>
    <x v="283"/>
    <x v="4"/>
    <x v="2"/>
    <x v="638"/>
    <n v="20.91"/>
    <x v="637"/>
    <x v="0"/>
    <x v="6"/>
    <x v="2"/>
  </r>
  <r>
    <x v="284"/>
    <x v="3"/>
    <x v="6"/>
    <x v="639"/>
    <n v="61.79"/>
    <x v="638"/>
    <x v="3"/>
    <x v="11"/>
    <x v="0"/>
  </r>
  <r>
    <x v="285"/>
    <x v="3"/>
    <x v="2"/>
    <x v="640"/>
    <n v="41.82"/>
    <x v="639"/>
    <x v="2"/>
    <x v="11"/>
    <x v="2"/>
  </r>
  <r>
    <x v="285"/>
    <x v="4"/>
    <x v="6"/>
    <x v="641"/>
    <n v="109.11"/>
    <x v="640"/>
    <x v="4"/>
    <x v="13"/>
    <x v="1"/>
  </r>
  <r>
    <x v="285"/>
    <x v="2"/>
    <x v="6"/>
    <x v="642"/>
    <n v="48.21"/>
    <x v="641"/>
    <x v="4"/>
    <x v="1"/>
    <x v="1"/>
  </r>
  <r>
    <x v="286"/>
    <x v="1"/>
    <x v="4"/>
    <x v="643"/>
    <n v="204.61"/>
    <x v="642"/>
    <x v="1"/>
    <x v="6"/>
    <x v="0"/>
  </r>
  <r>
    <x v="287"/>
    <x v="3"/>
    <x v="6"/>
    <x v="644"/>
    <n v="50.77"/>
    <x v="643"/>
    <x v="3"/>
    <x v="1"/>
    <x v="3"/>
  </r>
  <r>
    <x v="287"/>
    <x v="3"/>
    <x v="3"/>
    <x v="645"/>
    <n v="19.25"/>
    <x v="644"/>
    <x v="1"/>
    <x v="10"/>
    <x v="5"/>
  </r>
  <r>
    <x v="288"/>
    <x v="4"/>
    <x v="2"/>
    <x v="646"/>
    <n v="67.739999999999995"/>
    <x v="645"/>
    <x v="4"/>
    <x v="14"/>
    <x v="2"/>
  </r>
  <r>
    <x v="288"/>
    <x v="0"/>
    <x v="0"/>
    <x v="647"/>
    <n v="490.6"/>
    <x v="646"/>
    <x v="0"/>
    <x v="6"/>
    <x v="2"/>
  </r>
  <r>
    <x v="288"/>
    <x v="0"/>
    <x v="2"/>
    <x v="648"/>
    <n v="182.82"/>
    <x v="647"/>
    <x v="0"/>
    <x v="8"/>
    <x v="3"/>
  </r>
  <r>
    <x v="289"/>
    <x v="4"/>
    <x v="1"/>
    <x v="649"/>
    <n v="416.03"/>
    <x v="648"/>
    <x v="1"/>
    <x v="0"/>
    <x v="2"/>
  </r>
  <r>
    <x v="289"/>
    <x v="0"/>
    <x v="3"/>
    <x v="650"/>
    <n v="23.55"/>
    <x v="649"/>
    <x v="2"/>
    <x v="7"/>
    <x v="0"/>
  </r>
  <r>
    <x v="289"/>
    <x v="3"/>
    <x v="1"/>
    <x v="651"/>
    <n v="840.35"/>
    <x v="650"/>
    <x v="4"/>
    <x v="0"/>
    <x v="4"/>
  </r>
  <r>
    <x v="290"/>
    <x v="0"/>
    <x v="3"/>
    <x v="652"/>
    <n v="41.32"/>
    <x v="651"/>
    <x v="1"/>
    <x v="13"/>
    <x v="4"/>
  </r>
  <r>
    <x v="291"/>
    <x v="4"/>
    <x v="2"/>
    <x v="653"/>
    <n v="71.819999999999993"/>
    <x v="652"/>
    <x v="0"/>
    <x v="13"/>
    <x v="3"/>
  </r>
  <r>
    <x v="292"/>
    <x v="2"/>
    <x v="0"/>
    <x v="654"/>
    <n v="264.11"/>
    <x v="653"/>
    <x v="3"/>
    <x v="2"/>
    <x v="1"/>
  </r>
  <r>
    <x v="292"/>
    <x v="0"/>
    <x v="3"/>
    <x v="655"/>
    <n v="32.76"/>
    <x v="654"/>
    <x v="3"/>
    <x v="8"/>
    <x v="4"/>
  </r>
  <r>
    <x v="292"/>
    <x v="4"/>
    <x v="5"/>
    <x v="656"/>
    <n v="224.36"/>
    <x v="655"/>
    <x v="2"/>
    <x v="11"/>
    <x v="3"/>
  </r>
  <r>
    <x v="293"/>
    <x v="1"/>
    <x v="1"/>
    <x v="657"/>
    <n v="1054.96"/>
    <x v="656"/>
    <x v="3"/>
    <x v="12"/>
    <x v="2"/>
  </r>
  <r>
    <x v="294"/>
    <x v="3"/>
    <x v="0"/>
    <x v="658"/>
    <n v="810.27"/>
    <x v="657"/>
    <x v="0"/>
    <x v="5"/>
    <x v="1"/>
  </r>
  <r>
    <x v="295"/>
    <x v="1"/>
    <x v="3"/>
    <x v="659"/>
    <n v="17.989999999999998"/>
    <x v="658"/>
    <x v="0"/>
    <x v="0"/>
    <x v="0"/>
  </r>
  <r>
    <x v="295"/>
    <x v="0"/>
    <x v="5"/>
    <x v="660"/>
    <n v="44.83"/>
    <x v="659"/>
    <x v="4"/>
    <x v="5"/>
    <x v="4"/>
  </r>
  <r>
    <x v="296"/>
    <x v="3"/>
    <x v="6"/>
    <x v="661"/>
    <n v="29.12"/>
    <x v="660"/>
    <x v="1"/>
    <x v="10"/>
    <x v="0"/>
  </r>
  <r>
    <x v="296"/>
    <x v="2"/>
    <x v="0"/>
    <x v="662"/>
    <n v="134.38"/>
    <x v="661"/>
    <x v="1"/>
    <x v="7"/>
    <x v="5"/>
  </r>
  <r>
    <x v="297"/>
    <x v="0"/>
    <x v="4"/>
    <x v="663"/>
    <n v="181.52"/>
    <x v="662"/>
    <x v="3"/>
    <x v="12"/>
    <x v="3"/>
  </r>
  <r>
    <x v="297"/>
    <x v="3"/>
    <x v="5"/>
    <x v="664"/>
    <n v="432.46"/>
    <x v="663"/>
    <x v="0"/>
    <x v="0"/>
    <x v="0"/>
  </r>
  <r>
    <x v="297"/>
    <x v="2"/>
    <x v="4"/>
    <x v="665"/>
    <n v="156.44"/>
    <x v="664"/>
    <x v="3"/>
    <x v="7"/>
    <x v="0"/>
  </r>
  <r>
    <x v="297"/>
    <x v="1"/>
    <x v="3"/>
    <x v="666"/>
    <n v="19.12"/>
    <x v="665"/>
    <x v="4"/>
    <x v="8"/>
    <x v="3"/>
  </r>
  <r>
    <x v="298"/>
    <x v="3"/>
    <x v="0"/>
    <x v="667"/>
    <n v="236.68"/>
    <x v="666"/>
    <x v="1"/>
    <x v="2"/>
    <x v="1"/>
  </r>
  <r>
    <x v="298"/>
    <x v="0"/>
    <x v="5"/>
    <x v="668"/>
    <n v="278.14999999999998"/>
    <x v="667"/>
    <x v="2"/>
    <x v="2"/>
    <x v="5"/>
  </r>
  <r>
    <x v="298"/>
    <x v="0"/>
    <x v="1"/>
    <x v="669"/>
    <n v="584.38"/>
    <x v="668"/>
    <x v="1"/>
    <x v="10"/>
    <x v="4"/>
  </r>
  <r>
    <x v="299"/>
    <x v="2"/>
    <x v="5"/>
    <x v="670"/>
    <n v="197.86"/>
    <x v="669"/>
    <x v="0"/>
    <x v="1"/>
    <x v="1"/>
  </r>
  <r>
    <x v="300"/>
    <x v="2"/>
    <x v="5"/>
    <x v="671"/>
    <n v="397.16"/>
    <x v="670"/>
    <x v="2"/>
    <x v="12"/>
    <x v="1"/>
  </r>
  <r>
    <x v="300"/>
    <x v="1"/>
    <x v="2"/>
    <x v="672"/>
    <n v="107.12"/>
    <x v="671"/>
    <x v="0"/>
    <x v="5"/>
    <x v="3"/>
  </r>
  <r>
    <x v="300"/>
    <x v="4"/>
    <x v="4"/>
    <x v="632"/>
    <n v="45.35"/>
    <x v="672"/>
    <x v="3"/>
    <x v="10"/>
    <x v="3"/>
  </r>
  <r>
    <x v="300"/>
    <x v="2"/>
    <x v="0"/>
    <x v="673"/>
    <n v="526.42999999999995"/>
    <x v="673"/>
    <x v="0"/>
    <x v="0"/>
    <x v="3"/>
  </r>
  <r>
    <x v="301"/>
    <x v="0"/>
    <x v="0"/>
    <x v="674"/>
    <n v="622"/>
    <x v="674"/>
    <x v="2"/>
    <x v="4"/>
    <x v="4"/>
  </r>
  <r>
    <x v="302"/>
    <x v="3"/>
    <x v="4"/>
    <x v="675"/>
    <n v="16.61"/>
    <x v="675"/>
    <x v="1"/>
    <x v="10"/>
    <x v="1"/>
  </r>
  <r>
    <x v="303"/>
    <x v="0"/>
    <x v="5"/>
    <x v="676"/>
    <n v="183.68"/>
    <x v="676"/>
    <x v="1"/>
    <x v="7"/>
    <x v="2"/>
  </r>
  <r>
    <x v="304"/>
    <x v="2"/>
    <x v="3"/>
    <x v="677"/>
    <n v="8.3800000000000008"/>
    <x v="677"/>
    <x v="2"/>
    <x v="11"/>
    <x v="2"/>
  </r>
  <r>
    <x v="304"/>
    <x v="2"/>
    <x v="4"/>
    <x v="678"/>
    <n v="236.08"/>
    <x v="678"/>
    <x v="4"/>
    <x v="14"/>
    <x v="5"/>
  </r>
  <r>
    <x v="305"/>
    <x v="2"/>
    <x v="1"/>
    <x v="679"/>
    <n v="350.25"/>
    <x v="679"/>
    <x v="0"/>
    <x v="2"/>
    <x v="4"/>
  </r>
  <r>
    <x v="305"/>
    <x v="3"/>
    <x v="0"/>
    <x v="680"/>
    <n v="158.35"/>
    <x v="680"/>
    <x v="2"/>
    <x v="3"/>
    <x v="1"/>
  </r>
  <r>
    <x v="306"/>
    <x v="3"/>
    <x v="0"/>
    <x v="681"/>
    <n v="76.92"/>
    <x v="681"/>
    <x v="2"/>
    <x v="14"/>
    <x v="5"/>
  </r>
  <r>
    <x v="306"/>
    <x v="1"/>
    <x v="1"/>
    <x v="682"/>
    <n v="840.04"/>
    <x v="682"/>
    <x v="4"/>
    <x v="5"/>
    <x v="2"/>
  </r>
  <r>
    <x v="307"/>
    <x v="1"/>
    <x v="5"/>
    <x v="683"/>
    <n v="276.66000000000003"/>
    <x v="683"/>
    <x v="2"/>
    <x v="8"/>
    <x v="5"/>
  </r>
  <r>
    <x v="307"/>
    <x v="0"/>
    <x v="1"/>
    <x v="684"/>
    <n v="663.01"/>
    <x v="684"/>
    <x v="0"/>
    <x v="2"/>
    <x v="2"/>
  </r>
  <r>
    <x v="307"/>
    <x v="0"/>
    <x v="6"/>
    <x v="685"/>
    <n v="30.95"/>
    <x v="685"/>
    <x v="1"/>
    <x v="0"/>
    <x v="3"/>
  </r>
  <r>
    <x v="307"/>
    <x v="3"/>
    <x v="0"/>
    <x v="686"/>
    <n v="729.41"/>
    <x v="686"/>
    <x v="0"/>
    <x v="9"/>
    <x v="0"/>
  </r>
  <r>
    <x v="308"/>
    <x v="2"/>
    <x v="2"/>
    <x v="687"/>
    <n v="24.28"/>
    <x v="687"/>
    <x v="3"/>
    <x v="13"/>
    <x v="2"/>
  </r>
  <r>
    <x v="308"/>
    <x v="1"/>
    <x v="6"/>
    <x v="688"/>
    <n v="9.6"/>
    <x v="688"/>
    <x v="1"/>
    <x v="12"/>
    <x v="1"/>
  </r>
  <r>
    <x v="309"/>
    <x v="2"/>
    <x v="0"/>
    <x v="689"/>
    <n v="78.73"/>
    <x v="689"/>
    <x v="2"/>
    <x v="13"/>
    <x v="3"/>
  </r>
  <r>
    <x v="309"/>
    <x v="3"/>
    <x v="3"/>
    <x v="690"/>
    <n v="19.78"/>
    <x v="690"/>
    <x v="3"/>
    <x v="5"/>
    <x v="0"/>
  </r>
  <r>
    <x v="310"/>
    <x v="1"/>
    <x v="6"/>
    <x v="691"/>
    <n v="73.14"/>
    <x v="691"/>
    <x v="4"/>
    <x v="5"/>
    <x v="4"/>
  </r>
  <r>
    <x v="310"/>
    <x v="3"/>
    <x v="5"/>
    <x v="692"/>
    <n v="119.1"/>
    <x v="692"/>
    <x v="0"/>
    <x v="13"/>
    <x v="4"/>
  </r>
  <r>
    <x v="311"/>
    <x v="0"/>
    <x v="1"/>
    <x v="693"/>
    <n v="387.51"/>
    <x v="693"/>
    <x v="4"/>
    <x v="0"/>
    <x v="0"/>
  </r>
  <r>
    <x v="312"/>
    <x v="3"/>
    <x v="1"/>
    <x v="694"/>
    <n v="73.02"/>
    <x v="694"/>
    <x v="1"/>
    <x v="10"/>
    <x v="5"/>
  </r>
  <r>
    <x v="312"/>
    <x v="4"/>
    <x v="1"/>
    <x v="695"/>
    <n v="304.58999999999997"/>
    <x v="695"/>
    <x v="1"/>
    <x v="14"/>
    <x v="1"/>
  </r>
  <r>
    <x v="312"/>
    <x v="1"/>
    <x v="6"/>
    <x v="696"/>
    <n v="14.85"/>
    <x v="696"/>
    <x v="4"/>
    <x v="0"/>
    <x v="1"/>
  </r>
  <r>
    <x v="313"/>
    <x v="4"/>
    <x v="2"/>
    <x v="697"/>
    <n v="14.55"/>
    <x v="697"/>
    <x v="4"/>
    <x v="4"/>
    <x v="2"/>
  </r>
  <r>
    <x v="313"/>
    <x v="1"/>
    <x v="6"/>
    <x v="698"/>
    <n v="40.74"/>
    <x v="698"/>
    <x v="4"/>
    <x v="0"/>
    <x v="5"/>
  </r>
  <r>
    <x v="313"/>
    <x v="4"/>
    <x v="3"/>
    <x v="699"/>
    <n v="28.77"/>
    <x v="699"/>
    <x v="4"/>
    <x v="14"/>
    <x v="4"/>
  </r>
  <r>
    <x v="313"/>
    <x v="2"/>
    <x v="1"/>
    <x v="700"/>
    <n v="452.1"/>
    <x v="700"/>
    <x v="1"/>
    <x v="1"/>
    <x v="4"/>
  </r>
  <r>
    <x v="314"/>
    <x v="3"/>
    <x v="0"/>
    <x v="701"/>
    <n v="408.5"/>
    <x v="701"/>
    <x v="2"/>
    <x v="10"/>
    <x v="0"/>
  </r>
  <r>
    <x v="315"/>
    <x v="4"/>
    <x v="3"/>
    <x v="702"/>
    <n v="17.38"/>
    <x v="702"/>
    <x v="0"/>
    <x v="4"/>
    <x v="3"/>
  </r>
  <r>
    <x v="315"/>
    <x v="4"/>
    <x v="3"/>
    <x v="703"/>
    <n v="43.66"/>
    <x v="703"/>
    <x v="1"/>
    <x v="4"/>
    <x v="2"/>
  </r>
  <r>
    <x v="315"/>
    <x v="1"/>
    <x v="1"/>
    <x v="704"/>
    <n v="896.57"/>
    <x v="704"/>
    <x v="3"/>
    <x v="8"/>
    <x v="4"/>
  </r>
  <r>
    <x v="316"/>
    <x v="1"/>
    <x v="0"/>
    <x v="705"/>
    <n v="518.14"/>
    <x v="705"/>
    <x v="3"/>
    <x v="8"/>
    <x v="3"/>
  </r>
  <r>
    <x v="316"/>
    <x v="4"/>
    <x v="5"/>
    <x v="706"/>
    <n v="406.87"/>
    <x v="706"/>
    <x v="1"/>
    <x v="9"/>
    <x v="4"/>
  </r>
  <r>
    <x v="316"/>
    <x v="1"/>
    <x v="2"/>
    <x v="707"/>
    <n v="156"/>
    <x v="707"/>
    <x v="1"/>
    <x v="9"/>
    <x v="5"/>
  </r>
  <r>
    <x v="317"/>
    <x v="1"/>
    <x v="6"/>
    <x v="708"/>
    <n v="115.21"/>
    <x v="708"/>
    <x v="1"/>
    <x v="6"/>
    <x v="2"/>
  </r>
  <r>
    <x v="318"/>
    <x v="3"/>
    <x v="2"/>
    <x v="709"/>
    <n v="125.53"/>
    <x v="709"/>
    <x v="2"/>
    <x v="8"/>
    <x v="2"/>
  </r>
  <r>
    <x v="318"/>
    <x v="3"/>
    <x v="4"/>
    <x v="710"/>
    <n v="25.88"/>
    <x v="710"/>
    <x v="3"/>
    <x v="8"/>
    <x v="1"/>
  </r>
  <r>
    <x v="318"/>
    <x v="2"/>
    <x v="5"/>
    <x v="711"/>
    <n v="433.29"/>
    <x v="711"/>
    <x v="2"/>
    <x v="3"/>
    <x v="2"/>
  </r>
  <r>
    <x v="319"/>
    <x v="1"/>
    <x v="1"/>
    <x v="712"/>
    <n v="462.18"/>
    <x v="712"/>
    <x v="1"/>
    <x v="4"/>
    <x v="2"/>
  </r>
  <r>
    <x v="320"/>
    <x v="0"/>
    <x v="1"/>
    <x v="713"/>
    <n v="149.19999999999999"/>
    <x v="713"/>
    <x v="0"/>
    <x v="3"/>
    <x v="1"/>
  </r>
  <r>
    <x v="321"/>
    <x v="2"/>
    <x v="0"/>
    <x v="714"/>
    <n v="109.69"/>
    <x v="714"/>
    <x v="1"/>
    <x v="5"/>
    <x v="5"/>
  </r>
  <r>
    <x v="322"/>
    <x v="3"/>
    <x v="5"/>
    <x v="715"/>
    <n v="407.91"/>
    <x v="715"/>
    <x v="3"/>
    <x v="7"/>
    <x v="2"/>
  </r>
  <r>
    <x v="322"/>
    <x v="0"/>
    <x v="1"/>
    <x v="716"/>
    <n v="692.22"/>
    <x v="716"/>
    <x v="0"/>
    <x v="9"/>
    <x v="3"/>
  </r>
  <r>
    <x v="323"/>
    <x v="2"/>
    <x v="1"/>
    <x v="717"/>
    <n v="381.79"/>
    <x v="717"/>
    <x v="0"/>
    <x v="2"/>
    <x v="5"/>
  </r>
  <r>
    <x v="324"/>
    <x v="0"/>
    <x v="6"/>
    <x v="718"/>
    <n v="37.020000000000003"/>
    <x v="718"/>
    <x v="2"/>
    <x v="1"/>
    <x v="5"/>
  </r>
  <r>
    <x v="325"/>
    <x v="4"/>
    <x v="3"/>
    <x v="719"/>
    <n v="2.04"/>
    <x v="719"/>
    <x v="2"/>
    <x v="10"/>
    <x v="0"/>
  </r>
  <r>
    <x v="325"/>
    <x v="2"/>
    <x v="3"/>
    <x v="720"/>
    <n v="42.69"/>
    <x v="720"/>
    <x v="2"/>
    <x v="13"/>
    <x v="4"/>
  </r>
  <r>
    <x v="326"/>
    <x v="4"/>
    <x v="3"/>
    <x v="721"/>
    <n v="19.61"/>
    <x v="721"/>
    <x v="1"/>
    <x v="13"/>
    <x v="5"/>
  </r>
  <r>
    <x v="326"/>
    <x v="4"/>
    <x v="0"/>
    <x v="722"/>
    <n v="460.65"/>
    <x v="722"/>
    <x v="1"/>
    <x v="8"/>
    <x v="1"/>
  </r>
  <r>
    <x v="326"/>
    <x v="4"/>
    <x v="6"/>
    <x v="723"/>
    <n v="48.8"/>
    <x v="723"/>
    <x v="3"/>
    <x v="5"/>
    <x v="1"/>
  </r>
  <r>
    <x v="327"/>
    <x v="4"/>
    <x v="5"/>
    <x v="724"/>
    <n v="145.75"/>
    <x v="724"/>
    <x v="3"/>
    <x v="7"/>
    <x v="5"/>
  </r>
  <r>
    <x v="327"/>
    <x v="3"/>
    <x v="2"/>
    <x v="725"/>
    <n v="95.19"/>
    <x v="725"/>
    <x v="3"/>
    <x v="3"/>
    <x v="0"/>
  </r>
  <r>
    <x v="328"/>
    <x v="4"/>
    <x v="3"/>
    <x v="726"/>
    <n v="16.8"/>
    <x v="726"/>
    <x v="4"/>
    <x v="6"/>
    <x v="3"/>
  </r>
  <r>
    <x v="328"/>
    <x v="1"/>
    <x v="3"/>
    <x v="727"/>
    <n v="14.8"/>
    <x v="727"/>
    <x v="0"/>
    <x v="0"/>
    <x v="1"/>
  </r>
  <r>
    <x v="329"/>
    <x v="3"/>
    <x v="0"/>
    <x v="728"/>
    <n v="623.37"/>
    <x v="728"/>
    <x v="2"/>
    <x v="5"/>
    <x v="4"/>
  </r>
  <r>
    <x v="330"/>
    <x v="3"/>
    <x v="1"/>
    <x v="729"/>
    <n v="866.76"/>
    <x v="729"/>
    <x v="4"/>
    <x v="1"/>
    <x v="5"/>
  </r>
  <r>
    <x v="331"/>
    <x v="3"/>
    <x v="0"/>
    <x v="730"/>
    <n v="433.66"/>
    <x v="730"/>
    <x v="3"/>
    <x v="3"/>
    <x v="5"/>
  </r>
  <r>
    <x v="331"/>
    <x v="1"/>
    <x v="5"/>
    <x v="731"/>
    <n v="320.56"/>
    <x v="731"/>
    <x v="1"/>
    <x v="8"/>
    <x v="2"/>
  </r>
  <r>
    <x v="332"/>
    <x v="3"/>
    <x v="2"/>
    <x v="732"/>
    <n v="36.94"/>
    <x v="155"/>
    <x v="0"/>
    <x v="11"/>
    <x v="4"/>
  </r>
  <r>
    <x v="332"/>
    <x v="3"/>
    <x v="1"/>
    <x v="733"/>
    <n v="614.36"/>
    <x v="732"/>
    <x v="2"/>
    <x v="1"/>
    <x v="4"/>
  </r>
  <r>
    <x v="332"/>
    <x v="4"/>
    <x v="0"/>
    <x v="734"/>
    <n v="175.24"/>
    <x v="733"/>
    <x v="1"/>
    <x v="11"/>
    <x v="3"/>
  </r>
  <r>
    <x v="332"/>
    <x v="4"/>
    <x v="2"/>
    <x v="735"/>
    <n v="93.14"/>
    <x v="734"/>
    <x v="4"/>
    <x v="14"/>
    <x v="2"/>
  </r>
  <r>
    <x v="333"/>
    <x v="2"/>
    <x v="5"/>
    <x v="736"/>
    <n v="416.47"/>
    <x v="735"/>
    <x v="3"/>
    <x v="9"/>
    <x v="2"/>
  </r>
  <r>
    <x v="333"/>
    <x v="1"/>
    <x v="1"/>
    <x v="737"/>
    <n v="915.96"/>
    <x v="736"/>
    <x v="0"/>
    <x v="6"/>
    <x v="4"/>
  </r>
  <r>
    <x v="333"/>
    <x v="0"/>
    <x v="0"/>
    <x v="738"/>
    <n v="470.29"/>
    <x v="737"/>
    <x v="3"/>
    <x v="0"/>
    <x v="5"/>
  </r>
  <r>
    <x v="333"/>
    <x v="1"/>
    <x v="4"/>
    <x v="739"/>
    <n v="200.07"/>
    <x v="738"/>
    <x v="0"/>
    <x v="8"/>
    <x v="1"/>
  </r>
  <r>
    <x v="334"/>
    <x v="0"/>
    <x v="1"/>
    <x v="740"/>
    <n v="81.81"/>
    <x v="739"/>
    <x v="2"/>
    <x v="3"/>
    <x v="3"/>
  </r>
  <r>
    <x v="335"/>
    <x v="1"/>
    <x v="0"/>
    <x v="741"/>
    <n v="564.26"/>
    <x v="740"/>
    <x v="3"/>
    <x v="2"/>
    <x v="2"/>
  </r>
  <r>
    <x v="336"/>
    <x v="0"/>
    <x v="6"/>
    <x v="742"/>
    <n v="18.72"/>
    <x v="741"/>
    <x v="4"/>
    <x v="7"/>
    <x v="0"/>
  </r>
  <r>
    <x v="336"/>
    <x v="1"/>
    <x v="6"/>
    <x v="743"/>
    <n v="109.65"/>
    <x v="742"/>
    <x v="2"/>
    <x v="10"/>
    <x v="3"/>
  </r>
  <r>
    <x v="336"/>
    <x v="4"/>
    <x v="6"/>
    <x v="744"/>
    <n v="72.63"/>
    <x v="743"/>
    <x v="3"/>
    <x v="2"/>
    <x v="2"/>
  </r>
  <r>
    <x v="337"/>
    <x v="2"/>
    <x v="5"/>
    <x v="745"/>
    <n v="241.64"/>
    <x v="744"/>
    <x v="2"/>
    <x v="11"/>
    <x v="3"/>
  </r>
  <r>
    <x v="337"/>
    <x v="1"/>
    <x v="5"/>
    <x v="746"/>
    <n v="50.07"/>
    <x v="745"/>
    <x v="3"/>
    <x v="13"/>
    <x v="3"/>
  </r>
  <r>
    <x v="337"/>
    <x v="3"/>
    <x v="0"/>
    <x v="747"/>
    <n v="426.22"/>
    <x v="746"/>
    <x v="3"/>
    <x v="5"/>
    <x v="3"/>
  </r>
  <r>
    <x v="338"/>
    <x v="4"/>
    <x v="1"/>
    <x v="748"/>
    <n v="373.65"/>
    <x v="747"/>
    <x v="1"/>
    <x v="4"/>
    <x v="1"/>
  </r>
  <r>
    <x v="338"/>
    <x v="1"/>
    <x v="0"/>
    <x v="749"/>
    <n v="310.18"/>
    <x v="748"/>
    <x v="1"/>
    <x v="2"/>
    <x v="4"/>
  </r>
  <r>
    <x v="338"/>
    <x v="1"/>
    <x v="0"/>
    <x v="750"/>
    <n v="957.21"/>
    <x v="749"/>
    <x v="0"/>
    <x v="9"/>
    <x v="0"/>
  </r>
  <r>
    <x v="338"/>
    <x v="0"/>
    <x v="2"/>
    <x v="751"/>
    <n v="53.09"/>
    <x v="750"/>
    <x v="2"/>
    <x v="8"/>
    <x v="1"/>
  </r>
  <r>
    <x v="339"/>
    <x v="3"/>
    <x v="0"/>
    <x v="752"/>
    <n v="580.76"/>
    <x v="751"/>
    <x v="4"/>
    <x v="0"/>
    <x v="3"/>
  </r>
  <r>
    <x v="340"/>
    <x v="2"/>
    <x v="6"/>
    <x v="753"/>
    <n v="38.93"/>
    <x v="752"/>
    <x v="3"/>
    <x v="14"/>
    <x v="5"/>
  </r>
  <r>
    <x v="340"/>
    <x v="2"/>
    <x v="6"/>
    <x v="754"/>
    <n v="35.65"/>
    <x v="753"/>
    <x v="3"/>
    <x v="0"/>
    <x v="2"/>
  </r>
  <r>
    <x v="341"/>
    <x v="4"/>
    <x v="2"/>
    <x v="755"/>
    <n v="115.59"/>
    <x v="754"/>
    <x v="0"/>
    <x v="7"/>
    <x v="4"/>
  </r>
  <r>
    <x v="341"/>
    <x v="2"/>
    <x v="5"/>
    <x v="756"/>
    <n v="309.83999999999997"/>
    <x v="755"/>
    <x v="2"/>
    <x v="10"/>
    <x v="2"/>
  </r>
  <r>
    <x v="341"/>
    <x v="3"/>
    <x v="4"/>
    <x v="757"/>
    <n v="194.39"/>
    <x v="756"/>
    <x v="4"/>
    <x v="3"/>
    <x v="2"/>
  </r>
  <r>
    <x v="342"/>
    <x v="3"/>
    <x v="1"/>
    <x v="758"/>
    <n v="520.29999999999995"/>
    <x v="757"/>
    <x v="1"/>
    <x v="7"/>
    <x v="4"/>
  </r>
  <r>
    <x v="342"/>
    <x v="1"/>
    <x v="2"/>
    <x v="759"/>
    <n v="182.82"/>
    <x v="758"/>
    <x v="2"/>
    <x v="3"/>
    <x v="0"/>
  </r>
  <r>
    <x v="343"/>
    <x v="2"/>
    <x v="2"/>
    <x v="760"/>
    <n v="89.12"/>
    <x v="759"/>
    <x v="2"/>
    <x v="10"/>
    <x v="3"/>
  </r>
  <r>
    <x v="344"/>
    <x v="2"/>
    <x v="6"/>
    <x v="761"/>
    <n v="28.03"/>
    <x v="760"/>
    <x v="0"/>
    <x v="7"/>
    <x v="1"/>
  </r>
  <r>
    <x v="344"/>
    <x v="0"/>
    <x v="4"/>
    <x v="762"/>
    <n v="403.79"/>
    <x v="761"/>
    <x v="4"/>
    <x v="14"/>
    <x v="2"/>
  </r>
  <r>
    <x v="344"/>
    <x v="4"/>
    <x v="5"/>
    <x v="763"/>
    <n v="357.5"/>
    <x v="762"/>
    <x v="0"/>
    <x v="14"/>
    <x v="0"/>
  </r>
  <r>
    <x v="345"/>
    <x v="4"/>
    <x v="3"/>
    <x v="764"/>
    <n v="30.21"/>
    <x v="763"/>
    <x v="2"/>
    <x v="11"/>
    <x v="5"/>
  </r>
  <r>
    <x v="346"/>
    <x v="0"/>
    <x v="5"/>
    <x v="765"/>
    <n v="347.77"/>
    <x v="764"/>
    <x v="1"/>
    <x v="5"/>
    <x v="4"/>
  </r>
  <r>
    <x v="346"/>
    <x v="0"/>
    <x v="2"/>
    <x v="766"/>
    <n v="13.46"/>
    <x v="765"/>
    <x v="1"/>
    <x v="13"/>
    <x v="0"/>
  </r>
  <r>
    <x v="347"/>
    <x v="1"/>
    <x v="3"/>
    <x v="767"/>
    <n v="32.14"/>
    <x v="766"/>
    <x v="4"/>
    <x v="10"/>
    <x v="5"/>
  </r>
  <r>
    <x v="347"/>
    <x v="1"/>
    <x v="3"/>
    <x v="768"/>
    <n v="35.89"/>
    <x v="767"/>
    <x v="4"/>
    <x v="5"/>
    <x v="4"/>
  </r>
  <r>
    <x v="348"/>
    <x v="1"/>
    <x v="2"/>
    <x v="769"/>
    <n v="62.87"/>
    <x v="768"/>
    <x v="3"/>
    <x v="9"/>
    <x v="2"/>
  </r>
  <r>
    <x v="349"/>
    <x v="2"/>
    <x v="6"/>
    <x v="770"/>
    <n v="47.08"/>
    <x v="769"/>
    <x v="1"/>
    <x v="9"/>
    <x v="5"/>
  </r>
  <r>
    <x v="349"/>
    <x v="0"/>
    <x v="3"/>
    <x v="771"/>
    <n v="19.72"/>
    <x v="770"/>
    <x v="4"/>
    <x v="9"/>
    <x v="3"/>
  </r>
  <r>
    <x v="350"/>
    <x v="3"/>
    <x v="3"/>
    <x v="772"/>
    <n v="8.5"/>
    <x v="771"/>
    <x v="4"/>
    <x v="10"/>
    <x v="2"/>
  </r>
  <r>
    <x v="350"/>
    <x v="2"/>
    <x v="4"/>
    <x v="773"/>
    <n v="221.05"/>
    <x v="772"/>
    <x v="0"/>
    <x v="3"/>
    <x v="3"/>
  </r>
  <r>
    <x v="350"/>
    <x v="0"/>
    <x v="0"/>
    <x v="774"/>
    <n v="379.1"/>
    <x v="773"/>
    <x v="1"/>
    <x v="0"/>
    <x v="5"/>
  </r>
  <r>
    <x v="350"/>
    <x v="2"/>
    <x v="6"/>
    <x v="775"/>
    <n v="21"/>
    <x v="774"/>
    <x v="2"/>
    <x v="0"/>
    <x v="2"/>
  </r>
  <r>
    <x v="351"/>
    <x v="3"/>
    <x v="2"/>
    <x v="776"/>
    <n v="37.49"/>
    <x v="775"/>
    <x v="2"/>
    <x v="7"/>
    <x v="2"/>
  </r>
  <r>
    <x v="351"/>
    <x v="4"/>
    <x v="2"/>
    <x v="777"/>
    <n v="49.89"/>
    <x v="776"/>
    <x v="3"/>
    <x v="8"/>
    <x v="5"/>
  </r>
  <r>
    <x v="351"/>
    <x v="1"/>
    <x v="2"/>
    <x v="778"/>
    <n v="51.51"/>
    <x v="777"/>
    <x v="3"/>
    <x v="9"/>
    <x v="3"/>
  </r>
  <r>
    <x v="352"/>
    <x v="1"/>
    <x v="5"/>
    <x v="779"/>
    <n v="49.4"/>
    <x v="778"/>
    <x v="4"/>
    <x v="7"/>
    <x v="4"/>
  </r>
  <r>
    <x v="353"/>
    <x v="1"/>
    <x v="4"/>
    <x v="780"/>
    <n v="99.89"/>
    <x v="779"/>
    <x v="1"/>
    <x v="7"/>
    <x v="2"/>
  </r>
  <r>
    <x v="353"/>
    <x v="2"/>
    <x v="1"/>
    <x v="781"/>
    <n v="875.34"/>
    <x v="780"/>
    <x v="3"/>
    <x v="7"/>
    <x v="5"/>
  </r>
  <r>
    <x v="353"/>
    <x v="2"/>
    <x v="4"/>
    <x v="782"/>
    <n v="342.37"/>
    <x v="781"/>
    <x v="1"/>
    <x v="5"/>
    <x v="2"/>
  </r>
  <r>
    <x v="354"/>
    <x v="4"/>
    <x v="5"/>
    <x v="783"/>
    <n v="128.59"/>
    <x v="782"/>
    <x v="2"/>
    <x v="10"/>
    <x v="1"/>
  </r>
  <r>
    <x v="355"/>
    <x v="0"/>
    <x v="4"/>
    <x v="784"/>
    <n v="264.58999999999997"/>
    <x v="783"/>
    <x v="4"/>
    <x v="9"/>
    <x v="4"/>
  </r>
  <r>
    <x v="355"/>
    <x v="0"/>
    <x v="5"/>
    <x v="785"/>
    <n v="87.03"/>
    <x v="784"/>
    <x v="0"/>
    <x v="12"/>
    <x v="0"/>
  </r>
  <r>
    <x v="356"/>
    <x v="2"/>
    <x v="1"/>
    <x v="786"/>
    <n v="423.7"/>
    <x v="785"/>
    <x v="2"/>
    <x v="10"/>
    <x v="3"/>
  </r>
  <r>
    <x v="356"/>
    <x v="0"/>
    <x v="4"/>
    <x v="787"/>
    <n v="325.63"/>
    <x v="786"/>
    <x v="0"/>
    <x v="5"/>
    <x v="3"/>
  </r>
  <r>
    <x v="357"/>
    <x v="1"/>
    <x v="0"/>
    <x v="788"/>
    <n v="501.86"/>
    <x v="787"/>
    <x v="2"/>
    <x v="10"/>
    <x v="5"/>
  </r>
  <r>
    <x v="358"/>
    <x v="1"/>
    <x v="4"/>
    <x v="789"/>
    <n v="316.14"/>
    <x v="788"/>
    <x v="2"/>
    <x v="12"/>
    <x v="3"/>
  </r>
  <r>
    <x v="358"/>
    <x v="3"/>
    <x v="2"/>
    <x v="790"/>
    <n v="23.05"/>
    <x v="789"/>
    <x v="4"/>
    <x v="8"/>
    <x v="3"/>
  </r>
  <r>
    <x v="359"/>
    <x v="4"/>
    <x v="6"/>
    <x v="791"/>
    <n v="50.8"/>
    <x v="790"/>
    <x v="4"/>
    <x v="1"/>
    <x v="4"/>
  </r>
  <r>
    <x v="360"/>
    <x v="3"/>
    <x v="4"/>
    <x v="792"/>
    <n v="218.73"/>
    <x v="791"/>
    <x v="3"/>
    <x v="2"/>
    <x v="4"/>
  </r>
  <r>
    <x v="361"/>
    <x v="1"/>
    <x v="3"/>
    <x v="793"/>
    <n v="37.26"/>
    <x v="792"/>
    <x v="4"/>
    <x v="7"/>
    <x v="1"/>
  </r>
  <r>
    <x v="361"/>
    <x v="0"/>
    <x v="6"/>
    <x v="794"/>
    <n v="49.83"/>
    <x v="793"/>
    <x v="2"/>
    <x v="3"/>
    <x v="2"/>
  </r>
  <r>
    <x v="361"/>
    <x v="3"/>
    <x v="2"/>
    <x v="795"/>
    <n v="195.86"/>
    <x v="794"/>
    <x v="2"/>
    <x v="9"/>
    <x v="5"/>
  </r>
  <r>
    <x v="361"/>
    <x v="3"/>
    <x v="4"/>
    <x v="796"/>
    <n v="186.82"/>
    <x v="795"/>
    <x v="3"/>
    <x v="2"/>
    <x v="0"/>
  </r>
  <r>
    <x v="361"/>
    <x v="1"/>
    <x v="4"/>
    <x v="797"/>
    <n v="184.08"/>
    <x v="796"/>
    <x v="1"/>
    <x v="8"/>
    <x v="0"/>
  </r>
  <r>
    <x v="362"/>
    <x v="4"/>
    <x v="3"/>
    <x v="798"/>
    <n v="17.22"/>
    <x v="797"/>
    <x v="3"/>
    <x v="12"/>
    <x v="2"/>
  </r>
  <r>
    <x v="363"/>
    <x v="0"/>
    <x v="1"/>
    <x v="799"/>
    <n v="148.44999999999999"/>
    <x v="798"/>
    <x v="2"/>
    <x v="2"/>
    <x v="3"/>
  </r>
  <r>
    <x v="364"/>
    <x v="3"/>
    <x v="6"/>
    <x v="800"/>
    <n v="20.41"/>
    <x v="799"/>
    <x v="1"/>
    <x v="7"/>
    <x v="2"/>
  </r>
  <r>
    <x v="364"/>
    <x v="3"/>
    <x v="4"/>
    <x v="801"/>
    <n v="279.19"/>
    <x v="800"/>
    <x v="0"/>
    <x v="13"/>
    <x v="5"/>
  </r>
  <r>
    <x v="365"/>
    <x v="4"/>
    <x v="4"/>
    <x v="802"/>
    <n v="98.52"/>
    <x v="801"/>
    <x v="0"/>
    <x v="1"/>
    <x v="2"/>
  </r>
  <r>
    <x v="365"/>
    <x v="3"/>
    <x v="0"/>
    <x v="803"/>
    <n v="291.66000000000003"/>
    <x v="802"/>
    <x v="0"/>
    <x v="14"/>
    <x v="0"/>
  </r>
  <r>
    <x v="365"/>
    <x v="2"/>
    <x v="6"/>
    <x v="804"/>
    <n v="22.69"/>
    <x v="803"/>
    <x v="1"/>
    <x v="13"/>
    <x v="2"/>
  </r>
  <r>
    <x v="365"/>
    <x v="0"/>
    <x v="1"/>
    <x v="805"/>
    <n v="422.64"/>
    <x v="804"/>
    <x v="0"/>
    <x v="3"/>
    <x v="4"/>
  </r>
  <r>
    <x v="365"/>
    <x v="4"/>
    <x v="0"/>
    <x v="806"/>
    <n v="225.15"/>
    <x v="805"/>
    <x v="0"/>
    <x v="6"/>
    <x v="4"/>
  </r>
  <r>
    <x v="365"/>
    <x v="0"/>
    <x v="4"/>
    <x v="807"/>
    <n v="230.36"/>
    <x v="806"/>
    <x v="4"/>
    <x v="4"/>
    <x v="1"/>
  </r>
  <r>
    <x v="366"/>
    <x v="0"/>
    <x v="0"/>
    <x v="808"/>
    <n v="100.51"/>
    <x v="807"/>
    <x v="0"/>
    <x v="0"/>
    <x v="1"/>
  </r>
  <r>
    <x v="366"/>
    <x v="4"/>
    <x v="4"/>
    <x v="809"/>
    <n v="190.3"/>
    <x v="808"/>
    <x v="0"/>
    <x v="8"/>
    <x v="2"/>
  </r>
  <r>
    <x v="366"/>
    <x v="3"/>
    <x v="0"/>
    <x v="810"/>
    <n v="181.2"/>
    <x v="809"/>
    <x v="0"/>
    <x v="13"/>
    <x v="3"/>
  </r>
  <r>
    <x v="367"/>
    <x v="3"/>
    <x v="3"/>
    <x v="811"/>
    <n v="54.19"/>
    <x v="810"/>
    <x v="1"/>
    <x v="1"/>
    <x v="5"/>
  </r>
  <r>
    <x v="367"/>
    <x v="0"/>
    <x v="0"/>
    <x v="812"/>
    <n v="524.01"/>
    <x v="811"/>
    <x v="2"/>
    <x v="12"/>
    <x v="2"/>
  </r>
  <r>
    <x v="367"/>
    <x v="4"/>
    <x v="3"/>
    <x v="813"/>
    <n v="11.23"/>
    <x v="812"/>
    <x v="1"/>
    <x v="9"/>
    <x v="5"/>
  </r>
  <r>
    <x v="367"/>
    <x v="2"/>
    <x v="6"/>
    <x v="814"/>
    <n v="57.34"/>
    <x v="813"/>
    <x v="4"/>
    <x v="7"/>
    <x v="1"/>
  </r>
  <r>
    <x v="368"/>
    <x v="0"/>
    <x v="6"/>
    <x v="815"/>
    <n v="8.6"/>
    <x v="814"/>
    <x v="0"/>
    <x v="11"/>
    <x v="1"/>
  </r>
  <r>
    <x v="368"/>
    <x v="4"/>
    <x v="3"/>
    <x v="816"/>
    <n v="4.72"/>
    <x v="815"/>
    <x v="3"/>
    <x v="0"/>
    <x v="4"/>
  </r>
  <r>
    <x v="369"/>
    <x v="3"/>
    <x v="5"/>
    <x v="817"/>
    <n v="77.849999999999994"/>
    <x v="816"/>
    <x v="2"/>
    <x v="13"/>
    <x v="0"/>
  </r>
  <r>
    <x v="369"/>
    <x v="3"/>
    <x v="5"/>
    <x v="818"/>
    <n v="235.87"/>
    <x v="817"/>
    <x v="0"/>
    <x v="2"/>
    <x v="4"/>
  </r>
  <r>
    <x v="370"/>
    <x v="1"/>
    <x v="3"/>
    <x v="819"/>
    <n v="10.46"/>
    <x v="818"/>
    <x v="3"/>
    <x v="8"/>
    <x v="1"/>
  </r>
  <r>
    <x v="370"/>
    <x v="3"/>
    <x v="4"/>
    <x v="820"/>
    <n v="232.25"/>
    <x v="819"/>
    <x v="3"/>
    <x v="0"/>
    <x v="4"/>
  </r>
  <r>
    <x v="370"/>
    <x v="0"/>
    <x v="6"/>
    <x v="821"/>
    <n v="9.85"/>
    <x v="820"/>
    <x v="2"/>
    <x v="3"/>
    <x v="2"/>
  </r>
  <r>
    <x v="371"/>
    <x v="0"/>
    <x v="2"/>
    <x v="822"/>
    <n v="111.66"/>
    <x v="821"/>
    <x v="2"/>
    <x v="9"/>
    <x v="4"/>
  </r>
  <r>
    <x v="372"/>
    <x v="3"/>
    <x v="2"/>
    <x v="823"/>
    <n v="99.72"/>
    <x v="822"/>
    <x v="2"/>
    <x v="1"/>
    <x v="4"/>
  </r>
  <r>
    <x v="372"/>
    <x v="4"/>
    <x v="6"/>
    <x v="824"/>
    <n v="42.66"/>
    <x v="823"/>
    <x v="0"/>
    <x v="3"/>
    <x v="0"/>
  </r>
  <r>
    <x v="373"/>
    <x v="2"/>
    <x v="5"/>
    <x v="62"/>
    <n v="106.54"/>
    <x v="824"/>
    <x v="1"/>
    <x v="0"/>
    <x v="5"/>
  </r>
  <r>
    <x v="374"/>
    <x v="4"/>
    <x v="1"/>
    <x v="825"/>
    <n v="760.11"/>
    <x v="825"/>
    <x v="1"/>
    <x v="14"/>
    <x v="1"/>
  </r>
  <r>
    <x v="375"/>
    <x v="3"/>
    <x v="1"/>
    <x v="826"/>
    <n v="221.09"/>
    <x v="826"/>
    <x v="4"/>
    <x v="13"/>
    <x v="3"/>
  </r>
  <r>
    <x v="375"/>
    <x v="2"/>
    <x v="5"/>
    <x v="827"/>
    <n v="485.62"/>
    <x v="321"/>
    <x v="2"/>
    <x v="11"/>
    <x v="4"/>
  </r>
  <r>
    <x v="375"/>
    <x v="3"/>
    <x v="6"/>
    <x v="828"/>
    <n v="3.58"/>
    <x v="827"/>
    <x v="4"/>
    <x v="3"/>
    <x v="2"/>
  </r>
  <r>
    <x v="376"/>
    <x v="1"/>
    <x v="1"/>
    <x v="829"/>
    <n v="691.99"/>
    <x v="828"/>
    <x v="0"/>
    <x v="13"/>
    <x v="1"/>
  </r>
  <r>
    <x v="377"/>
    <x v="4"/>
    <x v="6"/>
    <x v="830"/>
    <n v="87.4"/>
    <x v="829"/>
    <x v="4"/>
    <x v="11"/>
    <x v="3"/>
  </r>
  <r>
    <x v="377"/>
    <x v="3"/>
    <x v="0"/>
    <x v="831"/>
    <n v="104.36"/>
    <x v="830"/>
    <x v="4"/>
    <x v="12"/>
    <x v="0"/>
  </r>
  <r>
    <x v="378"/>
    <x v="2"/>
    <x v="4"/>
    <x v="832"/>
    <n v="266.60000000000002"/>
    <x v="831"/>
    <x v="1"/>
    <x v="6"/>
    <x v="2"/>
  </r>
  <r>
    <x v="378"/>
    <x v="2"/>
    <x v="2"/>
    <x v="833"/>
    <n v="18.77"/>
    <x v="832"/>
    <x v="2"/>
    <x v="3"/>
    <x v="1"/>
  </r>
  <r>
    <x v="379"/>
    <x v="1"/>
    <x v="6"/>
    <x v="834"/>
    <n v="64.849999999999994"/>
    <x v="833"/>
    <x v="2"/>
    <x v="13"/>
    <x v="5"/>
  </r>
  <r>
    <x v="379"/>
    <x v="4"/>
    <x v="5"/>
    <x v="835"/>
    <n v="329.28"/>
    <x v="834"/>
    <x v="3"/>
    <x v="7"/>
    <x v="5"/>
  </r>
  <r>
    <x v="380"/>
    <x v="3"/>
    <x v="3"/>
    <x v="836"/>
    <n v="23.7"/>
    <x v="835"/>
    <x v="4"/>
    <x v="9"/>
    <x v="1"/>
  </r>
  <r>
    <x v="380"/>
    <x v="3"/>
    <x v="0"/>
    <x v="837"/>
    <n v="120.31"/>
    <x v="836"/>
    <x v="1"/>
    <x v="9"/>
    <x v="4"/>
  </r>
  <r>
    <x v="380"/>
    <x v="4"/>
    <x v="1"/>
    <x v="838"/>
    <n v="777.01"/>
    <x v="837"/>
    <x v="4"/>
    <x v="10"/>
    <x v="0"/>
  </r>
  <r>
    <x v="380"/>
    <x v="0"/>
    <x v="2"/>
    <x v="839"/>
    <n v="101.45"/>
    <x v="838"/>
    <x v="3"/>
    <x v="5"/>
    <x v="3"/>
  </r>
  <r>
    <x v="380"/>
    <x v="0"/>
    <x v="5"/>
    <x v="840"/>
    <n v="310.41000000000003"/>
    <x v="839"/>
    <x v="2"/>
    <x v="13"/>
    <x v="1"/>
  </r>
  <r>
    <x v="381"/>
    <x v="0"/>
    <x v="4"/>
    <x v="841"/>
    <n v="333.33"/>
    <x v="840"/>
    <x v="4"/>
    <x v="7"/>
    <x v="3"/>
  </r>
  <r>
    <x v="381"/>
    <x v="1"/>
    <x v="3"/>
    <x v="842"/>
    <n v="27.77"/>
    <x v="841"/>
    <x v="3"/>
    <x v="11"/>
    <x v="3"/>
  </r>
  <r>
    <x v="381"/>
    <x v="0"/>
    <x v="6"/>
    <x v="843"/>
    <n v="32.729999999999997"/>
    <x v="842"/>
    <x v="2"/>
    <x v="6"/>
    <x v="5"/>
  </r>
  <r>
    <x v="382"/>
    <x v="2"/>
    <x v="4"/>
    <x v="844"/>
    <n v="340.62"/>
    <x v="843"/>
    <x v="4"/>
    <x v="13"/>
    <x v="5"/>
  </r>
  <r>
    <x v="382"/>
    <x v="3"/>
    <x v="6"/>
    <x v="845"/>
    <n v="90.49"/>
    <x v="844"/>
    <x v="4"/>
    <x v="10"/>
    <x v="4"/>
  </r>
  <r>
    <x v="383"/>
    <x v="1"/>
    <x v="0"/>
    <x v="846"/>
    <n v="662.15"/>
    <x v="845"/>
    <x v="1"/>
    <x v="6"/>
    <x v="4"/>
  </r>
  <r>
    <x v="384"/>
    <x v="4"/>
    <x v="6"/>
    <x v="847"/>
    <n v="27"/>
    <x v="536"/>
    <x v="0"/>
    <x v="4"/>
    <x v="1"/>
  </r>
  <r>
    <x v="384"/>
    <x v="0"/>
    <x v="4"/>
    <x v="848"/>
    <n v="88.3"/>
    <x v="846"/>
    <x v="3"/>
    <x v="7"/>
    <x v="4"/>
  </r>
  <r>
    <x v="384"/>
    <x v="1"/>
    <x v="4"/>
    <x v="849"/>
    <n v="87.84"/>
    <x v="847"/>
    <x v="0"/>
    <x v="4"/>
    <x v="4"/>
  </r>
  <r>
    <x v="384"/>
    <x v="0"/>
    <x v="1"/>
    <x v="850"/>
    <n v="584.12"/>
    <x v="848"/>
    <x v="0"/>
    <x v="4"/>
    <x v="3"/>
  </r>
  <r>
    <x v="385"/>
    <x v="4"/>
    <x v="1"/>
    <x v="851"/>
    <n v="358.91"/>
    <x v="849"/>
    <x v="3"/>
    <x v="10"/>
    <x v="0"/>
  </r>
  <r>
    <x v="386"/>
    <x v="3"/>
    <x v="5"/>
    <x v="852"/>
    <n v="245.08"/>
    <x v="850"/>
    <x v="3"/>
    <x v="3"/>
    <x v="2"/>
  </r>
  <r>
    <x v="387"/>
    <x v="2"/>
    <x v="6"/>
    <x v="853"/>
    <n v="4.83"/>
    <x v="851"/>
    <x v="0"/>
    <x v="1"/>
    <x v="1"/>
  </r>
  <r>
    <x v="387"/>
    <x v="2"/>
    <x v="6"/>
    <x v="854"/>
    <n v="58"/>
    <x v="852"/>
    <x v="0"/>
    <x v="13"/>
    <x v="5"/>
  </r>
  <r>
    <x v="388"/>
    <x v="0"/>
    <x v="4"/>
    <x v="855"/>
    <n v="350.75"/>
    <x v="853"/>
    <x v="2"/>
    <x v="11"/>
    <x v="4"/>
  </r>
  <r>
    <x v="389"/>
    <x v="3"/>
    <x v="0"/>
    <x v="856"/>
    <n v="296.95"/>
    <x v="854"/>
    <x v="4"/>
    <x v="8"/>
    <x v="2"/>
  </r>
  <r>
    <x v="389"/>
    <x v="4"/>
    <x v="1"/>
    <x v="857"/>
    <n v="543.15"/>
    <x v="855"/>
    <x v="0"/>
    <x v="10"/>
    <x v="1"/>
  </r>
  <r>
    <x v="390"/>
    <x v="3"/>
    <x v="4"/>
    <x v="858"/>
    <n v="78.959999999999994"/>
    <x v="856"/>
    <x v="1"/>
    <x v="14"/>
    <x v="3"/>
  </r>
  <r>
    <x v="391"/>
    <x v="4"/>
    <x v="1"/>
    <x v="859"/>
    <n v="723.38"/>
    <x v="857"/>
    <x v="3"/>
    <x v="8"/>
    <x v="2"/>
  </r>
  <r>
    <x v="391"/>
    <x v="0"/>
    <x v="1"/>
    <x v="860"/>
    <n v="757.71"/>
    <x v="858"/>
    <x v="0"/>
    <x v="3"/>
    <x v="3"/>
  </r>
  <r>
    <x v="392"/>
    <x v="1"/>
    <x v="4"/>
    <x v="861"/>
    <n v="423.78"/>
    <x v="859"/>
    <x v="4"/>
    <x v="11"/>
    <x v="3"/>
  </r>
  <r>
    <x v="392"/>
    <x v="0"/>
    <x v="6"/>
    <x v="862"/>
    <n v="62.87"/>
    <x v="860"/>
    <x v="2"/>
    <x v="9"/>
    <x v="5"/>
  </r>
  <r>
    <x v="392"/>
    <x v="1"/>
    <x v="5"/>
    <x v="863"/>
    <n v="358.81"/>
    <x v="861"/>
    <x v="2"/>
    <x v="2"/>
    <x v="4"/>
  </r>
  <r>
    <x v="392"/>
    <x v="0"/>
    <x v="2"/>
    <x v="864"/>
    <n v="85.55"/>
    <x v="862"/>
    <x v="4"/>
    <x v="3"/>
    <x v="2"/>
  </r>
  <r>
    <x v="392"/>
    <x v="1"/>
    <x v="1"/>
    <x v="865"/>
    <n v="906.72"/>
    <x v="863"/>
    <x v="1"/>
    <x v="6"/>
    <x v="2"/>
  </r>
  <r>
    <x v="393"/>
    <x v="0"/>
    <x v="6"/>
    <x v="866"/>
    <n v="6"/>
    <x v="864"/>
    <x v="0"/>
    <x v="0"/>
    <x v="4"/>
  </r>
  <r>
    <x v="393"/>
    <x v="0"/>
    <x v="1"/>
    <x v="867"/>
    <n v="1012.19"/>
    <x v="865"/>
    <x v="2"/>
    <x v="13"/>
    <x v="5"/>
  </r>
  <r>
    <x v="393"/>
    <x v="2"/>
    <x v="4"/>
    <x v="868"/>
    <n v="127.88"/>
    <x v="866"/>
    <x v="0"/>
    <x v="4"/>
    <x v="2"/>
  </r>
  <r>
    <x v="393"/>
    <x v="3"/>
    <x v="5"/>
    <x v="869"/>
    <n v="73.790000000000006"/>
    <x v="867"/>
    <x v="3"/>
    <x v="12"/>
    <x v="5"/>
  </r>
  <r>
    <x v="394"/>
    <x v="2"/>
    <x v="4"/>
    <x v="870"/>
    <n v="208.35"/>
    <x v="868"/>
    <x v="4"/>
    <x v="7"/>
    <x v="2"/>
  </r>
  <r>
    <x v="394"/>
    <x v="0"/>
    <x v="2"/>
    <x v="871"/>
    <n v="16.25"/>
    <x v="869"/>
    <x v="1"/>
    <x v="6"/>
    <x v="5"/>
  </r>
  <r>
    <x v="394"/>
    <x v="0"/>
    <x v="1"/>
    <x v="872"/>
    <n v="661.1"/>
    <x v="870"/>
    <x v="4"/>
    <x v="8"/>
    <x v="3"/>
  </r>
  <r>
    <x v="394"/>
    <x v="2"/>
    <x v="2"/>
    <x v="873"/>
    <n v="25.94"/>
    <x v="871"/>
    <x v="3"/>
    <x v="1"/>
    <x v="5"/>
  </r>
  <r>
    <x v="395"/>
    <x v="3"/>
    <x v="2"/>
    <x v="874"/>
    <n v="84"/>
    <x v="872"/>
    <x v="3"/>
    <x v="5"/>
    <x v="5"/>
  </r>
  <r>
    <x v="395"/>
    <x v="2"/>
    <x v="0"/>
    <x v="875"/>
    <n v="850.28"/>
    <x v="873"/>
    <x v="4"/>
    <x v="9"/>
    <x v="2"/>
  </r>
  <r>
    <x v="396"/>
    <x v="4"/>
    <x v="4"/>
    <x v="876"/>
    <n v="171.56"/>
    <x v="874"/>
    <x v="3"/>
    <x v="0"/>
    <x v="1"/>
  </r>
  <r>
    <x v="397"/>
    <x v="4"/>
    <x v="1"/>
    <x v="877"/>
    <n v="840.81"/>
    <x v="875"/>
    <x v="4"/>
    <x v="14"/>
    <x v="5"/>
  </r>
  <r>
    <x v="397"/>
    <x v="4"/>
    <x v="6"/>
    <x v="878"/>
    <n v="83.55"/>
    <x v="876"/>
    <x v="0"/>
    <x v="5"/>
    <x v="2"/>
  </r>
  <r>
    <x v="398"/>
    <x v="4"/>
    <x v="6"/>
    <x v="879"/>
    <n v="33.9"/>
    <x v="877"/>
    <x v="0"/>
    <x v="14"/>
    <x v="1"/>
  </r>
  <r>
    <x v="399"/>
    <x v="1"/>
    <x v="0"/>
    <x v="880"/>
    <n v="678.96"/>
    <x v="878"/>
    <x v="4"/>
    <x v="1"/>
    <x v="5"/>
  </r>
  <r>
    <x v="399"/>
    <x v="4"/>
    <x v="1"/>
    <x v="881"/>
    <n v="327.74"/>
    <x v="879"/>
    <x v="1"/>
    <x v="3"/>
    <x v="0"/>
  </r>
  <r>
    <x v="400"/>
    <x v="2"/>
    <x v="1"/>
    <x v="882"/>
    <n v="596.72"/>
    <x v="880"/>
    <x v="3"/>
    <x v="1"/>
    <x v="2"/>
  </r>
  <r>
    <x v="400"/>
    <x v="2"/>
    <x v="4"/>
    <x v="883"/>
    <n v="176.82"/>
    <x v="881"/>
    <x v="3"/>
    <x v="11"/>
    <x v="0"/>
  </r>
  <r>
    <x v="401"/>
    <x v="1"/>
    <x v="0"/>
    <x v="884"/>
    <n v="282.98"/>
    <x v="882"/>
    <x v="0"/>
    <x v="12"/>
    <x v="2"/>
  </r>
  <r>
    <x v="402"/>
    <x v="2"/>
    <x v="4"/>
    <x v="885"/>
    <n v="71.19"/>
    <x v="883"/>
    <x v="0"/>
    <x v="11"/>
    <x v="0"/>
  </r>
  <r>
    <x v="403"/>
    <x v="0"/>
    <x v="2"/>
    <x v="886"/>
    <n v="72.900000000000006"/>
    <x v="884"/>
    <x v="4"/>
    <x v="6"/>
    <x v="1"/>
  </r>
  <r>
    <x v="403"/>
    <x v="0"/>
    <x v="4"/>
    <x v="887"/>
    <n v="237.3"/>
    <x v="885"/>
    <x v="1"/>
    <x v="6"/>
    <x v="4"/>
  </r>
  <r>
    <x v="404"/>
    <x v="3"/>
    <x v="6"/>
    <x v="888"/>
    <n v="3.12"/>
    <x v="886"/>
    <x v="4"/>
    <x v="11"/>
    <x v="4"/>
  </r>
  <r>
    <x v="404"/>
    <x v="4"/>
    <x v="3"/>
    <x v="369"/>
    <n v="12.19"/>
    <x v="887"/>
    <x v="1"/>
    <x v="13"/>
    <x v="1"/>
  </r>
  <r>
    <x v="404"/>
    <x v="4"/>
    <x v="4"/>
    <x v="889"/>
    <n v="147.80000000000001"/>
    <x v="888"/>
    <x v="2"/>
    <x v="2"/>
    <x v="0"/>
  </r>
  <r>
    <x v="405"/>
    <x v="4"/>
    <x v="1"/>
    <x v="890"/>
    <n v="359.6"/>
    <x v="889"/>
    <x v="2"/>
    <x v="12"/>
    <x v="4"/>
  </r>
  <r>
    <x v="406"/>
    <x v="4"/>
    <x v="1"/>
    <x v="891"/>
    <n v="184.31"/>
    <x v="890"/>
    <x v="0"/>
    <x v="14"/>
    <x v="2"/>
  </r>
  <r>
    <x v="406"/>
    <x v="2"/>
    <x v="0"/>
    <x v="892"/>
    <n v="377.28"/>
    <x v="891"/>
    <x v="0"/>
    <x v="0"/>
    <x v="5"/>
  </r>
  <r>
    <x v="407"/>
    <x v="2"/>
    <x v="2"/>
    <x v="893"/>
    <n v="61.19"/>
    <x v="892"/>
    <x v="3"/>
    <x v="0"/>
    <x v="0"/>
  </r>
  <r>
    <x v="408"/>
    <x v="2"/>
    <x v="6"/>
    <x v="894"/>
    <n v="4.13"/>
    <x v="893"/>
    <x v="4"/>
    <x v="10"/>
    <x v="3"/>
  </r>
  <r>
    <x v="408"/>
    <x v="3"/>
    <x v="3"/>
    <x v="895"/>
    <n v="47.9"/>
    <x v="894"/>
    <x v="4"/>
    <x v="0"/>
    <x v="4"/>
  </r>
  <r>
    <x v="409"/>
    <x v="3"/>
    <x v="4"/>
    <x v="896"/>
    <n v="300.57"/>
    <x v="895"/>
    <x v="0"/>
    <x v="8"/>
    <x v="2"/>
  </r>
  <r>
    <x v="410"/>
    <x v="2"/>
    <x v="4"/>
    <x v="897"/>
    <n v="265.98"/>
    <x v="896"/>
    <x v="2"/>
    <x v="5"/>
    <x v="4"/>
  </r>
  <r>
    <x v="411"/>
    <x v="1"/>
    <x v="0"/>
    <x v="898"/>
    <n v="165.49"/>
    <x v="897"/>
    <x v="1"/>
    <x v="5"/>
    <x v="2"/>
  </r>
  <r>
    <x v="412"/>
    <x v="1"/>
    <x v="1"/>
    <x v="899"/>
    <n v="339.54"/>
    <x v="898"/>
    <x v="0"/>
    <x v="6"/>
    <x v="0"/>
  </r>
  <r>
    <x v="412"/>
    <x v="4"/>
    <x v="3"/>
    <x v="900"/>
    <n v="7.48"/>
    <x v="899"/>
    <x v="4"/>
    <x v="9"/>
    <x v="2"/>
  </r>
  <r>
    <x v="413"/>
    <x v="2"/>
    <x v="5"/>
    <x v="901"/>
    <n v="101.72"/>
    <x v="900"/>
    <x v="1"/>
    <x v="7"/>
    <x v="2"/>
  </r>
  <r>
    <x v="414"/>
    <x v="2"/>
    <x v="2"/>
    <x v="902"/>
    <n v="121.94"/>
    <x v="901"/>
    <x v="4"/>
    <x v="2"/>
    <x v="4"/>
  </r>
  <r>
    <x v="415"/>
    <x v="4"/>
    <x v="6"/>
    <x v="903"/>
    <n v="55.04"/>
    <x v="902"/>
    <x v="1"/>
    <x v="9"/>
    <x v="3"/>
  </r>
  <r>
    <x v="415"/>
    <x v="3"/>
    <x v="5"/>
    <x v="904"/>
    <n v="213.08"/>
    <x v="903"/>
    <x v="2"/>
    <x v="10"/>
    <x v="3"/>
  </r>
  <r>
    <x v="416"/>
    <x v="0"/>
    <x v="2"/>
    <x v="905"/>
    <n v="58.02"/>
    <x v="904"/>
    <x v="0"/>
    <x v="12"/>
    <x v="5"/>
  </r>
  <r>
    <x v="417"/>
    <x v="3"/>
    <x v="5"/>
    <x v="906"/>
    <n v="251.55"/>
    <x v="905"/>
    <x v="3"/>
    <x v="12"/>
    <x v="1"/>
  </r>
  <r>
    <x v="417"/>
    <x v="1"/>
    <x v="6"/>
    <x v="907"/>
    <n v="23.04"/>
    <x v="906"/>
    <x v="1"/>
    <x v="8"/>
    <x v="2"/>
  </r>
  <r>
    <x v="417"/>
    <x v="0"/>
    <x v="1"/>
    <x v="908"/>
    <n v="809.89"/>
    <x v="907"/>
    <x v="1"/>
    <x v="2"/>
    <x v="2"/>
  </r>
  <r>
    <x v="418"/>
    <x v="4"/>
    <x v="6"/>
    <x v="909"/>
    <n v="94.11"/>
    <x v="908"/>
    <x v="4"/>
    <x v="2"/>
    <x v="2"/>
  </r>
  <r>
    <x v="419"/>
    <x v="1"/>
    <x v="6"/>
    <x v="910"/>
    <n v="67.739999999999995"/>
    <x v="909"/>
    <x v="1"/>
    <x v="7"/>
    <x v="2"/>
  </r>
  <r>
    <x v="420"/>
    <x v="1"/>
    <x v="3"/>
    <x v="911"/>
    <n v="33.18"/>
    <x v="910"/>
    <x v="0"/>
    <x v="11"/>
    <x v="3"/>
  </r>
  <r>
    <x v="421"/>
    <x v="3"/>
    <x v="5"/>
    <x v="912"/>
    <n v="84.65"/>
    <x v="911"/>
    <x v="4"/>
    <x v="13"/>
    <x v="0"/>
  </r>
  <r>
    <x v="421"/>
    <x v="0"/>
    <x v="3"/>
    <x v="913"/>
    <n v="24.62"/>
    <x v="912"/>
    <x v="0"/>
    <x v="0"/>
    <x v="1"/>
  </r>
  <r>
    <x v="422"/>
    <x v="3"/>
    <x v="3"/>
    <x v="914"/>
    <n v="27.76"/>
    <x v="913"/>
    <x v="4"/>
    <x v="7"/>
    <x v="1"/>
  </r>
  <r>
    <x v="422"/>
    <x v="4"/>
    <x v="4"/>
    <x v="915"/>
    <n v="259.27"/>
    <x v="29"/>
    <x v="4"/>
    <x v="1"/>
    <x v="4"/>
  </r>
  <r>
    <x v="423"/>
    <x v="4"/>
    <x v="1"/>
    <x v="916"/>
    <n v="610.04"/>
    <x v="914"/>
    <x v="2"/>
    <x v="10"/>
    <x v="0"/>
  </r>
  <r>
    <x v="423"/>
    <x v="0"/>
    <x v="1"/>
    <x v="917"/>
    <n v="488.73"/>
    <x v="915"/>
    <x v="4"/>
    <x v="4"/>
    <x v="4"/>
  </r>
  <r>
    <x v="424"/>
    <x v="0"/>
    <x v="4"/>
    <x v="918"/>
    <n v="32.25"/>
    <x v="916"/>
    <x v="3"/>
    <x v="5"/>
    <x v="0"/>
  </r>
  <r>
    <x v="425"/>
    <x v="0"/>
    <x v="0"/>
    <x v="919"/>
    <n v="499.27"/>
    <x v="917"/>
    <x v="4"/>
    <x v="13"/>
    <x v="2"/>
  </r>
  <r>
    <x v="425"/>
    <x v="3"/>
    <x v="6"/>
    <x v="920"/>
    <n v="56.76"/>
    <x v="918"/>
    <x v="0"/>
    <x v="8"/>
    <x v="3"/>
  </r>
  <r>
    <x v="425"/>
    <x v="1"/>
    <x v="4"/>
    <x v="921"/>
    <n v="177.6"/>
    <x v="919"/>
    <x v="0"/>
    <x v="7"/>
    <x v="0"/>
  </r>
  <r>
    <x v="426"/>
    <x v="2"/>
    <x v="1"/>
    <x v="922"/>
    <n v="159.49"/>
    <x v="920"/>
    <x v="1"/>
    <x v="0"/>
    <x v="1"/>
  </r>
  <r>
    <x v="427"/>
    <x v="0"/>
    <x v="5"/>
    <x v="923"/>
    <n v="129.52000000000001"/>
    <x v="921"/>
    <x v="3"/>
    <x v="8"/>
    <x v="4"/>
  </r>
  <r>
    <x v="427"/>
    <x v="1"/>
    <x v="5"/>
    <x v="924"/>
    <n v="334.86"/>
    <x v="922"/>
    <x v="4"/>
    <x v="0"/>
    <x v="1"/>
  </r>
  <r>
    <x v="427"/>
    <x v="4"/>
    <x v="6"/>
    <x v="925"/>
    <n v="63.02"/>
    <x v="923"/>
    <x v="3"/>
    <x v="8"/>
    <x v="1"/>
  </r>
  <r>
    <x v="427"/>
    <x v="4"/>
    <x v="0"/>
    <x v="926"/>
    <n v="597.52"/>
    <x v="924"/>
    <x v="1"/>
    <x v="13"/>
    <x v="5"/>
  </r>
  <r>
    <x v="427"/>
    <x v="0"/>
    <x v="0"/>
    <x v="927"/>
    <n v="432.84"/>
    <x v="925"/>
    <x v="4"/>
    <x v="8"/>
    <x v="3"/>
  </r>
  <r>
    <x v="427"/>
    <x v="0"/>
    <x v="0"/>
    <x v="928"/>
    <n v="714.78"/>
    <x v="926"/>
    <x v="3"/>
    <x v="3"/>
    <x v="0"/>
  </r>
  <r>
    <x v="428"/>
    <x v="0"/>
    <x v="5"/>
    <x v="929"/>
    <n v="502.66"/>
    <x v="927"/>
    <x v="3"/>
    <x v="4"/>
    <x v="1"/>
  </r>
  <r>
    <x v="428"/>
    <x v="4"/>
    <x v="1"/>
    <x v="930"/>
    <n v="367.11"/>
    <x v="928"/>
    <x v="1"/>
    <x v="4"/>
    <x v="1"/>
  </r>
  <r>
    <x v="429"/>
    <x v="3"/>
    <x v="6"/>
    <x v="931"/>
    <n v="70.28"/>
    <x v="929"/>
    <x v="0"/>
    <x v="11"/>
    <x v="1"/>
  </r>
  <r>
    <x v="430"/>
    <x v="3"/>
    <x v="3"/>
    <x v="932"/>
    <n v="4.6399999999999997"/>
    <x v="930"/>
    <x v="3"/>
    <x v="0"/>
    <x v="0"/>
  </r>
  <r>
    <x v="430"/>
    <x v="4"/>
    <x v="0"/>
    <x v="933"/>
    <n v="115.37"/>
    <x v="931"/>
    <x v="1"/>
    <x v="1"/>
    <x v="1"/>
  </r>
  <r>
    <x v="431"/>
    <x v="3"/>
    <x v="3"/>
    <x v="934"/>
    <n v="5.31"/>
    <x v="932"/>
    <x v="3"/>
    <x v="10"/>
    <x v="2"/>
  </r>
  <r>
    <x v="432"/>
    <x v="1"/>
    <x v="1"/>
    <x v="935"/>
    <n v="190.77"/>
    <x v="933"/>
    <x v="3"/>
    <x v="5"/>
    <x v="4"/>
  </r>
  <r>
    <x v="432"/>
    <x v="0"/>
    <x v="5"/>
    <x v="936"/>
    <n v="183.52"/>
    <x v="934"/>
    <x v="0"/>
    <x v="5"/>
    <x v="4"/>
  </r>
  <r>
    <x v="432"/>
    <x v="1"/>
    <x v="1"/>
    <x v="937"/>
    <n v="640.99"/>
    <x v="935"/>
    <x v="0"/>
    <x v="1"/>
    <x v="2"/>
  </r>
  <r>
    <x v="433"/>
    <x v="0"/>
    <x v="5"/>
    <x v="938"/>
    <n v="53"/>
    <x v="936"/>
    <x v="3"/>
    <x v="5"/>
    <x v="3"/>
  </r>
  <r>
    <x v="433"/>
    <x v="2"/>
    <x v="0"/>
    <x v="939"/>
    <n v="96.69"/>
    <x v="937"/>
    <x v="3"/>
    <x v="10"/>
    <x v="0"/>
  </r>
  <r>
    <x v="434"/>
    <x v="2"/>
    <x v="6"/>
    <x v="940"/>
    <n v="90.18"/>
    <x v="938"/>
    <x v="4"/>
    <x v="12"/>
    <x v="2"/>
  </r>
  <r>
    <x v="434"/>
    <x v="2"/>
    <x v="2"/>
    <x v="941"/>
    <n v="81.89"/>
    <x v="939"/>
    <x v="1"/>
    <x v="12"/>
    <x v="3"/>
  </r>
  <r>
    <x v="435"/>
    <x v="0"/>
    <x v="0"/>
    <x v="942"/>
    <n v="822.02"/>
    <x v="940"/>
    <x v="4"/>
    <x v="5"/>
    <x v="0"/>
  </r>
  <r>
    <x v="435"/>
    <x v="3"/>
    <x v="0"/>
    <x v="943"/>
    <n v="797.93"/>
    <x v="941"/>
    <x v="3"/>
    <x v="5"/>
    <x v="1"/>
  </r>
  <r>
    <x v="435"/>
    <x v="3"/>
    <x v="2"/>
    <x v="944"/>
    <n v="71.180000000000007"/>
    <x v="942"/>
    <x v="4"/>
    <x v="2"/>
    <x v="4"/>
  </r>
  <r>
    <x v="435"/>
    <x v="1"/>
    <x v="5"/>
    <x v="945"/>
    <n v="310.26"/>
    <x v="943"/>
    <x v="3"/>
    <x v="9"/>
    <x v="0"/>
  </r>
  <r>
    <x v="436"/>
    <x v="1"/>
    <x v="2"/>
    <x v="946"/>
    <n v="18.03"/>
    <x v="944"/>
    <x v="2"/>
    <x v="3"/>
    <x v="5"/>
  </r>
  <r>
    <x v="437"/>
    <x v="2"/>
    <x v="6"/>
    <x v="947"/>
    <n v="26.98"/>
    <x v="945"/>
    <x v="4"/>
    <x v="6"/>
    <x v="5"/>
  </r>
  <r>
    <x v="438"/>
    <x v="4"/>
    <x v="2"/>
    <x v="948"/>
    <n v="83.66"/>
    <x v="946"/>
    <x v="1"/>
    <x v="13"/>
    <x v="2"/>
  </r>
  <r>
    <x v="438"/>
    <x v="0"/>
    <x v="6"/>
    <x v="949"/>
    <n v="46.57"/>
    <x v="947"/>
    <x v="1"/>
    <x v="5"/>
    <x v="4"/>
  </r>
  <r>
    <x v="439"/>
    <x v="0"/>
    <x v="5"/>
    <x v="950"/>
    <n v="375.5"/>
    <x v="948"/>
    <x v="4"/>
    <x v="4"/>
    <x v="3"/>
  </r>
  <r>
    <x v="439"/>
    <x v="1"/>
    <x v="0"/>
    <x v="951"/>
    <n v="853.05"/>
    <x v="949"/>
    <x v="0"/>
    <x v="8"/>
    <x v="2"/>
  </r>
  <r>
    <x v="439"/>
    <x v="3"/>
    <x v="5"/>
    <x v="952"/>
    <n v="94.34"/>
    <x v="950"/>
    <x v="1"/>
    <x v="12"/>
    <x v="5"/>
  </r>
  <r>
    <x v="440"/>
    <x v="3"/>
    <x v="5"/>
    <x v="953"/>
    <n v="304.85000000000002"/>
    <x v="76"/>
    <x v="1"/>
    <x v="5"/>
    <x v="2"/>
  </r>
  <r>
    <x v="441"/>
    <x v="0"/>
    <x v="3"/>
    <x v="954"/>
    <n v="11.56"/>
    <x v="951"/>
    <x v="4"/>
    <x v="10"/>
    <x v="4"/>
  </r>
  <r>
    <x v="442"/>
    <x v="4"/>
    <x v="0"/>
    <x v="955"/>
    <n v="143.13999999999999"/>
    <x v="952"/>
    <x v="4"/>
    <x v="3"/>
    <x v="2"/>
  </r>
  <r>
    <x v="443"/>
    <x v="4"/>
    <x v="0"/>
    <x v="956"/>
    <n v="294.75"/>
    <x v="953"/>
    <x v="4"/>
    <x v="12"/>
    <x v="1"/>
  </r>
  <r>
    <x v="444"/>
    <x v="2"/>
    <x v="2"/>
    <x v="957"/>
    <n v="11.62"/>
    <x v="954"/>
    <x v="1"/>
    <x v="2"/>
    <x v="0"/>
  </r>
  <r>
    <x v="445"/>
    <x v="2"/>
    <x v="2"/>
    <x v="958"/>
    <n v="85.66"/>
    <x v="955"/>
    <x v="4"/>
    <x v="3"/>
    <x v="0"/>
  </r>
  <r>
    <x v="446"/>
    <x v="3"/>
    <x v="2"/>
    <x v="959"/>
    <n v="74.41"/>
    <x v="956"/>
    <x v="2"/>
    <x v="10"/>
    <x v="1"/>
  </r>
  <r>
    <x v="446"/>
    <x v="3"/>
    <x v="5"/>
    <x v="960"/>
    <n v="510.27"/>
    <x v="957"/>
    <x v="0"/>
    <x v="13"/>
    <x v="2"/>
  </r>
  <r>
    <x v="446"/>
    <x v="2"/>
    <x v="4"/>
    <x v="961"/>
    <n v="260.37"/>
    <x v="958"/>
    <x v="0"/>
    <x v="1"/>
    <x v="4"/>
  </r>
  <r>
    <x v="447"/>
    <x v="2"/>
    <x v="5"/>
    <x v="962"/>
    <n v="338.43"/>
    <x v="959"/>
    <x v="1"/>
    <x v="11"/>
    <x v="3"/>
  </r>
  <r>
    <x v="447"/>
    <x v="4"/>
    <x v="5"/>
    <x v="963"/>
    <n v="283.27"/>
    <x v="960"/>
    <x v="4"/>
    <x v="1"/>
    <x v="2"/>
  </r>
  <r>
    <x v="448"/>
    <x v="4"/>
    <x v="0"/>
    <x v="964"/>
    <n v="646.41999999999996"/>
    <x v="961"/>
    <x v="3"/>
    <x v="8"/>
    <x v="4"/>
  </r>
  <r>
    <x v="448"/>
    <x v="2"/>
    <x v="4"/>
    <x v="965"/>
    <n v="152.33000000000001"/>
    <x v="962"/>
    <x v="0"/>
    <x v="4"/>
    <x v="0"/>
  </r>
  <r>
    <x v="449"/>
    <x v="1"/>
    <x v="4"/>
    <x v="966"/>
    <n v="236.96"/>
    <x v="963"/>
    <x v="2"/>
    <x v="0"/>
    <x v="5"/>
  </r>
  <r>
    <x v="450"/>
    <x v="4"/>
    <x v="0"/>
    <x v="967"/>
    <n v="424.66"/>
    <x v="964"/>
    <x v="1"/>
    <x v="11"/>
    <x v="1"/>
  </r>
  <r>
    <x v="451"/>
    <x v="2"/>
    <x v="0"/>
    <x v="968"/>
    <n v="457.29"/>
    <x v="965"/>
    <x v="4"/>
    <x v="10"/>
    <x v="2"/>
  </r>
  <r>
    <x v="452"/>
    <x v="4"/>
    <x v="1"/>
    <x v="969"/>
    <n v="138.04"/>
    <x v="966"/>
    <x v="1"/>
    <x v="4"/>
    <x v="1"/>
  </r>
  <r>
    <x v="453"/>
    <x v="0"/>
    <x v="5"/>
    <x v="970"/>
    <n v="480.84"/>
    <x v="967"/>
    <x v="3"/>
    <x v="9"/>
    <x v="4"/>
  </r>
  <r>
    <x v="453"/>
    <x v="2"/>
    <x v="1"/>
    <x v="971"/>
    <n v="761.03"/>
    <x v="968"/>
    <x v="0"/>
    <x v="10"/>
    <x v="5"/>
  </r>
  <r>
    <x v="454"/>
    <x v="3"/>
    <x v="0"/>
    <x v="972"/>
    <n v="367.72"/>
    <x v="969"/>
    <x v="4"/>
    <x v="5"/>
    <x v="3"/>
  </r>
  <r>
    <x v="454"/>
    <x v="1"/>
    <x v="1"/>
    <x v="973"/>
    <n v="577.20000000000005"/>
    <x v="970"/>
    <x v="4"/>
    <x v="3"/>
    <x v="2"/>
  </r>
  <r>
    <x v="454"/>
    <x v="3"/>
    <x v="3"/>
    <x v="974"/>
    <n v="35.99"/>
    <x v="971"/>
    <x v="2"/>
    <x v="13"/>
    <x v="4"/>
  </r>
  <r>
    <x v="454"/>
    <x v="4"/>
    <x v="6"/>
    <x v="975"/>
    <n v="15.36"/>
    <x v="972"/>
    <x v="4"/>
    <x v="4"/>
    <x v="2"/>
  </r>
  <r>
    <x v="455"/>
    <x v="1"/>
    <x v="5"/>
    <x v="976"/>
    <n v="138.63"/>
    <x v="973"/>
    <x v="2"/>
    <x v="10"/>
    <x v="4"/>
  </r>
  <r>
    <x v="456"/>
    <x v="2"/>
    <x v="4"/>
    <x v="977"/>
    <n v="294.72000000000003"/>
    <x v="974"/>
    <x v="1"/>
    <x v="2"/>
    <x v="3"/>
  </r>
  <r>
    <x v="457"/>
    <x v="3"/>
    <x v="2"/>
    <x v="978"/>
    <n v="104.72"/>
    <x v="975"/>
    <x v="4"/>
    <x v="1"/>
    <x v="3"/>
  </r>
  <r>
    <x v="458"/>
    <x v="3"/>
    <x v="2"/>
    <x v="979"/>
    <n v="162.58000000000001"/>
    <x v="976"/>
    <x v="2"/>
    <x v="14"/>
    <x v="0"/>
  </r>
  <r>
    <x v="459"/>
    <x v="3"/>
    <x v="3"/>
    <x v="391"/>
    <n v="31.86"/>
    <x v="977"/>
    <x v="0"/>
    <x v="4"/>
    <x v="0"/>
  </r>
  <r>
    <x v="459"/>
    <x v="0"/>
    <x v="1"/>
    <x v="980"/>
    <n v="118.06"/>
    <x v="978"/>
    <x v="1"/>
    <x v="9"/>
    <x v="0"/>
  </r>
  <r>
    <x v="460"/>
    <x v="0"/>
    <x v="2"/>
    <x v="981"/>
    <n v="172.11"/>
    <x v="979"/>
    <x v="4"/>
    <x v="1"/>
    <x v="4"/>
  </r>
  <r>
    <x v="460"/>
    <x v="2"/>
    <x v="0"/>
    <x v="982"/>
    <n v="466.32"/>
    <x v="980"/>
    <x v="1"/>
    <x v="10"/>
    <x v="3"/>
  </r>
  <r>
    <x v="461"/>
    <x v="1"/>
    <x v="5"/>
    <x v="983"/>
    <n v="389.39"/>
    <x v="981"/>
    <x v="1"/>
    <x v="0"/>
    <x v="3"/>
  </r>
  <r>
    <x v="461"/>
    <x v="2"/>
    <x v="4"/>
    <x v="984"/>
    <n v="244.55"/>
    <x v="982"/>
    <x v="2"/>
    <x v="6"/>
    <x v="2"/>
  </r>
  <r>
    <x v="461"/>
    <x v="3"/>
    <x v="2"/>
    <x v="985"/>
    <n v="72.19"/>
    <x v="983"/>
    <x v="2"/>
    <x v="5"/>
    <x v="0"/>
  </r>
  <r>
    <x v="462"/>
    <x v="2"/>
    <x v="3"/>
    <x v="986"/>
    <n v="31.69"/>
    <x v="984"/>
    <x v="1"/>
    <x v="12"/>
    <x v="1"/>
  </r>
  <r>
    <x v="462"/>
    <x v="0"/>
    <x v="4"/>
    <x v="987"/>
    <n v="192.11"/>
    <x v="985"/>
    <x v="4"/>
    <x v="8"/>
    <x v="1"/>
  </r>
  <r>
    <x v="463"/>
    <x v="2"/>
    <x v="1"/>
    <x v="988"/>
    <n v="328.41"/>
    <x v="986"/>
    <x v="3"/>
    <x v="7"/>
    <x v="2"/>
  </r>
  <r>
    <x v="463"/>
    <x v="4"/>
    <x v="6"/>
    <x v="989"/>
    <n v="54.57"/>
    <x v="987"/>
    <x v="0"/>
    <x v="3"/>
    <x v="3"/>
  </r>
  <r>
    <x v="464"/>
    <x v="1"/>
    <x v="2"/>
    <x v="990"/>
    <n v="87.71"/>
    <x v="988"/>
    <x v="2"/>
    <x v="4"/>
    <x v="2"/>
  </r>
  <r>
    <x v="465"/>
    <x v="3"/>
    <x v="3"/>
    <x v="991"/>
    <n v="29.34"/>
    <x v="989"/>
    <x v="2"/>
    <x v="1"/>
    <x v="4"/>
  </r>
  <r>
    <x v="465"/>
    <x v="0"/>
    <x v="1"/>
    <x v="992"/>
    <n v="409.26"/>
    <x v="990"/>
    <x v="3"/>
    <x v="10"/>
    <x v="4"/>
  </r>
  <r>
    <x v="466"/>
    <x v="1"/>
    <x v="1"/>
    <x v="993"/>
    <n v="612.65"/>
    <x v="991"/>
    <x v="3"/>
    <x v="1"/>
    <x v="2"/>
  </r>
  <r>
    <x v="466"/>
    <x v="4"/>
    <x v="5"/>
    <x v="994"/>
    <n v="199.78"/>
    <x v="992"/>
    <x v="3"/>
    <x v="11"/>
    <x v="1"/>
  </r>
  <r>
    <x v="467"/>
    <x v="0"/>
    <x v="4"/>
    <x v="995"/>
    <n v="203.81"/>
    <x v="993"/>
    <x v="0"/>
    <x v="4"/>
    <x v="1"/>
  </r>
  <r>
    <x v="468"/>
    <x v="1"/>
    <x v="4"/>
    <x v="996"/>
    <n v="346.54"/>
    <x v="994"/>
    <x v="0"/>
    <x v="3"/>
    <x v="0"/>
  </r>
  <r>
    <x v="469"/>
    <x v="3"/>
    <x v="5"/>
    <x v="997"/>
    <n v="394.74"/>
    <x v="995"/>
    <x v="3"/>
    <x v="1"/>
    <x v="2"/>
  </r>
  <r>
    <x v="469"/>
    <x v="4"/>
    <x v="3"/>
    <x v="998"/>
    <n v="39.17"/>
    <x v="996"/>
    <x v="4"/>
    <x v="0"/>
    <x v="2"/>
  </r>
  <r>
    <x v="470"/>
    <x v="1"/>
    <x v="6"/>
    <x v="999"/>
    <n v="11.08"/>
    <x v="997"/>
    <x v="3"/>
    <x v="7"/>
    <x v="0"/>
  </r>
  <r>
    <x v="470"/>
    <x v="0"/>
    <x v="1"/>
    <x v="1000"/>
    <n v="146.54"/>
    <x v="998"/>
    <x v="4"/>
    <x v="3"/>
    <x v="3"/>
  </r>
  <r>
    <x v="471"/>
    <x v="3"/>
    <x v="2"/>
    <x v="1001"/>
    <n v="55.7"/>
    <x v="999"/>
    <x v="3"/>
    <x v="10"/>
    <x v="4"/>
  </r>
  <r>
    <x v="471"/>
    <x v="4"/>
    <x v="0"/>
    <x v="1002"/>
    <n v="175.37"/>
    <x v="1000"/>
    <x v="3"/>
    <x v="3"/>
    <x v="1"/>
  </r>
  <r>
    <x v="472"/>
    <x v="3"/>
    <x v="0"/>
    <x v="1003"/>
    <n v="298.57"/>
    <x v="1001"/>
    <x v="3"/>
    <x v="11"/>
    <x v="3"/>
  </r>
  <r>
    <x v="472"/>
    <x v="4"/>
    <x v="4"/>
    <x v="1004"/>
    <n v="327.95"/>
    <x v="1002"/>
    <x v="3"/>
    <x v="7"/>
    <x v="2"/>
  </r>
  <r>
    <x v="473"/>
    <x v="2"/>
    <x v="0"/>
    <x v="1005"/>
    <n v="561.14"/>
    <x v="1003"/>
    <x v="0"/>
    <x v="11"/>
    <x v="4"/>
  </r>
  <r>
    <x v="474"/>
    <x v="0"/>
    <x v="1"/>
    <x v="1006"/>
    <n v="713.72"/>
    <x v="1004"/>
    <x v="1"/>
    <x v="10"/>
    <x v="5"/>
  </r>
  <r>
    <x v="474"/>
    <x v="4"/>
    <x v="0"/>
    <x v="1007"/>
    <n v="32.03"/>
    <x v="1005"/>
    <x v="0"/>
    <x v="3"/>
    <x v="3"/>
  </r>
  <r>
    <x v="475"/>
    <x v="0"/>
    <x v="4"/>
    <x v="1008"/>
    <n v="91.15"/>
    <x v="1006"/>
    <x v="4"/>
    <x v="13"/>
    <x v="0"/>
  </r>
  <r>
    <x v="475"/>
    <x v="1"/>
    <x v="5"/>
    <x v="1009"/>
    <n v="139.91"/>
    <x v="1007"/>
    <x v="0"/>
    <x v="9"/>
    <x v="4"/>
  </r>
  <r>
    <x v="475"/>
    <x v="0"/>
    <x v="6"/>
    <x v="1010"/>
    <n v="36.979999999999997"/>
    <x v="1008"/>
    <x v="4"/>
    <x v="12"/>
    <x v="4"/>
  </r>
  <r>
    <x v="476"/>
    <x v="1"/>
    <x v="0"/>
    <x v="1011"/>
    <n v="461.77"/>
    <x v="1009"/>
    <x v="3"/>
    <x v="13"/>
    <x v="4"/>
  </r>
  <r>
    <x v="477"/>
    <x v="1"/>
    <x v="5"/>
    <x v="1012"/>
    <n v="315.19"/>
    <x v="1010"/>
    <x v="3"/>
    <x v="13"/>
    <x v="1"/>
  </r>
  <r>
    <x v="477"/>
    <x v="3"/>
    <x v="1"/>
    <x v="1013"/>
    <n v="47.62"/>
    <x v="1011"/>
    <x v="0"/>
    <x v="13"/>
    <x v="3"/>
  </r>
  <r>
    <x v="477"/>
    <x v="2"/>
    <x v="4"/>
    <x v="1014"/>
    <n v="159.63"/>
    <x v="1012"/>
    <x v="1"/>
    <x v="8"/>
    <x v="0"/>
  </r>
  <r>
    <x v="477"/>
    <x v="2"/>
    <x v="4"/>
    <x v="1015"/>
    <n v="334.34"/>
    <x v="1013"/>
    <x v="1"/>
    <x v="4"/>
    <x v="0"/>
  </r>
  <r>
    <x v="478"/>
    <x v="2"/>
    <x v="2"/>
    <x v="1016"/>
    <n v="192.55"/>
    <x v="1014"/>
    <x v="3"/>
    <x v="0"/>
    <x v="3"/>
  </r>
  <r>
    <x v="478"/>
    <x v="4"/>
    <x v="2"/>
    <x v="1017"/>
    <n v="149.55000000000001"/>
    <x v="1015"/>
    <x v="2"/>
    <x v="8"/>
    <x v="5"/>
  </r>
  <r>
    <x v="478"/>
    <x v="4"/>
    <x v="2"/>
    <x v="1018"/>
    <n v="149.16"/>
    <x v="1016"/>
    <x v="0"/>
    <x v="12"/>
    <x v="2"/>
  </r>
  <r>
    <x v="478"/>
    <x v="3"/>
    <x v="5"/>
    <x v="1019"/>
    <n v="399.12"/>
    <x v="1017"/>
    <x v="1"/>
    <x v="6"/>
    <x v="3"/>
  </r>
  <r>
    <x v="479"/>
    <x v="4"/>
    <x v="6"/>
    <x v="1020"/>
    <n v="49.94"/>
    <x v="1018"/>
    <x v="0"/>
    <x v="6"/>
    <x v="2"/>
  </r>
  <r>
    <x v="479"/>
    <x v="4"/>
    <x v="3"/>
    <x v="1021"/>
    <n v="35"/>
    <x v="1019"/>
    <x v="2"/>
    <x v="3"/>
    <x v="1"/>
  </r>
  <r>
    <x v="480"/>
    <x v="1"/>
    <x v="0"/>
    <x v="1022"/>
    <n v="175.22"/>
    <x v="1020"/>
    <x v="2"/>
    <x v="7"/>
    <x v="1"/>
  </r>
  <r>
    <x v="481"/>
    <x v="4"/>
    <x v="4"/>
    <x v="1023"/>
    <n v="28.58"/>
    <x v="1021"/>
    <x v="1"/>
    <x v="13"/>
    <x v="3"/>
  </r>
  <r>
    <x v="482"/>
    <x v="2"/>
    <x v="0"/>
    <x v="1024"/>
    <n v="515.58000000000004"/>
    <x v="1022"/>
    <x v="1"/>
    <x v="11"/>
    <x v="3"/>
  </r>
  <r>
    <x v="483"/>
    <x v="1"/>
    <x v="4"/>
    <x v="1025"/>
    <n v="86.09"/>
    <x v="1023"/>
    <x v="1"/>
    <x v="7"/>
    <x v="1"/>
  </r>
  <r>
    <x v="483"/>
    <x v="0"/>
    <x v="4"/>
    <x v="1026"/>
    <n v="165.32"/>
    <x v="1024"/>
    <x v="1"/>
    <x v="1"/>
    <x v="4"/>
  </r>
  <r>
    <x v="483"/>
    <x v="0"/>
    <x v="0"/>
    <x v="1027"/>
    <n v="654.29999999999995"/>
    <x v="1025"/>
    <x v="1"/>
    <x v="2"/>
    <x v="1"/>
  </r>
  <r>
    <x v="483"/>
    <x v="1"/>
    <x v="0"/>
    <x v="1028"/>
    <n v="160.26"/>
    <x v="1026"/>
    <x v="4"/>
    <x v="2"/>
    <x v="3"/>
  </r>
  <r>
    <x v="484"/>
    <x v="1"/>
    <x v="4"/>
    <x v="1029"/>
    <n v="253.25"/>
    <x v="1027"/>
    <x v="1"/>
    <x v="3"/>
    <x v="3"/>
  </r>
  <r>
    <x v="484"/>
    <x v="4"/>
    <x v="1"/>
    <x v="1030"/>
    <n v="854.01"/>
    <x v="1028"/>
    <x v="3"/>
    <x v="6"/>
    <x v="5"/>
  </r>
  <r>
    <x v="484"/>
    <x v="0"/>
    <x v="3"/>
    <x v="1031"/>
    <n v="17.920000000000002"/>
    <x v="1029"/>
    <x v="4"/>
    <x v="8"/>
    <x v="5"/>
  </r>
  <r>
    <x v="484"/>
    <x v="3"/>
    <x v="0"/>
    <x v="1032"/>
    <n v="423.81"/>
    <x v="1030"/>
    <x v="4"/>
    <x v="14"/>
    <x v="3"/>
  </r>
  <r>
    <x v="484"/>
    <x v="4"/>
    <x v="6"/>
    <x v="1033"/>
    <n v="43.83"/>
    <x v="1031"/>
    <x v="3"/>
    <x v="1"/>
    <x v="4"/>
  </r>
  <r>
    <x v="485"/>
    <x v="4"/>
    <x v="1"/>
    <x v="1034"/>
    <n v="896.23"/>
    <x v="1032"/>
    <x v="2"/>
    <x v="5"/>
    <x v="4"/>
  </r>
  <r>
    <x v="486"/>
    <x v="0"/>
    <x v="6"/>
    <x v="1035"/>
    <n v="70.53"/>
    <x v="1033"/>
    <x v="2"/>
    <x v="3"/>
    <x v="4"/>
  </r>
  <r>
    <x v="487"/>
    <x v="2"/>
    <x v="1"/>
    <x v="1036"/>
    <n v="710.68"/>
    <x v="1034"/>
    <x v="1"/>
    <x v="4"/>
    <x v="4"/>
  </r>
  <r>
    <x v="488"/>
    <x v="3"/>
    <x v="3"/>
    <x v="1037"/>
    <n v="41.05"/>
    <x v="80"/>
    <x v="1"/>
    <x v="6"/>
    <x v="3"/>
  </r>
  <r>
    <x v="488"/>
    <x v="0"/>
    <x v="0"/>
    <x v="1038"/>
    <n v="246.06"/>
    <x v="1035"/>
    <x v="4"/>
    <x v="1"/>
    <x v="3"/>
  </r>
  <r>
    <x v="489"/>
    <x v="1"/>
    <x v="4"/>
    <x v="1039"/>
    <n v="342.35"/>
    <x v="1036"/>
    <x v="3"/>
    <x v="11"/>
    <x v="3"/>
  </r>
  <r>
    <x v="490"/>
    <x v="2"/>
    <x v="4"/>
    <x v="1040"/>
    <n v="192.1"/>
    <x v="1037"/>
    <x v="2"/>
    <x v="9"/>
    <x v="3"/>
  </r>
  <r>
    <x v="491"/>
    <x v="0"/>
    <x v="4"/>
    <x v="1041"/>
    <n v="142.13"/>
    <x v="1038"/>
    <x v="4"/>
    <x v="2"/>
    <x v="3"/>
  </r>
  <r>
    <x v="492"/>
    <x v="2"/>
    <x v="0"/>
    <x v="1042"/>
    <n v="141.43"/>
    <x v="1039"/>
    <x v="1"/>
    <x v="1"/>
    <x v="5"/>
  </r>
  <r>
    <x v="492"/>
    <x v="3"/>
    <x v="2"/>
    <x v="1043"/>
    <n v="69.290000000000006"/>
    <x v="1040"/>
    <x v="0"/>
    <x v="0"/>
    <x v="5"/>
  </r>
  <r>
    <x v="493"/>
    <x v="2"/>
    <x v="6"/>
    <x v="1044"/>
    <n v="5.49"/>
    <x v="1041"/>
    <x v="4"/>
    <x v="0"/>
    <x v="1"/>
  </r>
  <r>
    <x v="494"/>
    <x v="3"/>
    <x v="0"/>
    <x v="1045"/>
    <n v="596.34"/>
    <x v="1042"/>
    <x v="2"/>
    <x v="1"/>
    <x v="5"/>
  </r>
  <r>
    <x v="494"/>
    <x v="4"/>
    <x v="0"/>
    <x v="1046"/>
    <n v="618.75"/>
    <x v="1043"/>
    <x v="2"/>
    <x v="11"/>
    <x v="3"/>
  </r>
  <r>
    <x v="494"/>
    <x v="0"/>
    <x v="5"/>
    <x v="1047"/>
    <n v="266.35000000000002"/>
    <x v="1044"/>
    <x v="1"/>
    <x v="13"/>
    <x v="1"/>
  </r>
  <r>
    <x v="495"/>
    <x v="4"/>
    <x v="2"/>
    <x v="1048"/>
    <n v="94.42"/>
    <x v="1045"/>
    <x v="4"/>
    <x v="3"/>
    <x v="2"/>
  </r>
  <r>
    <x v="495"/>
    <x v="3"/>
    <x v="3"/>
    <x v="1049"/>
    <n v="12.67"/>
    <x v="1046"/>
    <x v="1"/>
    <x v="11"/>
    <x v="0"/>
  </r>
  <r>
    <x v="495"/>
    <x v="3"/>
    <x v="0"/>
    <x v="1050"/>
    <n v="580.29999999999995"/>
    <x v="1047"/>
    <x v="3"/>
    <x v="14"/>
    <x v="2"/>
  </r>
  <r>
    <x v="495"/>
    <x v="4"/>
    <x v="6"/>
    <x v="1051"/>
    <n v="69.67"/>
    <x v="1048"/>
    <x v="3"/>
    <x v="3"/>
    <x v="3"/>
  </r>
  <r>
    <x v="495"/>
    <x v="2"/>
    <x v="1"/>
    <x v="1052"/>
    <n v="344.9"/>
    <x v="1049"/>
    <x v="3"/>
    <x v="9"/>
    <x v="3"/>
  </r>
  <r>
    <x v="495"/>
    <x v="0"/>
    <x v="4"/>
    <x v="1053"/>
    <n v="428.49"/>
    <x v="1050"/>
    <x v="3"/>
    <x v="2"/>
    <x v="0"/>
  </r>
  <r>
    <x v="496"/>
    <x v="1"/>
    <x v="4"/>
    <x v="1054"/>
    <n v="67.98"/>
    <x v="1051"/>
    <x v="3"/>
    <x v="14"/>
    <x v="2"/>
  </r>
  <r>
    <x v="496"/>
    <x v="1"/>
    <x v="4"/>
    <x v="1055"/>
    <n v="235.7"/>
    <x v="1052"/>
    <x v="2"/>
    <x v="7"/>
    <x v="0"/>
  </r>
  <r>
    <x v="496"/>
    <x v="1"/>
    <x v="0"/>
    <x v="210"/>
    <n v="659.37"/>
    <x v="1053"/>
    <x v="4"/>
    <x v="2"/>
    <x v="2"/>
  </r>
  <r>
    <x v="496"/>
    <x v="0"/>
    <x v="5"/>
    <x v="1056"/>
    <n v="159.49"/>
    <x v="1054"/>
    <x v="2"/>
    <x v="2"/>
    <x v="3"/>
  </r>
  <r>
    <x v="497"/>
    <x v="2"/>
    <x v="4"/>
    <x v="1057"/>
    <n v="250.44"/>
    <x v="1055"/>
    <x v="4"/>
    <x v="5"/>
    <x v="3"/>
  </r>
  <r>
    <x v="498"/>
    <x v="4"/>
    <x v="0"/>
    <x v="1058"/>
    <n v="640.47"/>
    <x v="1056"/>
    <x v="0"/>
    <x v="8"/>
    <x v="0"/>
  </r>
  <r>
    <x v="498"/>
    <x v="0"/>
    <x v="0"/>
    <x v="1059"/>
    <n v="291.14"/>
    <x v="1057"/>
    <x v="4"/>
    <x v="8"/>
    <x v="3"/>
  </r>
  <r>
    <x v="499"/>
    <x v="3"/>
    <x v="6"/>
    <x v="1060"/>
    <n v="6.63"/>
    <x v="1058"/>
    <x v="3"/>
    <x v="3"/>
    <x v="1"/>
  </r>
  <r>
    <x v="499"/>
    <x v="1"/>
    <x v="1"/>
    <x v="1061"/>
    <n v="854.75"/>
    <x v="1059"/>
    <x v="0"/>
    <x v="11"/>
    <x v="3"/>
  </r>
  <r>
    <x v="499"/>
    <x v="3"/>
    <x v="4"/>
    <x v="1062"/>
    <n v="175.51"/>
    <x v="1060"/>
    <x v="3"/>
    <x v="4"/>
    <x v="0"/>
  </r>
  <r>
    <x v="500"/>
    <x v="1"/>
    <x v="6"/>
    <x v="1063"/>
    <n v="85.31"/>
    <x v="1061"/>
    <x v="2"/>
    <x v="11"/>
    <x v="0"/>
  </r>
  <r>
    <x v="500"/>
    <x v="2"/>
    <x v="3"/>
    <x v="1064"/>
    <n v="27.12"/>
    <x v="1062"/>
    <x v="1"/>
    <x v="14"/>
    <x v="4"/>
  </r>
  <r>
    <x v="501"/>
    <x v="4"/>
    <x v="5"/>
    <x v="1065"/>
    <n v="249.91"/>
    <x v="1063"/>
    <x v="0"/>
    <x v="3"/>
    <x v="0"/>
  </r>
  <r>
    <x v="501"/>
    <x v="1"/>
    <x v="2"/>
    <x v="1066"/>
    <n v="75.95"/>
    <x v="1064"/>
    <x v="1"/>
    <x v="12"/>
    <x v="0"/>
  </r>
  <r>
    <x v="501"/>
    <x v="0"/>
    <x v="4"/>
    <x v="1067"/>
    <n v="144.04"/>
    <x v="1065"/>
    <x v="0"/>
    <x v="7"/>
    <x v="0"/>
  </r>
  <r>
    <x v="501"/>
    <x v="0"/>
    <x v="1"/>
    <x v="1068"/>
    <n v="710.33"/>
    <x v="1066"/>
    <x v="1"/>
    <x v="9"/>
    <x v="0"/>
  </r>
  <r>
    <x v="502"/>
    <x v="1"/>
    <x v="5"/>
    <x v="1069"/>
    <n v="152.63"/>
    <x v="1067"/>
    <x v="1"/>
    <x v="3"/>
    <x v="2"/>
  </r>
  <r>
    <x v="502"/>
    <x v="0"/>
    <x v="4"/>
    <x v="1070"/>
    <n v="308.77999999999997"/>
    <x v="1068"/>
    <x v="3"/>
    <x v="0"/>
    <x v="1"/>
  </r>
  <r>
    <x v="503"/>
    <x v="2"/>
    <x v="2"/>
    <x v="1071"/>
    <n v="39.36"/>
    <x v="1069"/>
    <x v="0"/>
    <x v="3"/>
    <x v="2"/>
  </r>
  <r>
    <x v="504"/>
    <x v="2"/>
    <x v="4"/>
    <x v="1072"/>
    <n v="251.4"/>
    <x v="1070"/>
    <x v="4"/>
    <x v="9"/>
    <x v="4"/>
  </r>
  <r>
    <x v="504"/>
    <x v="1"/>
    <x v="2"/>
    <x v="1073"/>
    <n v="72.48"/>
    <x v="1071"/>
    <x v="3"/>
    <x v="2"/>
    <x v="1"/>
  </r>
  <r>
    <x v="504"/>
    <x v="3"/>
    <x v="2"/>
    <x v="1074"/>
    <n v="94.31"/>
    <x v="1072"/>
    <x v="4"/>
    <x v="10"/>
    <x v="0"/>
  </r>
  <r>
    <x v="505"/>
    <x v="1"/>
    <x v="1"/>
    <x v="1075"/>
    <n v="664.37"/>
    <x v="1073"/>
    <x v="2"/>
    <x v="2"/>
    <x v="4"/>
  </r>
  <r>
    <x v="506"/>
    <x v="3"/>
    <x v="3"/>
    <x v="1076"/>
    <n v="25.2"/>
    <x v="1074"/>
    <x v="2"/>
    <x v="8"/>
    <x v="3"/>
  </r>
  <r>
    <x v="506"/>
    <x v="3"/>
    <x v="5"/>
    <x v="1077"/>
    <n v="195.58"/>
    <x v="1075"/>
    <x v="3"/>
    <x v="9"/>
    <x v="5"/>
  </r>
  <r>
    <x v="506"/>
    <x v="1"/>
    <x v="0"/>
    <x v="1078"/>
    <n v="523.54"/>
    <x v="905"/>
    <x v="0"/>
    <x v="5"/>
    <x v="0"/>
  </r>
  <r>
    <x v="507"/>
    <x v="4"/>
    <x v="1"/>
    <x v="1079"/>
    <n v="805"/>
    <x v="1076"/>
    <x v="2"/>
    <x v="0"/>
    <x v="5"/>
  </r>
  <r>
    <x v="508"/>
    <x v="0"/>
    <x v="3"/>
    <x v="1080"/>
    <n v="50.65"/>
    <x v="1077"/>
    <x v="3"/>
    <x v="7"/>
    <x v="4"/>
  </r>
  <r>
    <x v="509"/>
    <x v="4"/>
    <x v="0"/>
    <x v="1081"/>
    <n v="722.82"/>
    <x v="1078"/>
    <x v="0"/>
    <x v="2"/>
    <x v="3"/>
  </r>
  <r>
    <x v="510"/>
    <x v="3"/>
    <x v="3"/>
    <x v="1082"/>
    <n v="36.4"/>
    <x v="1079"/>
    <x v="1"/>
    <x v="2"/>
    <x v="3"/>
  </r>
  <r>
    <x v="511"/>
    <x v="0"/>
    <x v="0"/>
    <x v="1083"/>
    <n v="99.12"/>
    <x v="1080"/>
    <x v="0"/>
    <x v="10"/>
    <x v="1"/>
  </r>
  <r>
    <x v="511"/>
    <x v="4"/>
    <x v="2"/>
    <x v="1084"/>
    <n v="152.93"/>
    <x v="1081"/>
    <x v="4"/>
    <x v="3"/>
    <x v="2"/>
  </r>
  <r>
    <x v="511"/>
    <x v="0"/>
    <x v="1"/>
    <x v="1085"/>
    <n v="547.27"/>
    <x v="1082"/>
    <x v="1"/>
    <x v="6"/>
    <x v="0"/>
  </r>
  <r>
    <x v="512"/>
    <x v="2"/>
    <x v="3"/>
    <x v="1086"/>
    <n v="19.190000000000001"/>
    <x v="1083"/>
    <x v="1"/>
    <x v="3"/>
    <x v="1"/>
  </r>
  <r>
    <x v="513"/>
    <x v="3"/>
    <x v="3"/>
    <x v="1087"/>
    <n v="7.25"/>
    <x v="1084"/>
    <x v="4"/>
    <x v="11"/>
    <x v="5"/>
  </r>
  <r>
    <x v="513"/>
    <x v="2"/>
    <x v="3"/>
    <x v="1088"/>
    <n v="30.34"/>
    <x v="1085"/>
    <x v="0"/>
    <x v="0"/>
    <x v="5"/>
  </r>
  <r>
    <x v="514"/>
    <x v="4"/>
    <x v="5"/>
    <x v="1089"/>
    <n v="178.59"/>
    <x v="1086"/>
    <x v="1"/>
    <x v="3"/>
    <x v="2"/>
  </r>
  <r>
    <x v="515"/>
    <x v="2"/>
    <x v="5"/>
    <x v="1090"/>
    <n v="73.86"/>
    <x v="1087"/>
    <x v="2"/>
    <x v="14"/>
    <x v="1"/>
  </r>
  <r>
    <x v="515"/>
    <x v="2"/>
    <x v="5"/>
    <x v="1091"/>
    <n v="42.27"/>
    <x v="1088"/>
    <x v="2"/>
    <x v="5"/>
    <x v="5"/>
  </r>
  <r>
    <x v="516"/>
    <x v="3"/>
    <x v="6"/>
    <x v="1092"/>
    <n v="54.01"/>
    <x v="1089"/>
    <x v="1"/>
    <x v="0"/>
    <x v="0"/>
  </r>
  <r>
    <x v="517"/>
    <x v="1"/>
    <x v="5"/>
    <x v="1093"/>
    <n v="215.26"/>
    <x v="1090"/>
    <x v="1"/>
    <x v="4"/>
    <x v="2"/>
  </r>
  <r>
    <x v="517"/>
    <x v="1"/>
    <x v="4"/>
    <x v="1094"/>
    <n v="176.17"/>
    <x v="1091"/>
    <x v="2"/>
    <x v="13"/>
    <x v="4"/>
  </r>
  <r>
    <x v="517"/>
    <x v="2"/>
    <x v="4"/>
    <x v="1095"/>
    <n v="209.5"/>
    <x v="1092"/>
    <x v="3"/>
    <x v="7"/>
    <x v="5"/>
  </r>
  <r>
    <x v="518"/>
    <x v="4"/>
    <x v="1"/>
    <x v="1096"/>
    <n v="728.84"/>
    <x v="1093"/>
    <x v="4"/>
    <x v="8"/>
    <x v="0"/>
  </r>
  <r>
    <x v="518"/>
    <x v="2"/>
    <x v="3"/>
    <x v="1097"/>
    <n v="56.85"/>
    <x v="1094"/>
    <x v="4"/>
    <x v="10"/>
    <x v="3"/>
  </r>
  <r>
    <x v="518"/>
    <x v="4"/>
    <x v="5"/>
    <x v="1098"/>
    <n v="227.08"/>
    <x v="1095"/>
    <x v="0"/>
    <x v="14"/>
    <x v="2"/>
  </r>
  <r>
    <x v="518"/>
    <x v="4"/>
    <x v="2"/>
    <x v="1099"/>
    <n v="48.32"/>
    <x v="1096"/>
    <x v="4"/>
    <x v="1"/>
    <x v="3"/>
  </r>
  <r>
    <x v="519"/>
    <x v="2"/>
    <x v="5"/>
    <x v="1100"/>
    <n v="243.63"/>
    <x v="1097"/>
    <x v="2"/>
    <x v="1"/>
    <x v="1"/>
  </r>
  <r>
    <x v="519"/>
    <x v="1"/>
    <x v="0"/>
    <x v="1101"/>
    <n v="738.89"/>
    <x v="1098"/>
    <x v="4"/>
    <x v="2"/>
    <x v="5"/>
  </r>
  <r>
    <x v="519"/>
    <x v="1"/>
    <x v="2"/>
    <x v="1102"/>
    <n v="97.71"/>
    <x v="1099"/>
    <x v="3"/>
    <x v="3"/>
    <x v="2"/>
  </r>
  <r>
    <x v="519"/>
    <x v="0"/>
    <x v="0"/>
    <x v="1103"/>
    <n v="92.97"/>
    <x v="1100"/>
    <x v="0"/>
    <x v="2"/>
    <x v="2"/>
  </r>
  <r>
    <x v="520"/>
    <x v="4"/>
    <x v="4"/>
    <x v="1104"/>
    <n v="222.5"/>
    <x v="1101"/>
    <x v="1"/>
    <x v="7"/>
    <x v="3"/>
  </r>
  <r>
    <x v="520"/>
    <x v="2"/>
    <x v="0"/>
    <x v="1105"/>
    <n v="779.24"/>
    <x v="1102"/>
    <x v="3"/>
    <x v="7"/>
    <x v="0"/>
  </r>
  <r>
    <x v="521"/>
    <x v="3"/>
    <x v="5"/>
    <x v="1106"/>
    <n v="117.93"/>
    <x v="1103"/>
    <x v="0"/>
    <x v="5"/>
    <x v="1"/>
  </r>
  <r>
    <x v="521"/>
    <x v="1"/>
    <x v="4"/>
    <x v="1107"/>
    <n v="53.88"/>
    <x v="1104"/>
    <x v="3"/>
    <x v="11"/>
    <x v="0"/>
  </r>
  <r>
    <x v="521"/>
    <x v="4"/>
    <x v="4"/>
    <x v="1108"/>
    <n v="70.25"/>
    <x v="1105"/>
    <x v="4"/>
    <x v="14"/>
    <x v="3"/>
  </r>
  <r>
    <x v="521"/>
    <x v="2"/>
    <x v="5"/>
    <x v="1109"/>
    <n v="95.74"/>
    <x v="1106"/>
    <x v="0"/>
    <x v="9"/>
    <x v="1"/>
  </r>
  <r>
    <x v="522"/>
    <x v="0"/>
    <x v="4"/>
    <x v="1110"/>
    <n v="370.01"/>
    <x v="1107"/>
    <x v="1"/>
    <x v="3"/>
    <x v="4"/>
  </r>
  <r>
    <x v="522"/>
    <x v="3"/>
    <x v="3"/>
    <x v="1111"/>
    <n v="36.369999999999997"/>
    <x v="1108"/>
    <x v="1"/>
    <x v="10"/>
    <x v="2"/>
  </r>
  <r>
    <x v="523"/>
    <x v="0"/>
    <x v="3"/>
    <x v="1112"/>
    <n v="19.61"/>
    <x v="1109"/>
    <x v="1"/>
    <x v="2"/>
    <x v="2"/>
  </r>
  <r>
    <x v="524"/>
    <x v="2"/>
    <x v="1"/>
    <x v="1113"/>
    <n v="697.04"/>
    <x v="1110"/>
    <x v="4"/>
    <x v="12"/>
    <x v="3"/>
  </r>
  <r>
    <x v="524"/>
    <x v="0"/>
    <x v="2"/>
    <x v="1114"/>
    <n v="86.67"/>
    <x v="1111"/>
    <x v="0"/>
    <x v="8"/>
    <x v="4"/>
  </r>
  <r>
    <x v="524"/>
    <x v="3"/>
    <x v="4"/>
    <x v="1115"/>
    <n v="369.03"/>
    <x v="1112"/>
    <x v="0"/>
    <x v="13"/>
    <x v="5"/>
  </r>
  <r>
    <x v="524"/>
    <x v="3"/>
    <x v="3"/>
    <x v="1116"/>
    <n v="22.25"/>
    <x v="1113"/>
    <x v="4"/>
    <x v="4"/>
    <x v="0"/>
  </r>
  <r>
    <x v="525"/>
    <x v="2"/>
    <x v="2"/>
    <x v="1117"/>
    <n v="15.75"/>
    <x v="1114"/>
    <x v="3"/>
    <x v="5"/>
    <x v="4"/>
  </r>
  <r>
    <x v="526"/>
    <x v="1"/>
    <x v="6"/>
    <x v="1118"/>
    <n v="10.96"/>
    <x v="1115"/>
    <x v="3"/>
    <x v="0"/>
    <x v="0"/>
  </r>
  <r>
    <x v="526"/>
    <x v="3"/>
    <x v="1"/>
    <x v="1119"/>
    <n v="100.29"/>
    <x v="1116"/>
    <x v="2"/>
    <x v="0"/>
    <x v="4"/>
  </r>
  <r>
    <x v="526"/>
    <x v="4"/>
    <x v="3"/>
    <x v="1120"/>
    <n v="44.73"/>
    <x v="1117"/>
    <x v="4"/>
    <x v="14"/>
    <x v="5"/>
  </r>
  <r>
    <x v="526"/>
    <x v="4"/>
    <x v="0"/>
    <x v="1121"/>
    <n v="191.27"/>
    <x v="1118"/>
    <x v="0"/>
    <x v="3"/>
    <x v="3"/>
  </r>
  <r>
    <x v="527"/>
    <x v="4"/>
    <x v="5"/>
    <x v="1122"/>
    <n v="68.7"/>
    <x v="1119"/>
    <x v="2"/>
    <x v="5"/>
    <x v="2"/>
  </r>
  <r>
    <x v="527"/>
    <x v="3"/>
    <x v="5"/>
    <x v="1123"/>
    <n v="104.72"/>
    <x v="1120"/>
    <x v="2"/>
    <x v="9"/>
    <x v="1"/>
  </r>
  <r>
    <x v="527"/>
    <x v="3"/>
    <x v="3"/>
    <x v="1124"/>
    <n v="10.34"/>
    <x v="1121"/>
    <x v="1"/>
    <x v="4"/>
    <x v="4"/>
  </r>
  <r>
    <x v="527"/>
    <x v="4"/>
    <x v="0"/>
    <x v="1125"/>
    <n v="905.39"/>
    <x v="1122"/>
    <x v="4"/>
    <x v="0"/>
    <x v="4"/>
  </r>
  <r>
    <x v="528"/>
    <x v="0"/>
    <x v="0"/>
    <x v="1126"/>
    <n v="583.37"/>
    <x v="1123"/>
    <x v="2"/>
    <x v="5"/>
    <x v="1"/>
  </r>
  <r>
    <x v="528"/>
    <x v="0"/>
    <x v="1"/>
    <x v="1127"/>
    <n v="476.79"/>
    <x v="1124"/>
    <x v="0"/>
    <x v="0"/>
    <x v="3"/>
  </r>
  <r>
    <x v="528"/>
    <x v="2"/>
    <x v="6"/>
    <x v="1128"/>
    <n v="15.9"/>
    <x v="1125"/>
    <x v="4"/>
    <x v="9"/>
    <x v="0"/>
  </r>
  <r>
    <x v="528"/>
    <x v="4"/>
    <x v="6"/>
    <x v="1129"/>
    <n v="38.15"/>
    <x v="1126"/>
    <x v="2"/>
    <x v="7"/>
    <x v="0"/>
  </r>
  <r>
    <x v="528"/>
    <x v="4"/>
    <x v="0"/>
    <x v="1130"/>
    <n v="430.76"/>
    <x v="1127"/>
    <x v="2"/>
    <x v="14"/>
    <x v="0"/>
  </r>
  <r>
    <x v="529"/>
    <x v="0"/>
    <x v="5"/>
    <x v="1131"/>
    <n v="396.23"/>
    <x v="1128"/>
    <x v="1"/>
    <x v="8"/>
    <x v="1"/>
  </r>
  <r>
    <x v="530"/>
    <x v="3"/>
    <x v="1"/>
    <x v="1132"/>
    <n v="486.69"/>
    <x v="1129"/>
    <x v="0"/>
    <x v="10"/>
    <x v="0"/>
  </r>
  <r>
    <x v="530"/>
    <x v="2"/>
    <x v="0"/>
    <x v="1133"/>
    <n v="289.31"/>
    <x v="1130"/>
    <x v="0"/>
    <x v="3"/>
    <x v="2"/>
  </r>
  <r>
    <x v="531"/>
    <x v="4"/>
    <x v="2"/>
    <x v="1134"/>
    <n v="72.55"/>
    <x v="1131"/>
    <x v="3"/>
    <x v="14"/>
    <x v="2"/>
  </r>
  <r>
    <x v="531"/>
    <x v="3"/>
    <x v="0"/>
    <x v="1135"/>
    <n v="764.86"/>
    <x v="1132"/>
    <x v="1"/>
    <x v="10"/>
    <x v="4"/>
  </r>
  <r>
    <x v="532"/>
    <x v="2"/>
    <x v="2"/>
    <x v="1136"/>
    <n v="42.2"/>
    <x v="1133"/>
    <x v="1"/>
    <x v="1"/>
    <x v="0"/>
  </r>
  <r>
    <x v="533"/>
    <x v="4"/>
    <x v="3"/>
    <x v="1137"/>
    <n v="38.159999999999997"/>
    <x v="1134"/>
    <x v="4"/>
    <x v="6"/>
    <x v="5"/>
  </r>
  <r>
    <x v="534"/>
    <x v="4"/>
    <x v="2"/>
    <x v="1138"/>
    <n v="79.2"/>
    <x v="1135"/>
    <x v="4"/>
    <x v="1"/>
    <x v="0"/>
  </r>
  <r>
    <x v="534"/>
    <x v="4"/>
    <x v="5"/>
    <x v="1139"/>
    <n v="342.58"/>
    <x v="1136"/>
    <x v="0"/>
    <x v="13"/>
    <x v="3"/>
  </r>
  <r>
    <x v="535"/>
    <x v="2"/>
    <x v="1"/>
    <x v="1140"/>
    <n v="37.380000000000003"/>
    <x v="1137"/>
    <x v="3"/>
    <x v="1"/>
    <x v="2"/>
  </r>
  <r>
    <x v="535"/>
    <x v="0"/>
    <x v="0"/>
    <x v="1141"/>
    <n v="429.05"/>
    <x v="1138"/>
    <x v="4"/>
    <x v="6"/>
    <x v="3"/>
  </r>
  <r>
    <x v="535"/>
    <x v="3"/>
    <x v="0"/>
    <x v="1142"/>
    <n v="103.24"/>
    <x v="1139"/>
    <x v="3"/>
    <x v="8"/>
    <x v="1"/>
  </r>
  <r>
    <x v="536"/>
    <x v="0"/>
    <x v="3"/>
    <x v="1143"/>
    <n v="8.09"/>
    <x v="1140"/>
    <x v="2"/>
    <x v="3"/>
    <x v="4"/>
  </r>
  <r>
    <x v="537"/>
    <x v="3"/>
    <x v="6"/>
    <x v="1144"/>
    <n v="40.96"/>
    <x v="1141"/>
    <x v="1"/>
    <x v="11"/>
    <x v="4"/>
  </r>
  <r>
    <x v="537"/>
    <x v="3"/>
    <x v="0"/>
    <x v="1145"/>
    <n v="614.28"/>
    <x v="1142"/>
    <x v="3"/>
    <x v="7"/>
    <x v="3"/>
  </r>
  <r>
    <x v="538"/>
    <x v="3"/>
    <x v="5"/>
    <x v="1146"/>
    <n v="314.83"/>
    <x v="1143"/>
    <x v="4"/>
    <x v="8"/>
    <x v="4"/>
  </r>
  <r>
    <x v="538"/>
    <x v="1"/>
    <x v="0"/>
    <x v="1147"/>
    <n v="863.2"/>
    <x v="1144"/>
    <x v="3"/>
    <x v="11"/>
    <x v="3"/>
  </r>
  <r>
    <x v="538"/>
    <x v="1"/>
    <x v="0"/>
    <x v="1148"/>
    <n v="616.89"/>
    <x v="1145"/>
    <x v="1"/>
    <x v="8"/>
    <x v="4"/>
  </r>
  <r>
    <x v="538"/>
    <x v="0"/>
    <x v="3"/>
    <x v="1149"/>
    <n v="16.95"/>
    <x v="1146"/>
    <x v="3"/>
    <x v="14"/>
    <x v="1"/>
  </r>
  <r>
    <x v="538"/>
    <x v="2"/>
    <x v="6"/>
    <x v="1150"/>
    <n v="50.15"/>
    <x v="1147"/>
    <x v="4"/>
    <x v="7"/>
    <x v="3"/>
  </r>
  <r>
    <x v="539"/>
    <x v="1"/>
    <x v="3"/>
    <x v="1151"/>
    <n v="3.3"/>
    <x v="1148"/>
    <x v="0"/>
    <x v="5"/>
    <x v="1"/>
  </r>
  <r>
    <x v="539"/>
    <x v="2"/>
    <x v="6"/>
    <x v="941"/>
    <n v="48.22"/>
    <x v="1149"/>
    <x v="0"/>
    <x v="9"/>
    <x v="3"/>
  </r>
  <r>
    <x v="540"/>
    <x v="4"/>
    <x v="6"/>
    <x v="1152"/>
    <n v="58.34"/>
    <x v="1150"/>
    <x v="0"/>
    <x v="11"/>
    <x v="4"/>
  </r>
  <r>
    <x v="540"/>
    <x v="0"/>
    <x v="4"/>
    <x v="1153"/>
    <n v="71.319999999999993"/>
    <x v="1151"/>
    <x v="0"/>
    <x v="2"/>
    <x v="2"/>
  </r>
  <r>
    <x v="540"/>
    <x v="4"/>
    <x v="0"/>
    <x v="1154"/>
    <n v="156.84"/>
    <x v="1152"/>
    <x v="2"/>
    <x v="11"/>
    <x v="5"/>
  </r>
  <r>
    <x v="541"/>
    <x v="2"/>
    <x v="6"/>
    <x v="1155"/>
    <n v="75.36"/>
    <x v="1153"/>
    <x v="3"/>
    <x v="7"/>
    <x v="4"/>
  </r>
  <r>
    <x v="541"/>
    <x v="2"/>
    <x v="4"/>
    <x v="1156"/>
    <n v="67.430000000000007"/>
    <x v="1154"/>
    <x v="3"/>
    <x v="9"/>
    <x v="2"/>
  </r>
  <r>
    <x v="541"/>
    <x v="3"/>
    <x v="5"/>
    <x v="1157"/>
    <n v="483.17"/>
    <x v="1155"/>
    <x v="1"/>
    <x v="9"/>
    <x v="5"/>
  </r>
  <r>
    <x v="542"/>
    <x v="1"/>
    <x v="6"/>
    <x v="1158"/>
    <n v="31.78"/>
    <x v="1156"/>
    <x v="1"/>
    <x v="10"/>
    <x v="5"/>
  </r>
  <r>
    <x v="542"/>
    <x v="2"/>
    <x v="6"/>
    <x v="1159"/>
    <n v="47.03"/>
    <x v="1157"/>
    <x v="1"/>
    <x v="12"/>
    <x v="4"/>
  </r>
  <r>
    <x v="543"/>
    <x v="4"/>
    <x v="6"/>
    <x v="1160"/>
    <n v="46.61"/>
    <x v="1158"/>
    <x v="3"/>
    <x v="13"/>
    <x v="0"/>
  </r>
  <r>
    <x v="543"/>
    <x v="3"/>
    <x v="0"/>
    <x v="1161"/>
    <n v="236.46"/>
    <x v="833"/>
    <x v="1"/>
    <x v="1"/>
    <x v="5"/>
  </r>
  <r>
    <x v="543"/>
    <x v="2"/>
    <x v="4"/>
    <x v="1162"/>
    <n v="127.62"/>
    <x v="1159"/>
    <x v="2"/>
    <x v="4"/>
    <x v="2"/>
  </r>
  <r>
    <x v="543"/>
    <x v="1"/>
    <x v="4"/>
    <x v="1163"/>
    <n v="336.91"/>
    <x v="1160"/>
    <x v="1"/>
    <x v="10"/>
    <x v="1"/>
  </r>
  <r>
    <x v="544"/>
    <x v="1"/>
    <x v="4"/>
    <x v="1164"/>
    <n v="259.49"/>
    <x v="1161"/>
    <x v="1"/>
    <x v="2"/>
    <x v="0"/>
  </r>
  <r>
    <x v="544"/>
    <x v="1"/>
    <x v="2"/>
    <x v="1165"/>
    <n v="21.74"/>
    <x v="1162"/>
    <x v="3"/>
    <x v="4"/>
    <x v="3"/>
  </r>
  <r>
    <x v="545"/>
    <x v="0"/>
    <x v="1"/>
    <x v="1166"/>
    <n v="719.72"/>
    <x v="1163"/>
    <x v="4"/>
    <x v="4"/>
    <x v="5"/>
  </r>
  <r>
    <x v="546"/>
    <x v="3"/>
    <x v="3"/>
    <x v="1167"/>
    <n v="2.4500000000000002"/>
    <x v="1164"/>
    <x v="1"/>
    <x v="13"/>
    <x v="5"/>
  </r>
  <r>
    <x v="546"/>
    <x v="4"/>
    <x v="6"/>
    <x v="1168"/>
    <n v="87.13"/>
    <x v="1165"/>
    <x v="2"/>
    <x v="14"/>
    <x v="5"/>
  </r>
  <r>
    <x v="547"/>
    <x v="2"/>
    <x v="6"/>
    <x v="1169"/>
    <n v="68.86"/>
    <x v="1166"/>
    <x v="1"/>
    <x v="5"/>
    <x v="3"/>
  </r>
  <r>
    <x v="547"/>
    <x v="3"/>
    <x v="4"/>
    <x v="1170"/>
    <n v="190.33"/>
    <x v="1167"/>
    <x v="4"/>
    <x v="1"/>
    <x v="4"/>
  </r>
  <r>
    <x v="548"/>
    <x v="2"/>
    <x v="3"/>
    <x v="1171"/>
    <n v="27.11"/>
    <x v="1168"/>
    <x v="2"/>
    <x v="0"/>
    <x v="0"/>
  </r>
  <r>
    <x v="548"/>
    <x v="3"/>
    <x v="2"/>
    <x v="1172"/>
    <n v="97.9"/>
    <x v="1169"/>
    <x v="1"/>
    <x v="2"/>
    <x v="3"/>
  </r>
  <r>
    <x v="548"/>
    <x v="2"/>
    <x v="5"/>
    <x v="1173"/>
    <n v="479.37"/>
    <x v="1170"/>
    <x v="0"/>
    <x v="4"/>
    <x v="0"/>
  </r>
  <r>
    <x v="549"/>
    <x v="2"/>
    <x v="6"/>
    <x v="1174"/>
    <n v="86.18"/>
    <x v="1171"/>
    <x v="2"/>
    <x v="4"/>
    <x v="3"/>
  </r>
  <r>
    <x v="550"/>
    <x v="4"/>
    <x v="2"/>
    <x v="1175"/>
    <n v="55.76"/>
    <x v="1172"/>
    <x v="3"/>
    <x v="14"/>
    <x v="0"/>
  </r>
  <r>
    <x v="550"/>
    <x v="2"/>
    <x v="6"/>
    <x v="1176"/>
    <n v="58.05"/>
    <x v="1173"/>
    <x v="2"/>
    <x v="7"/>
    <x v="2"/>
  </r>
  <r>
    <x v="551"/>
    <x v="3"/>
    <x v="6"/>
    <x v="1177"/>
    <n v="74.13"/>
    <x v="1174"/>
    <x v="0"/>
    <x v="14"/>
    <x v="5"/>
  </r>
  <r>
    <x v="551"/>
    <x v="1"/>
    <x v="6"/>
    <x v="1178"/>
    <n v="19.420000000000002"/>
    <x v="1175"/>
    <x v="2"/>
    <x v="9"/>
    <x v="0"/>
  </r>
  <r>
    <x v="552"/>
    <x v="1"/>
    <x v="4"/>
    <x v="1179"/>
    <n v="277.82"/>
    <x v="1176"/>
    <x v="2"/>
    <x v="14"/>
    <x v="4"/>
  </r>
  <r>
    <x v="552"/>
    <x v="0"/>
    <x v="2"/>
    <x v="1180"/>
    <n v="144.76"/>
    <x v="1177"/>
    <x v="1"/>
    <x v="0"/>
    <x v="5"/>
  </r>
  <r>
    <x v="552"/>
    <x v="4"/>
    <x v="2"/>
    <x v="1181"/>
    <n v="34.97"/>
    <x v="1178"/>
    <x v="3"/>
    <x v="8"/>
    <x v="3"/>
  </r>
  <r>
    <x v="552"/>
    <x v="1"/>
    <x v="0"/>
    <x v="1182"/>
    <n v="307.5"/>
    <x v="1179"/>
    <x v="1"/>
    <x v="2"/>
    <x v="3"/>
  </r>
  <r>
    <x v="553"/>
    <x v="3"/>
    <x v="5"/>
    <x v="1183"/>
    <n v="119.22"/>
    <x v="1180"/>
    <x v="2"/>
    <x v="10"/>
    <x v="3"/>
  </r>
  <r>
    <x v="553"/>
    <x v="2"/>
    <x v="0"/>
    <x v="1184"/>
    <n v="81.37"/>
    <x v="1181"/>
    <x v="1"/>
    <x v="12"/>
    <x v="3"/>
  </r>
  <r>
    <x v="553"/>
    <x v="0"/>
    <x v="0"/>
    <x v="1185"/>
    <n v="50.03"/>
    <x v="1182"/>
    <x v="1"/>
    <x v="3"/>
    <x v="2"/>
  </r>
  <r>
    <x v="554"/>
    <x v="3"/>
    <x v="1"/>
    <x v="1186"/>
    <n v="102.95"/>
    <x v="1183"/>
    <x v="1"/>
    <x v="12"/>
    <x v="1"/>
  </r>
  <r>
    <x v="555"/>
    <x v="0"/>
    <x v="1"/>
    <x v="1187"/>
    <n v="667.21"/>
    <x v="1184"/>
    <x v="3"/>
    <x v="11"/>
    <x v="2"/>
  </r>
  <r>
    <x v="555"/>
    <x v="3"/>
    <x v="0"/>
    <x v="1188"/>
    <n v="212.06"/>
    <x v="1185"/>
    <x v="0"/>
    <x v="4"/>
    <x v="5"/>
  </r>
  <r>
    <x v="556"/>
    <x v="4"/>
    <x v="4"/>
    <x v="1189"/>
    <n v="353.73"/>
    <x v="1186"/>
    <x v="3"/>
    <x v="10"/>
    <x v="5"/>
  </r>
  <r>
    <x v="556"/>
    <x v="1"/>
    <x v="0"/>
    <x v="1190"/>
    <n v="467.88"/>
    <x v="1187"/>
    <x v="3"/>
    <x v="7"/>
    <x v="3"/>
  </r>
  <r>
    <x v="557"/>
    <x v="2"/>
    <x v="2"/>
    <x v="1191"/>
    <n v="76.47"/>
    <x v="1188"/>
    <x v="1"/>
    <x v="3"/>
    <x v="5"/>
  </r>
  <r>
    <x v="558"/>
    <x v="0"/>
    <x v="0"/>
    <x v="1192"/>
    <n v="239.45"/>
    <x v="1189"/>
    <x v="0"/>
    <x v="6"/>
    <x v="5"/>
  </r>
  <r>
    <x v="559"/>
    <x v="2"/>
    <x v="4"/>
    <x v="1193"/>
    <n v="247.93"/>
    <x v="1190"/>
    <x v="1"/>
    <x v="1"/>
    <x v="1"/>
  </r>
  <r>
    <x v="560"/>
    <x v="2"/>
    <x v="0"/>
    <x v="1194"/>
    <n v="307.43"/>
    <x v="1191"/>
    <x v="0"/>
    <x v="5"/>
    <x v="2"/>
  </r>
  <r>
    <x v="561"/>
    <x v="0"/>
    <x v="5"/>
    <x v="1195"/>
    <n v="221.32"/>
    <x v="1192"/>
    <x v="0"/>
    <x v="11"/>
    <x v="2"/>
  </r>
  <r>
    <x v="561"/>
    <x v="4"/>
    <x v="3"/>
    <x v="1196"/>
    <n v="42.92"/>
    <x v="1193"/>
    <x v="0"/>
    <x v="11"/>
    <x v="4"/>
  </r>
  <r>
    <x v="562"/>
    <x v="4"/>
    <x v="5"/>
    <x v="1197"/>
    <n v="100.94"/>
    <x v="1194"/>
    <x v="1"/>
    <x v="11"/>
    <x v="4"/>
  </r>
  <r>
    <x v="562"/>
    <x v="1"/>
    <x v="6"/>
    <x v="1198"/>
    <n v="32.58"/>
    <x v="1195"/>
    <x v="0"/>
    <x v="7"/>
    <x v="4"/>
  </r>
  <r>
    <x v="563"/>
    <x v="4"/>
    <x v="3"/>
    <x v="1199"/>
    <n v="28.32"/>
    <x v="1196"/>
    <x v="3"/>
    <x v="5"/>
    <x v="4"/>
  </r>
  <r>
    <x v="564"/>
    <x v="2"/>
    <x v="3"/>
    <x v="1200"/>
    <n v="52.89"/>
    <x v="1197"/>
    <x v="1"/>
    <x v="11"/>
    <x v="5"/>
  </r>
  <r>
    <x v="564"/>
    <x v="0"/>
    <x v="0"/>
    <x v="1201"/>
    <n v="436.9"/>
    <x v="1198"/>
    <x v="1"/>
    <x v="1"/>
    <x v="4"/>
  </r>
  <r>
    <x v="565"/>
    <x v="4"/>
    <x v="6"/>
    <x v="1202"/>
    <n v="49.94"/>
    <x v="1199"/>
    <x v="2"/>
    <x v="13"/>
    <x v="4"/>
  </r>
  <r>
    <x v="565"/>
    <x v="0"/>
    <x v="5"/>
    <x v="1203"/>
    <n v="146.61000000000001"/>
    <x v="1200"/>
    <x v="2"/>
    <x v="5"/>
    <x v="3"/>
  </r>
  <r>
    <x v="566"/>
    <x v="4"/>
    <x v="6"/>
    <x v="1204"/>
    <n v="16.559999999999999"/>
    <x v="1201"/>
    <x v="1"/>
    <x v="7"/>
    <x v="0"/>
  </r>
  <r>
    <x v="566"/>
    <x v="3"/>
    <x v="0"/>
    <x v="1205"/>
    <n v="254.44"/>
    <x v="1202"/>
    <x v="0"/>
    <x v="8"/>
    <x v="0"/>
  </r>
  <r>
    <x v="566"/>
    <x v="0"/>
    <x v="1"/>
    <x v="1206"/>
    <n v="765.67"/>
    <x v="1203"/>
    <x v="4"/>
    <x v="1"/>
    <x v="0"/>
  </r>
  <r>
    <x v="567"/>
    <x v="3"/>
    <x v="5"/>
    <x v="1207"/>
    <n v="298.06"/>
    <x v="1204"/>
    <x v="4"/>
    <x v="10"/>
    <x v="2"/>
  </r>
  <r>
    <x v="567"/>
    <x v="4"/>
    <x v="0"/>
    <x v="1208"/>
    <n v="682.27"/>
    <x v="1205"/>
    <x v="2"/>
    <x v="2"/>
    <x v="0"/>
  </r>
  <r>
    <x v="567"/>
    <x v="2"/>
    <x v="6"/>
    <x v="1209"/>
    <n v="11.26"/>
    <x v="1206"/>
    <x v="0"/>
    <x v="2"/>
    <x v="2"/>
  </r>
  <r>
    <x v="567"/>
    <x v="0"/>
    <x v="0"/>
    <x v="1210"/>
    <n v="223.52"/>
    <x v="1207"/>
    <x v="0"/>
    <x v="3"/>
    <x v="0"/>
  </r>
  <r>
    <x v="568"/>
    <x v="0"/>
    <x v="4"/>
    <x v="1211"/>
    <n v="406.22"/>
    <x v="1208"/>
    <x v="2"/>
    <x v="14"/>
    <x v="0"/>
  </r>
  <r>
    <x v="568"/>
    <x v="0"/>
    <x v="0"/>
    <x v="1212"/>
    <n v="495.23"/>
    <x v="1209"/>
    <x v="3"/>
    <x v="9"/>
    <x v="1"/>
  </r>
  <r>
    <x v="568"/>
    <x v="1"/>
    <x v="0"/>
    <x v="1213"/>
    <n v="114.5"/>
    <x v="1210"/>
    <x v="3"/>
    <x v="8"/>
    <x v="4"/>
  </r>
  <r>
    <x v="568"/>
    <x v="1"/>
    <x v="1"/>
    <x v="1214"/>
    <n v="917.89"/>
    <x v="1211"/>
    <x v="4"/>
    <x v="0"/>
    <x v="5"/>
  </r>
  <r>
    <x v="569"/>
    <x v="2"/>
    <x v="1"/>
    <x v="1215"/>
    <n v="654"/>
    <x v="1212"/>
    <x v="1"/>
    <x v="11"/>
    <x v="1"/>
  </r>
  <r>
    <x v="569"/>
    <x v="1"/>
    <x v="1"/>
    <x v="1216"/>
    <n v="785.95"/>
    <x v="1213"/>
    <x v="2"/>
    <x v="12"/>
    <x v="3"/>
  </r>
  <r>
    <x v="569"/>
    <x v="3"/>
    <x v="5"/>
    <x v="1217"/>
    <n v="112.1"/>
    <x v="1214"/>
    <x v="3"/>
    <x v="12"/>
    <x v="4"/>
  </r>
  <r>
    <x v="570"/>
    <x v="2"/>
    <x v="3"/>
    <x v="1218"/>
    <n v="49.13"/>
    <x v="1215"/>
    <x v="1"/>
    <x v="10"/>
    <x v="3"/>
  </r>
  <r>
    <x v="570"/>
    <x v="1"/>
    <x v="6"/>
    <x v="1219"/>
    <n v="36.58"/>
    <x v="1216"/>
    <x v="3"/>
    <x v="2"/>
    <x v="0"/>
  </r>
  <r>
    <x v="570"/>
    <x v="0"/>
    <x v="3"/>
    <x v="1220"/>
    <n v="19.27"/>
    <x v="1217"/>
    <x v="4"/>
    <x v="13"/>
    <x v="2"/>
  </r>
  <r>
    <x v="571"/>
    <x v="2"/>
    <x v="0"/>
    <x v="1221"/>
    <n v="441.28"/>
    <x v="1218"/>
    <x v="2"/>
    <x v="9"/>
    <x v="1"/>
  </r>
  <r>
    <x v="571"/>
    <x v="0"/>
    <x v="0"/>
    <x v="1222"/>
    <n v="454.79"/>
    <x v="1219"/>
    <x v="2"/>
    <x v="6"/>
    <x v="1"/>
  </r>
  <r>
    <x v="571"/>
    <x v="1"/>
    <x v="6"/>
    <x v="1223"/>
    <n v="84.89"/>
    <x v="1220"/>
    <x v="1"/>
    <x v="5"/>
    <x v="1"/>
  </r>
  <r>
    <x v="572"/>
    <x v="0"/>
    <x v="5"/>
    <x v="1224"/>
    <n v="248.03"/>
    <x v="1221"/>
    <x v="1"/>
    <x v="6"/>
    <x v="5"/>
  </r>
  <r>
    <x v="572"/>
    <x v="4"/>
    <x v="1"/>
    <x v="1225"/>
    <n v="818.69"/>
    <x v="1222"/>
    <x v="1"/>
    <x v="14"/>
    <x v="4"/>
  </r>
  <r>
    <x v="572"/>
    <x v="3"/>
    <x v="3"/>
    <x v="1226"/>
    <n v="44.59"/>
    <x v="1223"/>
    <x v="0"/>
    <x v="4"/>
    <x v="3"/>
  </r>
  <r>
    <x v="573"/>
    <x v="2"/>
    <x v="5"/>
    <x v="1227"/>
    <n v="358.73"/>
    <x v="1224"/>
    <x v="0"/>
    <x v="10"/>
    <x v="2"/>
  </r>
  <r>
    <x v="573"/>
    <x v="4"/>
    <x v="4"/>
    <x v="1228"/>
    <n v="219.65"/>
    <x v="1225"/>
    <x v="4"/>
    <x v="7"/>
    <x v="1"/>
  </r>
  <r>
    <x v="574"/>
    <x v="1"/>
    <x v="1"/>
    <x v="1229"/>
    <n v="1070.03"/>
    <x v="1226"/>
    <x v="0"/>
    <x v="9"/>
    <x v="2"/>
  </r>
  <r>
    <x v="575"/>
    <x v="4"/>
    <x v="3"/>
    <x v="1230"/>
    <n v="22.13"/>
    <x v="1227"/>
    <x v="3"/>
    <x v="14"/>
    <x v="5"/>
  </r>
  <r>
    <x v="575"/>
    <x v="0"/>
    <x v="4"/>
    <x v="1231"/>
    <n v="253.05"/>
    <x v="1228"/>
    <x v="0"/>
    <x v="5"/>
    <x v="0"/>
  </r>
  <r>
    <x v="576"/>
    <x v="2"/>
    <x v="1"/>
    <x v="1232"/>
    <n v="374.8"/>
    <x v="1229"/>
    <x v="1"/>
    <x v="4"/>
    <x v="4"/>
  </r>
  <r>
    <x v="576"/>
    <x v="3"/>
    <x v="6"/>
    <x v="1233"/>
    <n v="76.599999999999994"/>
    <x v="1230"/>
    <x v="1"/>
    <x v="0"/>
    <x v="5"/>
  </r>
  <r>
    <x v="577"/>
    <x v="3"/>
    <x v="4"/>
    <x v="1234"/>
    <n v="281.95999999999998"/>
    <x v="1231"/>
    <x v="2"/>
    <x v="14"/>
    <x v="1"/>
  </r>
  <r>
    <x v="577"/>
    <x v="1"/>
    <x v="3"/>
    <x v="1235"/>
    <n v="49.26"/>
    <x v="1232"/>
    <x v="0"/>
    <x v="1"/>
    <x v="5"/>
  </r>
  <r>
    <x v="578"/>
    <x v="4"/>
    <x v="5"/>
    <x v="1236"/>
    <n v="171.43"/>
    <x v="1127"/>
    <x v="4"/>
    <x v="4"/>
    <x v="5"/>
  </r>
  <r>
    <x v="578"/>
    <x v="1"/>
    <x v="5"/>
    <x v="1237"/>
    <n v="130.62"/>
    <x v="1233"/>
    <x v="2"/>
    <x v="10"/>
    <x v="5"/>
  </r>
  <r>
    <x v="578"/>
    <x v="4"/>
    <x v="2"/>
    <x v="1238"/>
    <n v="90.53"/>
    <x v="1234"/>
    <x v="1"/>
    <x v="1"/>
    <x v="2"/>
  </r>
  <r>
    <x v="579"/>
    <x v="1"/>
    <x v="2"/>
    <x v="1239"/>
    <n v="173.24"/>
    <x v="1235"/>
    <x v="2"/>
    <x v="4"/>
    <x v="5"/>
  </r>
  <r>
    <x v="579"/>
    <x v="4"/>
    <x v="2"/>
    <x v="1240"/>
    <n v="88.51"/>
    <x v="1236"/>
    <x v="0"/>
    <x v="4"/>
    <x v="5"/>
  </r>
  <r>
    <x v="580"/>
    <x v="2"/>
    <x v="3"/>
    <x v="1241"/>
    <n v="41.69"/>
    <x v="942"/>
    <x v="3"/>
    <x v="12"/>
    <x v="1"/>
  </r>
  <r>
    <x v="580"/>
    <x v="4"/>
    <x v="4"/>
    <x v="1242"/>
    <n v="293.79000000000002"/>
    <x v="1237"/>
    <x v="4"/>
    <x v="14"/>
    <x v="4"/>
  </r>
  <r>
    <x v="580"/>
    <x v="3"/>
    <x v="1"/>
    <x v="1243"/>
    <n v="193.78"/>
    <x v="1238"/>
    <x v="0"/>
    <x v="5"/>
    <x v="4"/>
  </r>
  <r>
    <x v="581"/>
    <x v="3"/>
    <x v="5"/>
    <x v="1244"/>
    <n v="451.66"/>
    <x v="1239"/>
    <x v="4"/>
    <x v="1"/>
    <x v="0"/>
  </r>
  <r>
    <x v="581"/>
    <x v="2"/>
    <x v="4"/>
    <x v="1245"/>
    <n v="214.03"/>
    <x v="1240"/>
    <x v="0"/>
    <x v="8"/>
    <x v="3"/>
  </r>
  <r>
    <x v="581"/>
    <x v="4"/>
    <x v="5"/>
    <x v="1246"/>
    <n v="340.03"/>
    <x v="1241"/>
    <x v="2"/>
    <x v="8"/>
    <x v="5"/>
  </r>
  <r>
    <x v="581"/>
    <x v="4"/>
    <x v="2"/>
    <x v="1247"/>
    <n v="115.14"/>
    <x v="1242"/>
    <x v="2"/>
    <x v="13"/>
    <x v="3"/>
  </r>
  <r>
    <x v="581"/>
    <x v="4"/>
    <x v="0"/>
    <x v="1248"/>
    <n v="451.39"/>
    <x v="1243"/>
    <x v="0"/>
    <x v="5"/>
    <x v="4"/>
  </r>
  <r>
    <x v="581"/>
    <x v="0"/>
    <x v="5"/>
    <x v="1249"/>
    <n v="164.26"/>
    <x v="1244"/>
    <x v="0"/>
    <x v="12"/>
    <x v="4"/>
  </r>
  <r>
    <x v="582"/>
    <x v="2"/>
    <x v="2"/>
    <x v="1250"/>
    <n v="200.08"/>
    <x v="1245"/>
    <x v="4"/>
    <x v="5"/>
    <x v="4"/>
  </r>
  <r>
    <x v="583"/>
    <x v="1"/>
    <x v="5"/>
    <x v="1251"/>
    <n v="219.37"/>
    <x v="1246"/>
    <x v="3"/>
    <x v="13"/>
    <x v="4"/>
  </r>
  <r>
    <x v="583"/>
    <x v="1"/>
    <x v="6"/>
    <x v="1252"/>
    <n v="12.5"/>
    <x v="639"/>
    <x v="0"/>
    <x v="12"/>
    <x v="3"/>
  </r>
  <r>
    <x v="584"/>
    <x v="4"/>
    <x v="0"/>
    <x v="1253"/>
    <n v="861.2"/>
    <x v="1247"/>
    <x v="1"/>
    <x v="2"/>
    <x v="2"/>
  </r>
  <r>
    <x v="585"/>
    <x v="4"/>
    <x v="0"/>
    <x v="1254"/>
    <n v="819.79"/>
    <x v="1248"/>
    <x v="1"/>
    <x v="14"/>
    <x v="4"/>
  </r>
  <r>
    <x v="585"/>
    <x v="1"/>
    <x v="4"/>
    <x v="1255"/>
    <n v="142.44999999999999"/>
    <x v="530"/>
    <x v="2"/>
    <x v="14"/>
    <x v="0"/>
  </r>
  <r>
    <x v="585"/>
    <x v="2"/>
    <x v="4"/>
    <x v="1256"/>
    <n v="21.67"/>
    <x v="1249"/>
    <x v="1"/>
    <x v="2"/>
    <x v="3"/>
  </r>
  <r>
    <x v="586"/>
    <x v="2"/>
    <x v="3"/>
    <x v="1257"/>
    <n v="41.22"/>
    <x v="1250"/>
    <x v="4"/>
    <x v="7"/>
    <x v="3"/>
  </r>
  <r>
    <x v="586"/>
    <x v="0"/>
    <x v="4"/>
    <x v="1258"/>
    <n v="327.84"/>
    <x v="1251"/>
    <x v="4"/>
    <x v="14"/>
    <x v="0"/>
  </r>
  <r>
    <x v="587"/>
    <x v="1"/>
    <x v="4"/>
    <x v="1259"/>
    <n v="155.08000000000001"/>
    <x v="1252"/>
    <x v="0"/>
    <x v="4"/>
    <x v="1"/>
  </r>
  <r>
    <x v="588"/>
    <x v="0"/>
    <x v="6"/>
    <x v="1260"/>
    <n v="15.96"/>
    <x v="1253"/>
    <x v="3"/>
    <x v="3"/>
    <x v="1"/>
  </r>
  <r>
    <x v="588"/>
    <x v="2"/>
    <x v="5"/>
    <x v="1261"/>
    <n v="86.17"/>
    <x v="1254"/>
    <x v="2"/>
    <x v="0"/>
    <x v="2"/>
  </r>
  <r>
    <x v="588"/>
    <x v="2"/>
    <x v="5"/>
    <x v="1262"/>
    <n v="149.63"/>
    <x v="1255"/>
    <x v="4"/>
    <x v="1"/>
    <x v="2"/>
  </r>
  <r>
    <x v="589"/>
    <x v="3"/>
    <x v="0"/>
    <x v="1263"/>
    <n v="209.69"/>
    <x v="1256"/>
    <x v="4"/>
    <x v="10"/>
    <x v="1"/>
  </r>
  <r>
    <x v="590"/>
    <x v="3"/>
    <x v="2"/>
    <x v="1264"/>
    <n v="36.76"/>
    <x v="1257"/>
    <x v="4"/>
    <x v="3"/>
    <x v="2"/>
  </r>
  <r>
    <x v="590"/>
    <x v="3"/>
    <x v="4"/>
    <x v="1265"/>
    <n v="62.09"/>
    <x v="1258"/>
    <x v="2"/>
    <x v="11"/>
    <x v="5"/>
  </r>
  <r>
    <x v="590"/>
    <x v="3"/>
    <x v="1"/>
    <x v="1266"/>
    <n v="107.36"/>
    <x v="1259"/>
    <x v="4"/>
    <x v="7"/>
    <x v="3"/>
  </r>
  <r>
    <x v="591"/>
    <x v="0"/>
    <x v="0"/>
    <x v="1267"/>
    <n v="614.76"/>
    <x v="1260"/>
    <x v="0"/>
    <x v="3"/>
    <x v="4"/>
  </r>
  <r>
    <x v="591"/>
    <x v="0"/>
    <x v="0"/>
    <x v="1268"/>
    <n v="415.73"/>
    <x v="1261"/>
    <x v="1"/>
    <x v="7"/>
    <x v="5"/>
  </r>
  <r>
    <x v="591"/>
    <x v="2"/>
    <x v="1"/>
    <x v="1269"/>
    <n v="962.87"/>
    <x v="1262"/>
    <x v="2"/>
    <x v="6"/>
    <x v="3"/>
  </r>
  <r>
    <x v="591"/>
    <x v="4"/>
    <x v="5"/>
    <x v="1270"/>
    <n v="172.68"/>
    <x v="1263"/>
    <x v="4"/>
    <x v="11"/>
    <x v="2"/>
  </r>
  <r>
    <x v="592"/>
    <x v="3"/>
    <x v="4"/>
    <x v="1271"/>
    <n v="15.76"/>
    <x v="1264"/>
    <x v="0"/>
    <x v="0"/>
    <x v="1"/>
  </r>
  <r>
    <x v="592"/>
    <x v="3"/>
    <x v="3"/>
    <x v="1272"/>
    <n v="2.0699999999999998"/>
    <x v="1265"/>
    <x v="0"/>
    <x v="2"/>
    <x v="4"/>
  </r>
  <r>
    <x v="593"/>
    <x v="2"/>
    <x v="2"/>
    <x v="1273"/>
    <n v="84.44"/>
    <x v="1266"/>
    <x v="0"/>
    <x v="13"/>
    <x v="2"/>
  </r>
  <r>
    <x v="593"/>
    <x v="0"/>
    <x v="1"/>
    <x v="1274"/>
    <n v="358.64"/>
    <x v="1267"/>
    <x v="3"/>
    <x v="3"/>
    <x v="4"/>
  </r>
  <r>
    <x v="593"/>
    <x v="3"/>
    <x v="5"/>
    <x v="1275"/>
    <n v="384.88"/>
    <x v="1268"/>
    <x v="1"/>
    <x v="5"/>
    <x v="0"/>
  </r>
  <r>
    <x v="593"/>
    <x v="0"/>
    <x v="2"/>
    <x v="1276"/>
    <n v="181.89"/>
    <x v="1269"/>
    <x v="2"/>
    <x v="5"/>
    <x v="1"/>
  </r>
  <r>
    <x v="594"/>
    <x v="1"/>
    <x v="3"/>
    <x v="1277"/>
    <n v="35.06"/>
    <x v="1270"/>
    <x v="4"/>
    <x v="2"/>
    <x v="2"/>
  </r>
  <r>
    <x v="594"/>
    <x v="0"/>
    <x v="4"/>
    <x v="1278"/>
    <n v="270.94"/>
    <x v="1271"/>
    <x v="4"/>
    <x v="3"/>
    <x v="4"/>
  </r>
  <r>
    <x v="594"/>
    <x v="1"/>
    <x v="2"/>
    <x v="1279"/>
    <n v="103.36"/>
    <x v="1272"/>
    <x v="2"/>
    <x v="2"/>
    <x v="2"/>
  </r>
  <r>
    <x v="595"/>
    <x v="0"/>
    <x v="0"/>
    <x v="1280"/>
    <n v="675.97"/>
    <x v="1273"/>
    <x v="3"/>
    <x v="10"/>
    <x v="5"/>
  </r>
  <r>
    <x v="595"/>
    <x v="4"/>
    <x v="4"/>
    <x v="1281"/>
    <n v="164.98"/>
    <x v="1274"/>
    <x v="3"/>
    <x v="2"/>
    <x v="3"/>
  </r>
  <r>
    <x v="595"/>
    <x v="2"/>
    <x v="2"/>
    <x v="1282"/>
    <n v="59.04"/>
    <x v="1275"/>
    <x v="2"/>
    <x v="11"/>
    <x v="1"/>
  </r>
  <r>
    <x v="595"/>
    <x v="4"/>
    <x v="2"/>
    <x v="1283"/>
    <n v="189.02"/>
    <x v="1276"/>
    <x v="3"/>
    <x v="2"/>
    <x v="5"/>
  </r>
  <r>
    <x v="596"/>
    <x v="4"/>
    <x v="0"/>
    <x v="1284"/>
    <n v="444.44"/>
    <x v="1277"/>
    <x v="3"/>
    <x v="0"/>
    <x v="2"/>
  </r>
  <r>
    <x v="596"/>
    <x v="1"/>
    <x v="6"/>
    <x v="1285"/>
    <n v="66.73"/>
    <x v="1278"/>
    <x v="1"/>
    <x v="3"/>
    <x v="5"/>
  </r>
  <r>
    <x v="597"/>
    <x v="1"/>
    <x v="5"/>
    <x v="1286"/>
    <n v="171.88"/>
    <x v="1279"/>
    <x v="1"/>
    <x v="0"/>
    <x v="0"/>
  </r>
  <r>
    <x v="597"/>
    <x v="4"/>
    <x v="6"/>
    <x v="1287"/>
    <n v="75.5"/>
    <x v="1280"/>
    <x v="3"/>
    <x v="11"/>
    <x v="4"/>
  </r>
  <r>
    <x v="597"/>
    <x v="4"/>
    <x v="6"/>
    <x v="1288"/>
    <n v="42.46"/>
    <x v="1281"/>
    <x v="2"/>
    <x v="5"/>
    <x v="5"/>
  </r>
  <r>
    <x v="597"/>
    <x v="4"/>
    <x v="2"/>
    <x v="1289"/>
    <n v="45.54"/>
    <x v="1282"/>
    <x v="2"/>
    <x v="11"/>
    <x v="3"/>
  </r>
  <r>
    <x v="598"/>
    <x v="4"/>
    <x v="0"/>
    <x v="1290"/>
    <n v="450.24"/>
    <x v="1283"/>
    <x v="2"/>
    <x v="8"/>
    <x v="5"/>
  </r>
  <r>
    <x v="598"/>
    <x v="2"/>
    <x v="2"/>
    <x v="1291"/>
    <n v="87.9"/>
    <x v="1284"/>
    <x v="2"/>
    <x v="5"/>
    <x v="3"/>
  </r>
  <r>
    <x v="598"/>
    <x v="4"/>
    <x v="3"/>
    <x v="1292"/>
    <n v="41.29"/>
    <x v="1285"/>
    <x v="3"/>
    <x v="10"/>
    <x v="5"/>
  </r>
  <r>
    <x v="599"/>
    <x v="4"/>
    <x v="4"/>
    <x v="1293"/>
    <n v="289.44"/>
    <x v="1286"/>
    <x v="4"/>
    <x v="10"/>
    <x v="0"/>
  </r>
  <r>
    <x v="599"/>
    <x v="4"/>
    <x v="0"/>
    <x v="1294"/>
    <n v="113"/>
    <x v="923"/>
    <x v="0"/>
    <x v="0"/>
    <x v="2"/>
  </r>
  <r>
    <x v="600"/>
    <x v="1"/>
    <x v="6"/>
    <x v="1295"/>
    <n v="95.75"/>
    <x v="1287"/>
    <x v="2"/>
    <x v="10"/>
    <x v="3"/>
  </r>
  <r>
    <x v="600"/>
    <x v="2"/>
    <x v="0"/>
    <x v="1296"/>
    <n v="352.25"/>
    <x v="1288"/>
    <x v="3"/>
    <x v="2"/>
    <x v="0"/>
  </r>
  <r>
    <x v="600"/>
    <x v="4"/>
    <x v="2"/>
    <x v="1297"/>
    <n v="194.16"/>
    <x v="1289"/>
    <x v="2"/>
    <x v="10"/>
    <x v="1"/>
  </r>
  <r>
    <x v="600"/>
    <x v="0"/>
    <x v="6"/>
    <x v="1298"/>
    <n v="83.06"/>
    <x v="1290"/>
    <x v="4"/>
    <x v="4"/>
    <x v="5"/>
  </r>
  <r>
    <x v="600"/>
    <x v="1"/>
    <x v="3"/>
    <x v="1299"/>
    <n v="42.63"/>
    <x v="1291"/>
    <x v="1"/>
    <x v="13"/>
    <x v="0"/>
  </r>
  <r>
    <x v="601"/>
    <x v="3"/>
    <x v="0"/>
    <x v="1300"/>
    <n v="400.4"/>
    <x v="1292"/>
    <x v="4"/>
    <x v="1"/>
    <x v="2"/>
  </r>
  <r>
    <x v="601"/>
    <x v="1"/>
    <x v="1"/>
    <x v="1301"/>
    <n v="845.22"/>
    <x v="1293"/>
    <x v="1"/>
    <x v="13"/>
    <x v="1"/>
  </r>
  <r>
    <x v="602"/>
    <x v="3"/>
    <x v="4"/>
    <x v="1302"/>
    <n v="287.27"/>
    <x v="1294"/>
    <x v="3"/>
    <x v="1"/>
    <x v="0"/>
  </r>
  <r>
    <x v="602"/>
    <x v="3"/>
    <x v="5"/>
    <x v="1303"/>
    <n v="309.83999999999997"/>
    <x v="1295"/>
    <x v="0"/>
    <x v="9"/>
    <x v="2"/>
  </r>
  <r>
    <x v="602"/>
    <x v="1"/>
    <x v="4"/>
    <x v="1304"/>
    <n v="27.14"/>
    <x v="1178"/>
    <x v="1"/>
    <x v="0"/>
    <x v="2"/>
  </r>
  <r>
    <x v="602"/>
    <x v="3"/>
    <x v="4"/>
    <x v="1305"/>
    <n v="121.25"/>
    <x v="1296"/>
    <x v="4"/>
    <x v="2"/>
    <x v="4"/>
  </r>
  <r>
    <x v="603"/>
    <x v="4"/>
    <x v="2"/>
    <x v="1306"/>
    <n v="45.67"/>
    <x v="1297"/>
    <x v="2"/>
    <x v="6"/>
    <x v="4"/>
  </r>
  <r>
    <x v="604"/>
    <x v="0"/>
    <x v="6"/>
    <x v="1307"/>
    <n v="66.180000000000007"/>
    <x v="1298"/>
    <x v="3"/>
    <x v="1"/>
    <x v="4"/>
  </r>
  <r>
    <x v="604"/>
    <x v="0"/>
    <x v="4"/>
    <x v="1308"/>
    <n v="158.16"/>
    <x v="1299"/>
    <x v="2"/>
    <x v="7"/>
    <x v="0"/>
  </r>
  <r>
    <x v="604"/>
    <x v="1"/>
    <x v="5"/>
    <x v="1309"/>
    <n v="157.31"/>
    <x v="1300"/>
    <x v="1"/>
    <x v="13"/>
    <x v="0"/>
  </r>
  <r>
    <x v="605"/>
    <x v="0"/>
    <x v="3"/>
    <x v="1310"/>
    <n v="19.440000000000001"/>
    <x v="1301"/>
    <x v="4"/>
    <x v="7"/>
    <x v="5"/>
  </r>
  <r>
    <x v="605"/>
    <x v="2"/>
    <x v="1"/>
    <x v="1311"/>
    <n v="94.49"/>
    <x v="1302"/>
    <x v="2"/>
    <x v="12"/>
    <x v="5"/>
  </r>
  <r>
    <x v="605"/>
    <x v="4"/>
    <x v="4"/>
    <x v="1312"/>
    <n v="229.51"/>
    <x v="1303"/>
    <x v="4"/>
    <x v="9"/>
    <x v="2"/>
  </r>
  <r>
    <x v="605"/>
    <x v="2"/>
    <x v="2"/>
    <x v="1313"/>
    <n v="68.2"/>
    <x v="1304"/>
    <x v="0"/>
    <x v="0"/>
    <x v="1"/>
  </r>
  <r>
    <x v="606"/>
    <x v="4"/>
    <x v="2"/>
    <x v="1314"/>
    <n v="102.08"/>
    <x v="1305"/>
    <x v="4"/>
    <x v="2"/>
    <x v="4"/>
  </r>
  <r>
    <x v="607"/>
    <x v="3"/>
    <x v="3"/>
    <x v="1315"/>
    <n v="37.85"/>
    <x v="1306"/>
    <x v="3"/>
    <x v="7"/>
    <x v="4"/>
  </r>
  <r>
    <x v="608"/>
    <x v="2"/>
    <x v="3"/>
    <x v="1316"/>
    <n v="17.28"/>
    <x v="1307"/>
    <x v="1"/>
    <x v="7"/>
    <x v="5"/>
  </r>
  <r>
    <x v="608"/>
    <x v="1"/>
    <x v="5"/>
    <x v="1317"/>
    <n v="247.18"/>
    <x v="1308"/>
    <x v="0"/>
    <x v="3"/>
    <x v="0"/>
  </r>
  <r>
    <x v="609"/>
    <x v="0"/>
    <x v="0"/>
    <x v="1318"/>
    <n v="203.63"/>
    <x v="1309"/>
    <x v="4"/>
    <x v="0"/>
    <x v="1"/>
  </r>
  <r>
    <x v="609"/>
    <x v="2"/>
    <x v="3"/>
    <x v="1319"/>
    <n v="5.63"/>
    <x v="1310"/>
    <x v="4"/>
    <x v="10"/>
    <x v="1"/>
  </r>
  <r>
    <x v="609"/>
    <x v="1"/>
    <x v="6"/>
    <x v="1320"/>
    <n v="55.84"/>
    <x v="1311"/>
    <x v="4"/>
    <x v="12"/>
    <x v="2"/>
  </r>
  <r>
    <x v="610"/>
    <x v="3"/>
    <x v="2"/>
    <x v="1321"/>
    <n v="69.97"/>
    <x v="1312"/>
    <x v="0"/>
    <x v="9"/>
    <x v="0"/>
  </r>
  <r>
    <x v="610"/>
    <x v="0"/>
    <x v="0"/>
    <x v="1322"/>
    <n v="950.66"/>
    <x v="1313"/>
    <x v="4"/>
    <x v="7"/>
    <x v="1"/>
  </r>
  <r>
    <x v="611"/>
    <x v="3"/>
    <x v="2"/>
    <x v="1323"/>
    <n v="101.22"/>
    <x v="1314"/>
    <x v="2"/>
    <x v="9"/>
    <x v="5"/>
  </r>
  <r>
    <x v="611"/>
    <x v="2"/>
    <x v="2"/>
    <x v="1324"/>
    <n v="99.03"/>
    <x v="1315"/>
    <x v="0"/>
    <x v="10"/>
    <x v="5"/>
  </r>
  <r>
    <x v="612"/>
    <x v="0"/>
    <x v="0"/>
    <x v="1325"/>
    <n v="675.29"/>
    <x v="1316"/>
    <x v="3"/>
    <x v="9"/>
    <x v="3"/>
  </r>
  <r>
    <x v="612"/>
    <x v="0"/>
    <x v="6"/>
    <x v="1326"/>
    <n v="55.3"/>
    <x v="1317"/>
    <x v="4"/>
    <x v="13"/>
    <x v="4"/>
  </r>
  <r>
    <x v="613"/>
    <x v="0"/>
    <x v="5"/>
    <x v="1327"/>
    <n v="327.26"/>
    <x v="1318"/>
    <x v="2"/>
    <x v="11"/>
    <x v="2"/>
  </r>
  <r>
    <x v="613"/>
    <x v="2"/>
    <x v="3"/>
    <x v="1328"/>
    <n v="36.229999999999997"/>
    <x v="1319"/>
    <x v="2"/>
    <x v="8"/>
    <x v="5"/>
  </r>
  <r>
    <x v="613"/>
    <x v="1"/>
    <x v="3"/>
    <x v="1329"/>
    <n v="8.31"/>
    <x v="1320"/>
    <x v="2"/>
    <x v="1"/>
    <x v="0"/>
  </r>
  <r>
    <x v="613"/>
    <x v="1"/>
    <x v="4"/>
    <x v="1330"/>
    <n v="226.22"/>
    <x v="1321"/>
    <x v="4"/>
    <x v="7"/>
    <x v="0"/>
  </r>
  <r>
    <x v="614"/>
    <x v="1"/>
    <x v="4"/>
    <x v="1331"/>
    <n v="223.76"/>
    <x v="1322"/>
    <x v="0"/>
    <x v="12"/>
    <x v="3"/>
  </r>
  <r>
    <x v="614"/>
    <x v="0"/>
    <x v="2"/>
    <x v="1332"/>
    <n v="66.349999999999994"/>
    <x v="1323"/>
    <x v="4"/>
    <x v="9"/>
    <x v="3"/>
  </r>
  <r>
    <x v="614"/>
    <x v="0"/>
    <x v="6"/>
    <x v="1333"/>
    <n v="48.1"/>
    <x v="1324"/>
    <x v="3"/>
    <x v="11"/>
    <x v="2"/>
  </r>
  <r>
    <x v="614"/>
    <x v="2"/>
    <x v="2"/>
    <x v="1334"/>
    <n v="28.11"/>
    <x v="1325"/>
    <x v="3"/>
    <x v="4"/>
    <x v="2"/>
  </r>
  <r>
    <x v="615"/>
    <x v="1"/>
    <x v="2"/>
    <x v="1335"/>
    <n v="38.44"/>
    <x v="1326"/>
    <x v="0"/>
    <x v="9"/>
    <x v="1"/>
  </r>
  <r>
    <x v="615"/>
    <x v="3"/>
    <x v="5"/>
    <x v="1336"/>
    <n v="337.38"/>
    <x v="1327"/>
    <x v="3"/>
    <x v="0"/>
    <x v="3"/>
  </r>
  <r>
    <x v="615"/>
    <x v="2"/>
    <x v="6"/>
    <x v="1337"/>
    <n v="75.540000000000006"/>
    <x v="1328"/>
    <x v="0"/>
    <x v="1"/>
    <x v="5"/>
  </r>
  <r>
    <x v="616"/>
    <x v="0"/>
    <x v="6"/>
    <x v="1338"/>
    <n v="61.65"/>
    <x v="1329"/>
    <x v="0"/>
    <x v="6"/>
    <x v="3"/>
  </r>
  <r>
    <x v="616"/>
    <x v="1"/>
    <x v="0"/>
    <x v="1339"/>
    <n v="786.94"/>
    <x v="1330"/>
    <x v="3"/>
    <x v="8"/>
    <x v="1"/>
  </r>
  <r>
    <x v="616"/>
    <x v="2"/>
    <x v="0"/>
    <x v="1340"/>
    <n v="335.62"/>
    <x v="1331"/>
    <x v="4"/>
    <x v="4"/>
    <x v="0"/>
  </r>
  <r>
    <x v="616"/>
    <x v="4"/>
    <x v="5"/>
    <x v="1341"/>
    <n v="391.2"/>
    <x v="1332"/>
    <x v="2"/>
    <x v="14"/>
    <x v="4"/>
  </r>
  <r>
    <x v="616"/>
    <x v="2"/>
    <x v="6"/>
    <x v="1342"/>
    <n v="69.89"/>
    <x v="1333"/>
    <x v="3"/>
    <x v="3"/>
    <x v="5"/>
  </r>
  <r>
    <x v="617"/>
    <x v="0"/>
    <x v="0"/>
    <x v="1343"/>
    <n v="33.31"/>
    <x v="1334"/>
    <x v="1"/>
    <x v="13"/>
    <x v="2"/>
  </r>
  <r>
    <x v="618"/>
    <x v="1"/>
    <x v="2"/>
    <x v="1344"/>
    <n v="176.15"/>
    <x v="1335"/>
    <x v="2"/>
    <x v="3"/>
    <x v="4"/>
  </r>
  <r>
    <x v="618"/>
    <x v="1"/>
    <x v="5"/>
    <x v="1345"/>
    <n v="368.84"/>
    <x v="1336"/>
    <x v="0"/>
    <x v="12"/>
    <x v="4"/>
  </r>
  <r>
    <x v="618"/>
    <x v="4"/>
    <x v="4"/>
    <x v="1346"/>
    <n v="406.18"/>
    <x v="1337"/>
    <x v="2"/>
    <x v="3"/>
    <x v="1"/>
  </r>
  <r>
    <x v="618"/>
    <x v="1"/>
    <x v="5"/>
    <x v="1347"/>
    <n v="141.18"/>
    <x v="1338"/>
    <x v="2"/>
    <x v="2"/>
    <x v="5"/>
  </r>
  <r>
    <x v="618"/>
    <x v="1"/>
    <x v="4"/>
    <x v="1348"/>
    <n v="235.13"/>
    <x v="1339"/>
    <x v="2"/>
    <x v="0"/>
    <x v="2"/>
  </r>
  <r>
    <x v="619"/>
    <x v="2"/>
    <x v="6"/>
    <x v="1349"/>
    <n v="65.900000000000006"/>
    <x v="1340"/>
    <x v="3"/>
    <x v="11"/>
    <x v="2"/>
  </r>
  <r>
    <x v="619"/>
    <x v="4"/>
    <x v="6"/>
    <x v="1350"/>
    <n v="68.44"/>
    <x v="1341"/>
    <x v="0"/>
    <x v="4"/>
    <x v="4"/>
  </r>
  <r>
    <x v="619"/>
    <x v="4"/>
    <x v="0"/>
    <x v="1351"/>
    <n v="838.63"/>
    <x v="1342"/>
    <x v="1"/>
    <x v="3"/>
    <x v="0"/>
  </r>
  <r>
    <x v="620"/>
    <x v="3"/>
    <x v="6"/>
    <x v="1352"/>
    <n v="83.77"/>
    <x v="1343"/>
    <x v="2"/>
    <x v="13"/>
    <x v="5"/>
  </r>
  <r>
    <x v="620"/>
    <x v="3"/>
    <x v="2"/>
    <x v="1353"/>
    <n v="78.209999999999994"/>
    <x v="1344"/>
    <x v="0"/>
    <x v="10"/>
    <x v="4"/>
  </r>
  <r>
    <x v="620"/>
    <x v="1"/>
    <x v="2"/>
    <x v="1354"/>
    <n v="41.24"/>
    <x v="1345"/>
    <x v="3"/>
    <x v="9"/>
    <x v="4"/>
  </r>
  <r>
    <x v="620"/>
    <x v="3"/>
    <x v="3"/>
    <x v="1355"/>
    <n v="36.630000000000003"/>
    <x v="1346"/>
    <x v="1"/>
    <x v="11"/>
    <x v="0"/>
  </r>
  <r>
    <x v="621"/>
    <x v="0"/>
    <x v="2"/>
    <x v="1356"/>
    <n v="42.85"/>
    <x v="1347"/>
    <x v="2"/>
    <x v="8"/>
    <x v="1"/>
  </r>
  <r>
    <x v="621"/>
    <x v="3"/>
    <x v="6"/>
    <x v="1357"/>
    <n v="68.709999999999994"/>
    <x v="1348"/>
    <x v="0"/>
    <x v="12"/>
    <x v="1"/>
  </r>
  <r>
    <x v="622"/>
    <x v="1"/>
    <x v="3"/>
    <x v="1358"/>
    <n v="23.23"/>
    <x v="1349"/>
    <x v="4"/>
    <x v="14"/>
    <x v="0"/>
  </r>
  <r>
    <x v="622"/>
    <x v="0"/>
    <x v="4"/>
    <x v="1359"/>
    <n v="117.19"/>
    <x v="1350"/>
    <x v="3"/>
    <x v="13"/>
    <x v="5"/>
  </r>
  <r>
    <x v="623"/>
    <x v="4"/>
    <x v="0"/>
    <x v="1360"/>
    <n v="363.32"/>
    <x v="1351"/>
    <x v="3"/>
    <x v="6"/>
    <x v="1"/>
  </r>
  <r>
    <x v="623"/>
    <x v="1"/>
    <x v="1"/>
    <x v="1361"/>
    <n v="460.77"/>
    <x v="1352"/>
    <x v="3"/>
    <x v="11"/>
    <x v="4"/>
  </r>
  <r>
    <x v="623"/>
    <x v="1"/>
    <x v="0"/>
    <x v="1362"/>
    <n v="613.04999999999995"/>
    <x v="1353"/>
    <x v="1"/>
    <x v="7"/>
    <x v="0"/>
  </r>
  <r>
    <x v="623"/>
    <x v="3"/>
    <x v="1"/>
    <x v="1363"/>
    <n v="501.62"/>
    <x v="1354"/>
    <x v="0"/>
    <x v="4"/>
    <x v="1"/>
  </r>
  <r>
    <x v="624"/>
    <x v="4"/>
    <x v="5"/>
    <x v="1364"/>
    <n v="80.290000000000006"/>
    <x v="1355"/>
    <x v="4"/>
    <x v="4"/>
    <x v="5"/>
  </r>
  <r>
    <x v="624"/>
    <x v="2"/>
    <x v="4"/>
    <x v="1365"/>
    <n v="46.95"/>
    <x v="1356"/>
    <x v="0"/>
    <x v="5"/>
    <x v="4"/>
  </r>
  <r>
    <x v="624"/>
    <x v="2"/>
    <x v="1"/>
    <x v="1366"/>
    <n v="814.61"/>
    <x v="1357"/>
    <x v="4"/>
    <x v="14"/>
    <x v="4"/>
  </r>
  <r>
    <x v="624"/>
    <x v="2"/>
    <x v="5"/>
    <x v="1367"/>
    <n v="69.180000000000007"/>
    <x v="1358"/>
    <x v="0"/>
    <x v="3"/>
    <x v="2"/>
  </r>
  <r>
    <x v="624"/>
    <x v="2"/>
    <x v="2"/>
    <x v="1368"/>
    <n v="69.31"/>
    <x v="1359"/>
    <x v="2"/>
    <x v="8"/>
    <x v="5"/>
  </r>
  <r>
    <x v="624"/>
    <x v="4"/>
    <x v="3"/>
    <x v="1369"/>
    <n v="34.83"/>
    <x v="1360"/>
    <x v="1"/>
    <x v="1"/>
    <x v="5"/>
  </r>
  <r>
    <x v="625"/>
    <x v="3"/>
    <x v="6"/>
    <x v="1370"/>
    <n v="39.9"/>
    <x v="1361"/>
    <x v="3"/>
    <x v="12"/>
    <x v="2"/>
  </r>
  <r>
    <x v="625"/>
    <x v="1"/>
    <x v="5"/>
    <x v="1371"/>
    <n v="197.06"/>
    <x v="1362"/>
    <x v="4"/>
    <x v="4"/>
    <x v="5"/>
  </r>
  <r>
    <x v="626"/>
    <x v="2"/>
    <x v="2"/>
    <x v="1372"/>
    <n v="39.659999999999997"/>
    <x v="1363"/>
    <x v="2"/>
    <x v="10"/>
    <x v="1"/>
  </r>
  <r>
    <x v="627"/>
    <x v="0"/>
    <x v="3"/>
    <x v="1373"/>
    <n v="31.8"/>
    <x v="1364"/>
    <x v="4"/>
    <x v="5"/>
    <x v="4"/>
  </r>
  <r>
    <x v="628"/>
    <x v="3"/>
    <x v="1"/>
    <x v="1374"/>
    <n v="1043"/>
    <x v="1365"/>
    <x v="2"/>
    <x v="5"/>
    <x v="0"/>
  </r>
  <r>
    <x v="628"/>
    <x v="0"/>
    <x v="5"/>
    <x v="1375"/>
    <n v="182.27"/>
    <x v="1366"/>
    <x v="0"/>
    <x v="14"/>
    <x v="3"/>
  </r>
  <r>
    <x v="628"/>
    <x v="3"/>
    <x v="0"/>
    <x v="1376"/>
    <n v="632.02"/>
    <x v="1367"/>
    <x v="3"/>
    <x v="11"/>
    <x v="3"/>
  </r>
  <r>
    <x v="629"/>
    <x v="1"/>
    <x v="4"/>
    <x v="1377"/>
    <n v="164.92"/>
    <x v="1368"/>
    <x v="4"/>
    <x v="8"/>
    <x v="5"/>
  </r>
  <r>
    <x v="629"/>
    <x v="4"/>
    <x v="1"/>
    <x v="1378"/>
    <n v="102.16"/>
    <x v="1369"/>
    <x v="3"/>
    <x v="11"/>
    <x v="5"/>
  </r>
  <r>
    <x v="629"/>
    <x v="4"/>
    <x v="1"/>
    <x v="1379"/>
    <n v="235.86"/>
    <x v="1370"/>
    <x v="3"/>
    <x v="12"/>
    <x v="3"/>
  </r>
  <r>
    <x v="630"/>
    <x v="4"/>
    <x v="0"/>
    <x v="1380"/>
    <n v="256.05"/>
    <x v="1371"/>
    <x v="0"/>
    <x v="11"/>
    <x v="5"/>
  </r>
  <r>
    <x v="631"/>
    <x v="4"/>
    <x v="1"/>
    <x v="1381"/>
    <n v="746.66"/>
    <x v="1372"/>
    <x v="4"/>
    <x v="6"/>
    <x v="1"/>
  </r>
  <r>
    <x v="632"/>
    <x v="2"/>
    <x v="6"/>
    <x v="1382"/>
    <n v="28.71"/>
    <x v="1373"/>
    <x v="2"/>
    <x v="1"/>
    <x v="1"/>
  </r>
  <r>
    <x v="633"/>
    <x v="3"/>
    <x v="2"/>
    <x v="1383"/>
    <n v="93.72"/>
    <x v="1374"/>
    <x v="0"/>
    <x v="7"/>
    <x v="0"/>
  </r>
  <r>
    <x v="633"/>
    <x v="3"/>
    <x v="3"/>
    <x v="1384"/>
    <n v="45.37"/>
    <x v="1375"/>
    <x v="2"/>
    <x v="3"/>
    <x v="2"/>
  </r>
  <r>
    <x v="633"/>
    <x v="1"/>
    <x v="2"/>
    <x v="1385"/>
    <n v="167.6"/>
    <x v="1376"/>
    <x v="0"/>
    <x v="5"/>
    <x v="1"/>
  </r>
  <r>
    <x v="634"/>
    <x v="2"/>
    <x v="0"/>
    <x v="1386"/>
    <n v="124.49"/>
    <x v="1377"/>
    <x v="1"/>
    <x v="13"/>
    <x v="1"/>
  </r>
  <r>
    <x v="634"/>
    <x v="1"/>
    <x v="3"/>
    <x v="1387"/>
    <n v="21.79"/>
    <x v="1378"/>
    <x v="2"/>
    <x v="10"/>
    <x v="1"/>
  </r>
  <r>
    <x v="635"/>
    <x v="3"/>
    <x v="1"/>
    <x v="1388"/>
    <n v="92.31"/>
    <x v="1379"/>
    <x v="1"/>
    <x v="3"/>
    <x v="5"/>
  </r>
  <r>
    <x v="635"/>
    <x v="2"/>
    <x v="2"/>
    <x v="1389"/>
    <n v="70.56"/>
    <x v="1380"/>
    <x v="4"/>
    <x v="7"/>
    <x v="5"/>
  </r>
  <r>
    <x v="636"/>
    <x v="3"/>
    <x v="0"/>
    <x v="1390"/>
    <n v="670.76"/>
    <x v="1381"/>
    <x v="0"/>
    <x v="14"/>
    <x v="5"/>
  </r>
  <r>
    <x v="637"/>
    <x v="3"/>
    <x v="3"/>
    <x v="1391"/>
    <n v="8.0500000000000007"/>
    <x v="1382"/>
    <x v="4"/>
    <x v="3"/>
    <x v="2"/>
  </r>
  <r>
    <x v="637"/>
    <x v="0"/>
    <x v="2"/>
    <x v="1392"/>
    <n v="8.58"/>
    <x v="1383"/>
    <x v="1"/>
    <x v="1"/>
    <x v="1"/>
  </r>
  <r>
    <x v="637"/>
    <x v="1"/>
    <x v="0"/>
    <x v="1393"/>
    <n v="463.31"/>
    <x v="1384"/>
    <x v="0"/>
    <x v="7"/>
    <x v="0"/>
  </r>
  <r>
    <x v="637"/>
    <x v="1"/>
    <x v="6"/>
    <x v="1394"/>
    <n v="71.430000000000007"/>
    <x v="1385"/>
    <x v="4"/>
    <x v="5"/>
    <x v="4"/>
  </r>
  <r>
    <x v="638"/>
    <x v="3"/>
    <x v="2"/>
    <x v="1395"/>
    <n v="89.58"/>
    <x v="1386"/>
    <x v="0"/>
    <x v="1"/>
    <x v="4"/>
  </r>
  <r>
    <x v="638"/>
    <x v="3"/>
    <x v="1"/>
    <x v="1396"/>
    <n v="795.36"/>
    <x v="1387"/>
    <x v="2"/>
    <x v="0"/>
    <x v="1"/>
  </r>
  <r>
    <x v="639"/>
    <x v="3"/>
    <x v="1"/>
    <x v="1397"/>
    <n v="388.24"/>
    <x v="1388"/>
    <x v="3"/>
    <x v="12"/>
    <x v="5"/>
  </r>
  <r>
    <x v="639"/>
    <x v="4"/>
    <x v="6"/>
    <x v="1398"/>
    <n v="33.47"/>
    <x v="1389"/>
    <x v="1"/>
    <x v="0"/>
    <x v="5"/>
  </r>
  <r>
    <x v="639"/>
    <x v="3"/>
    <x v="3"/>
    <x v="1399"/>
    <n v="14.23"/>
    <x v="1390"/>
    <x v="1"/>
    <x v="2"/>
    <x v="1"/>
  </r>
  <r>
    <x v="640"/>
    <x v="0"/>
    <x v="5"/>
    <x v="1400"/>
    <n v="220.18"/>
    <x v="1391"/>
    <x v="2"/>
    <x v="5"/>
    <x v="1"/>
  </r>
  <r>
    <x v="640"/>
    <x v="2"/>
    <x v="3"/>
    <x v="1401"/>
    <n v="12.11"/>
    <x v="1392"/>
    <x v="0"/>
    <x v="6"/>
    <x v="1"/>
  </r>
  <r>
    <x v="640"/>
    <x v="3"/>
    <x v="0"/>
    <x v="1402"/>
    <n v="182.35"/>
    <x v="1393"/>
    <x v="2"/>
    <x v="13"/>
    <x v="0"/>
  </r>
  <r>
    <x v="641"/>
    <x v="2"/>
    <x v="4"/>
    <x v="1403"/>
    <n v="151.72999999999999"/>
    <x v="1394"/>
    <x v="3"/>
    <x v="14"/>
    <x v="0"/>
  </r>
  <r>
    <x v="642"/>
    <x v="1"/>
    <x v="3"/>
    <x v="1404"/>
    <n v="44.94"/>
    <x v="1395"/>
    <x v="2"/>
    <x v="13"/>
    <x v="0"/>
  </r>
  <r>
    <x v="643"/>
    <x v="4"/>
    <x v="3"/>
    <x v="1405"/>
    <n v="27.69"/>
    <x v="1396"/>
    <x v="4"/>
    <x v="4"/>
    <x v="4"/>
  </r>
  <r>
    <x v="643"/>
    <x v="1"/>
    <x v="1"/>
    <x v="1406"/>
    <n v="754.68"/>
    <x v="1397"/>
    <x v="4"/>
    <x v="1"/>
    <x v="4"/>
  </r>
  <r>
    <x v="643"/>
    <x v="3"/>
    <x v="0"/>
    <x v="1407"/>
    <n v="432.06"/>
    <x v="1398"/>
    <x v="2"/>
    <x v="0"/>
    <x v="4"/>
  </r>
  <r>
    <x v="643"/>
    <x v="2"/>
    <x v="3"/>
    <x v="1408"/>
    <n v="13.91"/>
    <x v="1399"/>
    <x v="1"/>
    <x v="6"/>
    <x v="2"/>
  </r>
  <r>
    <x v="643"/>
    <x v="1"/>
    <x v="6"/>
    <x v="1409"/>
    <n v="2.13"/>
    <x v="1400"/>
    <x v="4"/>
    <x v="6"/>
    <x v="5"/>
  </r>
  <r>
    <x v="644"/>
    <x v="1"/>
    <x v="3"/>
    <x v="1410"/>
    <n v="52.09"/>
    <x v="1401"/>
    <x v="3"/>
    <x v="5"/>
    <x v="3"/>
  </r>
  <r>
    <x v="644"/>
    <x v="0"/>
    <x v="2"/>
    <x v="1411"/>
    <n v="156.55000000000001"/>
    <x v="1402"/>
    <x v="2"/>
    <x v="14"/>
    <x v="1"/>
  </r>
  <r>
    <x v="644"/>
    <x v="0"/>
    <x v="4"/>
    <x v="1412"/>
    <n v="145.28"/>
    <x v="1403"/>
    <x v="2"/>
    <x v="11"/>
    <x v="3"/>
  </r>
  <r>
    <x v="645"/>
    <x v="0"/>
    <x v="0"/>
    <x v="1413"/>
    <n v="948.53"/>
    <x v="1404"/>
    <x v="4"/>
    <x v="9"/>
    <x v="2"/>
  </r>
  <r>
    <x v="646"/>
    <x v="4"/>
    <x v="1"/>
    <x v="1414"/>
    <n v="248.47"/>
    <x v="1405"/>
    <x v="4"/>
    <x v="11"/>
    <x v="1"/>
  </r>
  <r>
    <x v="646"/>
    <x v="0"/>
    <x v="0"/>
    <x v="1415"/>
    <n v="141.58000000000001"/>
    <x v="1406"/>
    <x v="3"/>
    <x v="9"/>
    <x v="2"/>
  </r>
  <r>
    <x v="646"/>
    <x v="4"/>
    <x v="1"/>
    <x v="1416"/>
    <n v="745.24"/>
    <x v="1407"/>
    <x v="4"/>
    <x v="3"/>
    <x v="3"/>
  </r>
  <r>
    <x v="647"/>
    <x v="3"/>
    <x v="3"/>
    <x v="1417"/>
    <n v="27.9"/>
    <x v="1408"/>
    <x v="0"/>
    <x v="11"/>
    <x v="3"/>
  </r>
  <r>
    <x v="648"/>
    <x v="0"/>
    <x v="2"/>
    <x v="1418"/>
    <n v="27.23"/>
    <x v="1409"/>
    <x v="1"/>
    <x v="6"/>
    <x v="4"/>
  </r>
  <r>
    <x v="648"/>
    <x v="3"/>
    <x v="3"/>
    <x v="1419"/>
    <n v="38.9"/>
    <x v="1410"/>
    <x v="4"/>
    <x v="0"/>
    <x v="4"/>
  </r>
  <r>
    <x v="649"/>
    <x v="0"/>
    <x v="5"/>
    <x v="1420"/>
    <n v="465.79"/>
    <x v="1411"/>
    <x v="4"/>
    <x v="14"/>
    <x v="4"/>
  </r>
  <r>
    <x v="649"/>
    <x v="4"/>
    <x v="0"/>
    <x v="1421"/>
    <n v="189.24"/>
    <x v="1412"/>
    <x v="0"/>
    <x v="14"/>
    <x v="5"/>
  </r>
  <r>
    <x v="650"/>
    <x v="3"/>
    <x v="3"/>
    <x v="1422"/>
    <n v="4.6500000000000004"/>
    <x v="1413"/>
    <x v="3"/>
    <x v="10"/>
    <x v="1"/>
  </r>
  <r>
    <x v="650"/>
    <x v="3"/>
    <x v="6"/>
    <x v="1423"/>
    <n v="91.47"/>
    <x v="1414"/>
    <x v="3"/>
    <x v="9"/>
    <x v="3"/>
  </r>
  <r>
    <x v="651"/>
    <x v="3"/>
    <x v="0"/>
    <x v="1424"/>
    <n v="252.82"/>
    <x v="1415"/>
    <x v="3"/>
    <x v="11"/>
    <x v="5"/>
  </r>
  <r>
    <x v="652"/>
    <x v="2"/>
    <x v="1"/>
    <x v="1425"/>
    <n v="468.76"/>
    <x v="1416"/>
    <x v="2"/>
    <x v="2"/>
    <x v="4"/>
  </r>
  <r>
    <x v="652"/>
    <x v="4"/>
    <x v="0"/>
    <x v="1426"/>
    <n v="167.89"/>
    <x v="1417"/>
    <x v="2"/>
    <x v="8"/>
    <x v="2"/>
  </r>
  <r>
    <x v="653"/>
    <x v="0"/>
    <x v="3"/>
    <x v="1427"/>
    <n v="31.21"/>
    <x v="1418"/>
    <x v="4"/>
    <x v="3"/>
    <x v="5"/>
  </r>
  <r>
    <x v="653"/>
    <x v="4"/>
    <x v="3"/>
    <x v="1428"/>
    <n v="22.47"/>
    <x v="1419"/>
    <x v="2"/>
    <x v="9"/>
    <x v="2"/>
  </r>
  <r>
    <x v="653"/>
    <x v="0"/>
    <x v="1"/>
    <x v="1429"/>
    <n v="1049.6099999999999"/>
    <x v="1420"/>
    <x v="2"/>
    <x v="12"/>
    <x v="0"/>
  </r>
  <r>
    <x v="653"/>
    <x v="0"/>
    <x v="0"/>
    <x v="1430"/>
    <n v="463.73"/>
    <x v="1421"/>
    <x v="1"/>
    <x v="6"/>
    <x v="0"/>
  </r>
  <r>
    <x v="654"/>
    <x v="4"/>
    <x v="4"/>
    <x v="1431"/>
    <n v="108.96"/>
    <x v="1422"/>
    <x v="2"/>
    <x v="3"/>
    <x v="4"/>
  </r>
  <r>
    <x v="654"/>
    <x v="4"/>
    <x v="6"/>
    <x v="1432"/>
    <n v="50.68"/>
    <x v="1423"/>
    <x v="1"/>
    <x v="9"/>
    <x v="2"/>
  </r>
  <r>
    <x v="655"/>
    <x v="3"/>
    <x v="0"/>
    <x v="1433"/>
    <n v="214.97"/>
    <x v="1424"/>
    <x v="1"/>
    <x v="9"/>
    <x v="2"/>
  </r>
  <r>
    <x v="655"/>
    <x v="4"/>
    <x v="3"/>
    <x v="1434"/>
    <n v="15.04"/>
    <x v="1425"/>
    <x v="2"/>
    <x v="11"/>
    <x v="5"/>
  </r>
  <r>
    <x v="655"/>
    <x v="3"/>
    <x v="6"/>
    <x v="1435"/>
    <n v="59.1"/>
    <x v="1426"/>
    <x v="2"/>
    <x v="2"/>
    <x v="5"/>
  </r>
  <r>
    <x v="656"/>
    <x v="2"/>
    <x v="2"/>
    <x v="1436"/>
    <n v="91.96"/>
    <x v="1427"/>
    <x v="3"/>
    <x v="7"/>
    <x v="0"/>
  </r>
  <r>
    <x v="657"/>
    <x v="3"/>
    <x v="1"/>
    <x v="1437"/>
    <n v="374.43"/>
    <x v="1428"/>
    <x v="2"/>
    <x v="1"/>
    <x v="5"/>
  </r>
  <r>
    <x v="658"/>
    <x v="2"/>
    <x v="3"/>
    <x v="1438"/>
    <n v="19.850000000000001"/>
    <x v="1429"/>
    <x v="1"/>
    <x v="12"/>
    <x v="0"/>
  </r>
  <r>
    <x v="658"/>
    <x v="0"/>
    <x v="2"/>
    <x v="1439"/>
    <n v="60.66"/>
    <x v="1430"/>
    <x v="0"/>
    <x v="10"/>
    <x v="3"/>
  </r>
  <r>
    <x v="659"/>
    <x v="2"/>
    <x v="3"/>
    <x v="1440"/>
    <n v="45.83"/>
    <x v="273"/>
    <x v="3"/>
    <x v="1"/>
    <x v="5"/>
  </r>
  <r>
    <x v="660"/>
    <x v="1"/>
    <x v="6"/>
    <x v="1441"/>
    <n v="47.9"/>
    <x v="1431"/>
    <x v="4"/>
    <x v="4"/>
    <x v="4"/>
  </r>
  <r>
    <x v="661"/>
    <x v="2"/>
    <x v="3"/>
    <x v="1442"/>
    <n v="36.700000000000003"/>
    <x v="1306"/>
    <x v="1"/>
    <x v="13"/>
    <x v="1"/>
  </r>
  <r>
    <x v="662"/>
    <x v="4"/>
    <x v="6"/>
    <x v="1443"/>
    <n v="44.21"/>
    <x v="1432"/>
    <x v="2"/>
    <x v="7"/>
    <x v="3"/>
  </r>
  <r>
    <x v="662"/>
    <x v="4"/>
    <x v="1"/>
    <x v="1444"/>
    <n v="883.43"/>
    <x v="1433"/>
    <x v="4"/>
    <x v="6"/>
    <x v="3"/>
  </r>
  <r>
    <x v="663"/>
    <x v="3"/>
    <x v="3"/>
    <x v="1445"/>
    <n v="51.79"/>
    <x v="1434"/>
    <x v="0"/>
    <x v="6"/>
    <x v="3"/>
  </r>
  <r>
    <x v="663"/>
    <x v="1"/>
    <x v="5"/>
    <x v="1446"/>
    <n v="86.53"/>
    <x v="1435"/>
    <x v="4"/>
    <x v="6"/>
    <x v="0"/>
  </r>
  <r>
    <x v="663"/>
    <x v="4"/>
    <x v="5"/>
    <x v="1447"/>
    <n v="85.99"/>
    <x v="1436"/>
    <x v="4"/>
    <x v="12"/>
    <x v="1"/>
  </r>
  <r>
    <x v="663"/>
    <x v="4"/>
    <x v="5"/>
    <x v="1448"/>
    <n v="393.93"/>
    <x v="1437"/>
    <x v="4"/>
    <x v="11"/>
    <x v="3"/>
  </r>
  <r>
    <x v="664"/>
    <x v="2"/>
    <x v="4"/>
    <x v="1449"/>
    <n v="171.55"/>
    <x v="1438"/>
    <x v="2"/>
    <x v="14"/>
    <x v="4"/>
  </r>
  <r>
    <x v="664"/>
    <x v="2"/>
    <x v="5"/>
    <x v="1450"/>
    <n v="333.03"/>
    <x v="1439"/>
    <x v="1"/>
    <x v="12"/>
    <x v="4"/>
  </r>
  <r>
    <x v="665"/>
    <x v="1"/>
    <x v="1"/>
    <x v="1451"/>
    <n v="376.22"/>
    <x v="1440"/>
    <x v="3"/>
    <x v="2"/>
    <x v="3"/>
  </r>
  <r>
    <x v="665"/>
    <x v="1"/>
    <x v="4"/>
    <x v="1452"/>
    <n v="92.98"/>
    <x v="1441"/>
    <x v="2"/>
    <x v="1"/>
    <x v="4"/>
  </r>
  <r>
    <x v="666"/>
    <x v="4"/>
    <x v="4"/>
    <x v="1453"/>
    <n v="121.08"/>
    <x v="1442"/>
    <x v="2"/>
    <x v="9"/>
    <x v="3"/>
  </r>
  <r>
    <x v="666"/>
    <x v="4"/>
    <x v="4"/>
    <x v="1454"/>
    <n v="259.45999999999998"/>
    <x v="1443"/>
    <x v="0"/>
    <x v="11"/>
    <x v="4"/>
  </r>
  <r>
    <x v="666"/>
    <x v="0"/>
    <x v="3"/>
    <x v="1455"/>
    <n v="19.37"/>
    <x v="1444"/>
    <x v="0"/>
    <x v="4"/>
    <x v="1"/>
  </r>
  <r>
    <x v="667"/>
    <x v="2"/>
    <x v="6"/>
    <x v="1456"/>
    <n v="46.25"/>
    <x v="1445"/>
    <x v="3"/>
    <x v="3"/>
    <x v="4"/>
  </r>
  <r>
    <x v="667"/>
    <x v="1"/>
    <x v="6"/>
    <x v="1457"/>
    <n v="62.87"/>
    <x v="1446"/>
    <x v="2"/>
    <x v="12"/>
    <x v="3"/>
  </r>
  <r>
    <x v="667"/>
    <x v="4"/>
    <x v="2"/>
    <x v="1458"/>
    <n v="203.58"/>
    <x v="1447"/>
    <x v="1"/>
    <x v="2"/>
    <x v="5"/>
  </r>
  <r>
    <x v="668"/>
    <x v="4"/>
    <x v="5"/>
    <x v="1459"/>
    <n v="109.83"/>
    <x v="1448"/>
    <x v="2"/>
    <x v="14"/>
    <x v="2"/>
  </r>
  <r>
    <x v="669"/>
    <x v="0"/>
    <x v="1"/>
    <x v="1460"/>
    <n v="948.19"/>
    <x v="1449"/>
    <x v="0"/>
    <x v="6"/>
    <x v="5"/>
  </r>
  <r>
    <x v="669"/>
    <x v="0"/>
    <x v="6"/>
    <x v="1461"/>
    <n v="83.34"/>
    <x v="1450"/>
    <x v="2"/>
    <x v="0"/>
    <x v="1"/>
  </r>
  <r>
    <x v="669"/>
    <x v="4"/>
    <x v="2"/>
    <x v="1462"/>
    <n v="146.69999999999999"/>
    <x v="1451"/>
    <x v="1"/>
    <x v="14"/>
    <x v="4"/>
  </r>
  <r>
    <x v="670"/>
    <x v="4"/>
    <x v="1"/>
    <x v="1463"/>
    <n v="602.87"/>
    <x v="1452"/>
    <x v="0"/>
    <x v="13"/>
    <x v="5"/>
  </r>
  <r>
    <x v="671"/>
    <x v="2"/>
    <x v="4"/>
    <x v="1464"/>
    <n v="412.21"/>
    <x v="1453"/>
    <x v="2"/>
    <x v="0"/>
    <x v="5"/>
  </r>
  <r>
    <x v="671"/>
    <x v="4"/>
    <x v="3"/>
    <x v="1465"/>
    <n v="30"/>
    <x v="1454"/>
    <x v="4"/>
    <x v="4"/>
    <x v="3"/>
  </r>
  <r>
    <x v="672"/>
    <x v="0"/>
    <x v="3"/>
    <x v="1466"/>
    <n v="31.61"/>
    <x v="1455"/>
    <x v="1"/>
    <x v="10"/>
    <x v="1"/>
  </r>
  <r>
    <x v="672"/>
    <x v="1"/>
    <x v="3"/>
    <x v="1467"/>
    <n v="37.07"/>
    <x v="1456"/>
    <x v="4"/>
    <x v="10"/>
    <x v="1"/>
  </r>
  <r>
    <x v="672"/>
    <x v="4"/>
    <x v="3"/>
    <x v="1468"/>
    <n v="2.5299999999999998"/>
    <x v="1457"/>
    <x v="1"/>
    <x v="12"/>
    <x v="2"/>
  </r>
  <r>
    <x v="672"/>
    <x v="4"/>
    <x v="5"/>
    <x v="1189"/>
    <n v="372.31"/>
    <x v="1458"/>
    <x v="2"/>
    <x v="4"/>
    <x v="3"/>
  </r>
  <r>
    <x v="673"/>
    <x v="3"/>
    <x v="0"/>
    <x v="1469"/>
    <n v="37.58"/>
    <x v="1459"/>
    <x v="3"/>
    <x v="5"/>
    <x v="2"/>
  </r>
  <r>
    <x v="674"/>
    <x v="4"/>
    <x v="6"/>
    <x v="1470"/>
    <n v="27.22"/>
    <x v="368"/>
    <x v="2"/>
    <x v="7"/>
    <x v="0"/>
  </r>
  <r>
    <x v="674"/>
    <x v="4"/>
    <x v="1"/>
    <x v="1471"/>
    <n v="146.13999999999999"/>
    <x v="1460"/>
    <x v="4"/>
    <x v="3"/>
    <x v="2"/>
  </r>
  <r>
    <x v="674"/>
    <x v="0"/>
    <x v="2"/>
    <x v="1472"/>
    <n v="53.82"/>
    <x v="1461"/>
    <x v="2"/>
    <x v="3"/>
    <x v="2"/>
  </r>
  <r>
    <x v="674"/>
    <x v="4"/>
    <x v="6"/>
    <x v="1473"/>
    <n v="25.42"/>
    <x v="323"/>
    <x v="0"/>
    <x v="6"/>
    <x v="4"/>
  </r>
  <r>
    <x v="674"/>
    <x v="3"/>
    <x v="2"/>
    <x v="1474"/>
    <n v="155.72"/>
    <x v="1462"/>
    <x v="2"/>
    <x v="10"/>
    <x v="5"/>
  </r>
  <r>
    <x v="675"/>
    <x v="2"/>
    <x v="3"/>
    <x v="1475"/>
    <n v="6.47"/>
    <x v="1463"/>
    <x v="2"/>
    <x v="4"/>
    <x v="2"/>
  </r>
  <r>
    <x v="675"/>
    <x v="4"/>
    <x v="0"/>
    <x v="1476"/>
    <n v="549.57000000000005"/>
    <x v="1464"/>
    <x v="4"/>
    <x v="9"/>
    <x v="0"/>
  </r>
  <r>
    <x v="675"/>
    <x v="0"/>
    <x v="2"/>
    <x v="1477"/>
    <n v="152.96"/>
    <x v="1465"/>
    <x v="0"/>
    <x v="11"/>
    <x v="4"/>
  </r>
  <r>
    <x v="676"/>
    <x v="4"/>
    <x v="6"/>
    <x v="1478"/>
    <n v="110.42"/>
    <x v="1466"/>
    <x v="0"/>
    <x v="11"/>
    <x v="2"/>
  </r>
  <r>
    <x v="677"/>
    <x v="0"/>
    <x v="0"/>
    <x v="1479"/>
    <n v="363.07"/>
    <x v="1467"/>
    <x v="2"/>
    <x v="12"/>
    <x v="5"/>
  </r>
  <r>
    <x v="678"/>
    <x v="0"/>
    <x v="3"/>
    <x v="1480"/>
    <n v="46.4"/>
    <x v="1468"/>
    <x v="3"/>
    <x v="5"/>
    <x v="1"/>
  </r>
  <r>
    <x v="678"/>
    <x v="0"/>
    <x v="0"/>
    <x v="1481"/>
    <n v="852.06"/>
    <x v="1469"/>
    <x v="1"/>
    <x v="8"/>
    <x v="2"/>
  </r>
  <r>
    <x v="678"/>
    <x v="2"/>
    <x v="4"/>
    <x v="1482"/>
    <n v="189.11"/>
    <x v="1470"/>
    <x v="4"/>
    <x v="7"/>
    <x v="2"/>
  </r>
  <r>
    <x v="679"/>
    <x v="3"/>
    <x v="5"/>
    <x v="1483"/>
    <n v="144.75"/>
    <x v="1471"/>
    <x v="3"/>
    <x v="14"/>
    <x v="1"/>
  </r>
  <r>
    <x v="680"/>
    <x v="4"/>
    <x v="6"/>
    <x v="1484"/>
    <n v="61.44"/>
    <x v="1472"/>
    <x v="0"/>
    <x v="5"/>
    <x v="2"/>
  </r>
  <r>
    <x v="680"/>
    <x v="2"/>
    <x v="1"/>
    <x v="1485"/>
    <n v="537.87"/>
    <x v="1473"/>
    <x v="2"/>
    <x v="14"/>
    <x v="0"/>
  </r>
  <r>
    <x v="681"/>
    <x v="4"/>
    <x v="5"/>
    <x v="1486"/>
    <n v="350.85"/>
    <x v="1474"/>
    <x v="0"/>
    <x v="4"/>
    <x v="1"/>
  </r>
  <r>
    <x v="682"/>
    <x v="3"/>
    <x v="3"/>
    <x v="1487"/>
    <n v="43.56"/>
    <x v="1475"/>
    <x v="0"/>
    <x v="14"/>
    <x v="2"/>
  </r>
  <r>
    <x v="682"/>
    <x v="0"/>
    <x v="1"/>
    <x v="1488"/>
    <n v="718"/>
    <x v="1476"/>
    <x v="3"/>
    <x v="12"/>
    <x v="4"/>
  </r>
  <r>
    <x v="683"/>
    <x v="4"/>
    <x v="5"/>
    <x v="1489"/>
    <n v="201.25"/>
    <x v="1477"/>
    <x v="1"/>
    <x v="11"/>
    <x v="3"/>
  </r>
  <r>
    <x v="683"/>
    <x v="4"/>
    <x v="0"/>
    <x v="1490"/>
    <n v="366.99"/>
    <x v="1478"/>
    <x v="2"/>
    <x v="8"/>
    <x v="1"/>
  </r>
  <r>
    <x v="684"/>
    <x v="2"/>
    <x v="1"/>
    <x v="1491"/>
    <n v="313.45"/>
    <x v="1479"/>
    <x v="3"/>
    <x v="13"/>
    <x v="5"/>
  </r>
  <r>
    <x v="685"/>
    <x v="2"/>
    <x v="5"/>
    <x v="1492"/>
    <n v="232.82"/>
    <x v="1480"/>
    <x v="4"/>
    <x v="2"/>
    <x v="0"/>
  </r>
  <r>
    <x v="685"/>
    <x v="2"/>
    <x v="4"/>
    <x v="1493"/>
    <n v="14.75"/>
    <x v="1481"/>
    <x v="4"/>
    <x v="6"/>
    <x v="2"/>
  </r>
  <r>
    <x v="685"/>
    <x v="3"/>
    <x v="5"/>
    <x v="1494"/>
    <n v="194.05"/>
    <x v="1482"/>
    <x v="2"/>
    <x v="10"/>
    <x v="2"/>
  </r>
  <r>
    <x v="686"/>
    <x v="3"/>
    <x v="1"/>
    <x v="1495"/>
    <n v="200.49"/>
    <x v="1483"/>
    <x v="1"/>
    <x v="11"/>
    <x v="4"/>
  </r>
  <r>
    <x v="687"/>
    <x v="2"/>
    <x v="5"/>
    <x v="1496"/>
    <n v="239.28"/>
    <x v="1484"/>
    <x v="0"/>
    <x v="8"/>
    <x v="3"/>
  </r>
  <r>
    <x v="688"/>
    <x v="3"/>
    <x v="1"/>
    <x v="1497"/>
    <n v="853.87"/>
    <x v="1485"/>
    <x v="4"/>
    <x v="13"/>
    <x v="1"/>
  </r>
  <r>
    <x v="689"/>
    <x v="0"/>
    <x v="0"/>
    <x v="1498"/>
    <n v="360.11"/>
    <x v="1486"/>
    <x v="3"/>
    <x v="3"/>
    <x v="4"/>
  </r>
  <r>
    <x v="689"/>
    <x v="0"/>
    <x v="6"/>
    <x v="1499"/>
    <n v="78.680000000000007"/>
    <x v="1487"/>
    <x v="2"/>
    <x v="7"/>
    <x v="0"/>
  </r>
  <r>
    <x v="689"/>
    <x v="4"/>
    <x v="0"/>
    <x v="1500"/>
    <n v="154.85"/>
    <x v="1488"/>
    <x v="1"/>
    <x v="7"/>
    <x v="3"/>
  </r>
  <r>
    <x v="689"/>
    <x v="4"/>
    <x v="5"/>
    <x v="1501"/>
    <n v="122.68"/>
    <x v="365"/>
    <x v="2"/>
    <x v="1"/>
    <x v="1"/>
  </r>
  <r>
    <x v="690"/>
    <x v="3"/>
    <x v="1"/>
    <x v="1502"/>
    <n v="643.09"/>
    <x v="1489"/>
    <x v="0"/>
    <x v="5"/>
    <x v="1"/>
  </r>
  <r>
    <x v="690"/>
    <x v="0"/>
    <x v="4"/>
    <x v="1503"/>
    <n v="370.29"/>
    <x v="1490"/>
    <x v="2"/>
    <x v="8"/>
    <x v="1"/>
  </r>
  <r>
    <x v="690"/>
    <x v="1"/>
    <x v="0"/>
    <x v="1504"/>
    <n v="220.58"/>
    <x v="1491"/>
    <x v="4"/>
    <x v="11"/>
    <x v="5"/>
  </r>
  <r>
    <x v="690"/>
    <x v="3"/>
    <x v="0"/>
    <x v="1505"/>
    <n v="108.34"/>
    <x v="1492"/>
    <x v="3"/>
    <x v="2"/>
    <x v="1"/>
  </r>
  <r>
    <x v="691"/>
    <x v="0"/>
    <x v="0"/>
    <x v="1506"/>
    <n v="522.54999999999995"/>
    <x v="1493"/>
    <x v="2"/>
    <x v="0"/>
    <x v="3"/>
  </r>
  <r>
    <x v="692"/>
    <x v="2"/>
    <x v="2"/>
    <x v="1507"/>
    <n v="85.41"/>
    <x v="1494"/>
    <x v="0"/>
    <x v="7"/>
    <x v="5"/>
  </r>
  <r>
    <x v="692"/>
    <x v="3"/>
    <x v="4"/>
    <x v="1508"/>
    <n v="40.909999999999997"/>
    <x v="1495"/>
    <x v="0"/>
    <x v="1"/>
    <x v="1"/>
  </r>
  <r>
    <x v="692"/>
    <x v="1"/>
    <x v="1"/>
    <x v="1509"/>
    <n v="422.65"/>
    <x v="1496"/>
    <x v="4"/>
    <x v="5"/>
    <x v="1"/>
  </r>
  <r>
    <x v="693"/>
    <x v="2"/>
    <x v="0"/>
    <x v="1510"/>
    <n v="519.39"/>
    <x v="1497"/>
    <x v="3"/>
    <x v="0"/>
    <x v="5"/>
  </r>
  <r>
    <x v="694"/>
    <x v="2"/>
    <x v="5"/>
    <x v="1511"/>
    <n v="97.12"/>
    <x v="1498"/>
    <x v="1"/>
    <x v="11"/>
    <x v="1"/>
  </r>
  <r>
    <x v="694"/>
    <x v="3"/>
    <x v="2"/>
    <x v="1512"/>
    <n v="76.2"/>
    <x v="1499"/>
    <x v="3"/>
    <x v="3"/>
    <x v="5"/>
  </r>
  <r>
    <x v="695"/>
    <x v="4"/>
    <x v="4"/>
    <x v="1513"/>
    <n v="31.47"/>
    <x v="1500"/>
    <x v="4"/>
    <x v="0"/>
    <x v="2"/>
  </r>
  <r>
    <x v="696"/>
    <x v="1"/>
    <x v="0"/>
    <x v="1514"/>
    <n v="452.09"/>
    <x v="1501"/>
    <x v="1"/>
    <x v="9"/>
    <x v="5"/>
  </r>
  <r>
    <x v="696"/>
    <x v="3"/>
    <x v="4"/>
    <x v="1515"/>
    <n v="99.22"/>
    <x v="1502"/>
    <x v="1"/>
    <x v="6"/>
    <x v="5"/>
  </r>
  <r>
    <x v="696"/>
    <x v="3"/>
    <x v="6"/>
    <x v="1516"/>
    <n v="81.44"/>
    <x v="1503"/>
    <x v="1"/>
    <x v="0"/>
    <x v="0"/>
  </r>
  <r>
    <x v="697"/>
    <x v="4"/>
    <x v="3"/>
    <x v="1517"/>
    <n v="10.52"/>
    <x v="1504"/>
    <x v="3"/>
    <x v="10"/>
    <x v="3"/>
  </r>
  <r>
    <x v="698"/>
    <x v="2"/>
    <x v="3"/>
    <x v="1518"/>
    <n v="24.9"/>
    <x v="1505"/>
    <x v="4"/>
    <x v="0"/>
    <x v="3"/>
  </r>
  <r>
    <x v="699"/>
    <x v="1"/>
    <x v="5"/>
    <x v="1519"/>
    <n v="54.92"/>
    <x v="1506"/>
    <x v="2"/>
    <x v="9"/>
    <x v="1"/>
  </r>
  <r>
    <x v="700"/>
    <x v="2"/>
    <x v="3"/>
    <x v="616"/>
    <n v="8.06"/>
    <x v="1507"/>
    <x v="2"/>
    <x v="10"/>
    <x v="1"/>
  </r>
  <r>
    <x v="701"/>
    <x v="0"/>
    <x v="4"/>
    <x v="1520"/>
    <n v="206.06"/>
    <x v="1508"/>
    <x v="3"/>
    <x v="7"/>
    <x v="4"/>
  </r>
  <r>
    <x v="701"/>
    <x v="4"/>
    <x v="1"/>
    <x v="1521"/>
    <n v="186.64"/>
    <x v="1509"/>
    <x v="1"/>
    <x v="14"/>
    <x v="0"/>
  </r>
  <r>
    <x v="701"/>
    <x v="4"/>
    <x v="0"/>
    <x v="1522"/>
    <n v="52.93"/>
    <x v="1510"/>
    <x v="3"/>
    <x v="12"/>
    <x v="3"/>
  </r>
  <r>
    <x v="701"/>
    <x v="4"/>
    <x v="2"/>
    <x v="1523"/>
    <n v="21.44"/>
    <x v="1511"/>
    <x v="1"/>
    <x v="8"/>
    <x v="3"/>
  </r>
  <r>
    <x v="701"/>
    <x v="2"/>
    <x v="6"/>
    <x v="1524"/>
    <n v="63.85"/>
    <x v="1512"/>
    <x v="0"/>
    <x v="14"/>
    <x v="2"/>
  </r>
  <r>
    <x v="702"/>
    <x v="0"/>
    <x v="6"/>
    <x v="1525"/>
    <n v="61.38"/>
    <x v="1513"/>
    <x v="4"/>
    <x v="10"/>
    <x v="0"/>
  </r>
  <r>
    <x v="703"/>
    <x v="4"/>
    <x v="3"/>
    <x v="1526"/>
    <n v="18.8"/>
    <x v="1514"/>
    <x v="4"/>
    <x v="14"/>
    <x v="3"/>
  </r>
  <r>
    <x v="703"/>
    <x v="0"/>
    <x v="4"/>
    <x v="1527"/>
    <n v="285.43"/>
    <x v="1515"/>
    <x v="4"/>
    <x v="12"/>
    <x v="1"/>
  </r>
  <r>
    <x v="703"/>
    <x v="3"/>
    <x v="4"/>
    <x v="1528"/>
    <n v="237.74"/>
    <x v="1516"/>
    <x v="3"/>
    <x v="13"/>
    <x v="3"/>
  </r>
  <r>
    <x v="704"/>
    <x v="4"/>
    <x v="2"/>
    <x v="1529"/>
    <n v="87.31"/>
    <x v="1517"/>
    <x v="0"/>
    <x v="14"/>
    <x v="3"/>
  </r>
  <r>
    <x v="705"/>
    <x v="4"/>
    <x v="2"/>
    <x v="1530"/>
    <n v="96.47"/>
    <x v="1518"/>
    <x v="1"/>
    <x v="4"/>
    <x v="5"/>
  </r>
  <r>
    <x v="705"/>
    <x v="2"/>
    <x v="0"/>
    <x v="1531"/>
    <n v="679.64"/>
    <x v="1303"/>
    <x v="2"/>
    <x v="11"/>
    <x v="4"/>
  </r>
  <r>
    <x v="705"/>
    <x v="0"/>
    <x v="4"/>
    <x v="1532"/>
    <n v="174.87"/>
    <x v="1519"/>
    <x v="1"/>
    <x v="12"/>
    <x v="4"/>
  </r>
  <r>
    <x v="706"/>
    <x v="0"/>
    <x v="5"/>
    <x v="1533"/>
    <n v="306.11"/>
    <x v="1520"/>
    <x v="4"/>
    <x v="10"/>
    <x v="4"/>
  </r>
  <r>
    <x v="707"/>
    <x v="1"/>
    <x v="5"/>
    <x v="1534"/>
    <n v="82.79"/>
    <x v="1521"/>
    <x v="3"/>
    <x v="0"/>
    <x v="5"/>
  </r>
  <r>
    <x v="708"/>
    <x v="2"/>
    <x v="2"/>
    <x v="1338"/>
    <n v="117.22"/>
    <x v="1522"/>
    <x v="2"/>
    <x v="5"/>
    <x v="1"/>
  </r>
  <r>
    <x v="708"/>
    <x v="2"/>
    <x v="1"/>
    <x v="1535"/>
    <n v="561.1"/>
    <x v="1523"/>
    <x v="1"/>
    <x v="5"/>
    <x v="1"/>
  </r>
  <r>
    <x v="708"/>
    <x v="2"/>
    <x v="6"/>
    <x v="1536"/>
    <n v="2.91"/>
    <x v="1524"/>
    <x v="4"/>
    <x v="0"/>
    <x v="0"/>
  </r>
  <r>
    <x v="708"/>
    <x v="2"/>
    <x v="4"/>
    <x v="1537"/>
    <n v="212.86"/>
    <x v="1525"/>
    <x v="1"/>
    <x v="10"/>
    <x v="4"/>
  </r>
  <r>
    <x v="708"/>
    <x v="0"/>
    <x v="5"/>
    <x v="1538"/>
    <n v="180.81"/>
    <x v="1130"/>
    <x v="3"/>
    <x v="8"/>
    <x v="3"/>
  </r>
  <r>
    <x v="709"/>
    <x v="1"/>
    <x v="1"/>
    <x v="1539"/>
    <n v="729.72"/>
    <x v="1526"/>
    <x v="0"/>
    <x v="1"/>
    <x v="4"/>
  </r>
  <r>
    <x v="710"/>
    <x v="3"/>
    <x v="5"/>
    <x v="1540"/>
    <n v="108.86"/>
    <x v="1527"/>
    <x v="4"/>
    <x v="8"/>
    <x v="2"/>
  </r>
  <r>
    <x v="710"/>
    <x v="1"/>
    <x v="1"/>
    <x v="1541"/>
    <n v="724.28"/>
    <x v="1528"/>
    <x v="0"/>
    <x v="11"/>
    <x v="2"/>
  </r>
  <r>
    <x v="710"/>
    <x v="4"/>
    <x v="6"/>
    <x v="1542"/>
    <n v="90.05"/>
    <x v="1529"/>
    <x v="4"/>
    <x v="1"/>
    <x v="2"/>
  </r>
  <r>
    <x v="711"/>
    <x v="2"/>
    <x v="5"/>
    <x v="1543"/>
    <n v="79.900000000000006"/>
    <x v="1530"/>
    <x v="4"/>
    <x v="12"/>
    <x v="3"/>
  </r>
  <r>
    <x v="711"/>
    <x v="2"/>
    <x v="5"/>
    <x v="1544"/>
    <n v="181.27"/>
    <x v="1531"/>
    <x v="1"/>
    <x v="1"/>
    <x v="2"/>
  </r>
  <r>
    <x v="711"/>
    <x v="0"/>
    <x v="3"/>
    <x v="1545"/>
    <n v="43.12"/>
    <x v="1532"/>
    <x v="4"/>
    <x v="0"/>
    <x v="0"/>
  </r>
  <r>
    <x v="712"/>
    <x v="2"/>
    <x v="2"/>
    <x v="1546"/>
    <n v="73.89"/>
    <x v="1533"/>
    <x v="1"/>
    <x v="14"/>
    <x v="1"/>
  </r>
  <r>
    <x v="713"/>
    <x v="2"/>
    <x v="2"/>
    <x v="1547"/>
    <n v="109.41"/>
    <x v="1534"/>
    <x v="0"/>
    <x v="6"/>
    <x v="3"/>
  </r>
  <r>
    <x v="713"/>
    <x v="1"/>
    <x v="2"/>
    <x v="1548"/>
    <n v="8.09"/>
    <x v="1535"/>
    <x v="1"/>
    <x v="11"/>
    <x v="2"/>
  </r>
  <r>
    <x v="714"/>
    <x v="1"/>
    <x v="1"/>
    <x v="1549"/>
    <n v="670.6"/>
    <x v="1536"/>
    <x v="2"/>
    <x v="0"/>
    <x v="0"/>
  </r>
  <r>
    <x v="715"/>
    <x v="0"/>
    <x v="4"/>
    <x v="1550"/>
    <n v="280.7"/>
    <x v="1537"/>
    <x v="2"/>
    <x v="6"/>
    <x v="3"/>
  </r>
  <r>
    <x v="715"/>
    <x v="2"/>
    <x v="4"/>
    <x v="1551"/>
    <n v="129.97999999999999"/>
    <x v="1538"/>
    <x v="3"/>
    <x v="11"/>
    <x v="2"/>
  </r>
  <r>
    <x v="715"/>
    <x v="1"/>
    <x v="6"/>
    <x v="1552"/>
    <n v="21.14"/>
    <x v="1539"/>
    <x v="2"/>
    <x v="1"/>
    <x v="2"/>
  </r>
  <r>
    <x v="716"/>
    <x v="4"/>
    <x v="5"/>
    <x v="1553"/>
    <n v="333.66"/>
    <x v="1540"/>
    <x v="3"/>
    <x v="3"/>
    <x v="5"/>
  </r>
  <r>
    <x v="717"/>
    <x v="1"/>
    <x v="4"/>
    <x v="1554"/>
    <n v="363.23"/>
    <x v="1541"/>
    <x v="2"/>
    <x v="4"/>
    <x v="2"/>
  </r>
  <r>
    <x v="717"/>
    <x v="4"/>
    <x v="0"/>
    <x v="1555"/>
    <n v="129.21"/>
    <x v="1542"/>
    <x v="3"/>
    <x v="8"/>
    <x v="1"/>
  </r>
  <r>
    <x v="718"/>
    <x v="0"/>
    <x v="6"/>
    <x v="1556"/>
    <n v="96.64"/>
    <x v="1543"/>
    <x v="2"/>
    <x v="1"/>
    <x v="5"/>
  </r>
  <r>
    <x v="718"/>
    <x v="4"/>
    <x v="1"/>
    <x v="1557"/>
    <n v="407.93"/>
    <x v="1544"/>
    <x v="3"/>
    <x v="1"/>
    <x v="4"/>
  </r>
  <r>
    <x v="718"/>
    <x v="3"/>
    <x v="6"/>
    <x v="1558"/>
    <n v="58.79"/>
    <x v="1545"/>
    <x v="4"/>
    <x v="0"/>
    <x v="1"/>
  </r>
  <r>
    <x v="718"/>
    <x v="4"/>
    <x v="1"/>
    <x v="1559"/>
    <n v="370.1"/>
    <x v="1546"/>
    <x v="3"/>
    <x v="13"/>
    <x v="5"/>
  </r>
  <r>
    <x v="718"/>
    <x v="0"/>
    <x v="0"/>
    <x v="1560"/>
    <n v="151.16999999999999"/>
    <x v="1547"/>
    <x v="2"/>
    <x v="12"/>
    <x v="3"/>
  </r>
  <r>
    <x v="719"/>
    <x v="0"/>
    <x v="3"/>
    <x v="1561"/>
    <n v="23"/>
    <x v="186"/>
    <x v="2"/>
    <x v="11"/>
    <x v="3"/>
  </r>
  <r>
    <x v="720"/>
    <x v="4"/>
    <x v="5"/>
    <x v="1562"/>
    <n v="169.12"/>
    <x v="1548"/>
    <x v="2"/>
    <x v="6"/>
    <x v="1"/>
  </r>
  <r>
    <x v="720"/>
    <x v="2"/>
    <x v="0"/>
    <x v="1563"/>
    <n v="671.53"/>
    <x v="1549"/>
    <x v="3"/>
    <x v="5"/>
    <x v="3"/>
  </r>
  <r>
    <x v="720"/>
    <x v="0"/>
    <x v="2"/>
    <x v="1564"/>
    <n v="27.02"/>
    <x v="1550"/>
    <x v="2"/>
    <x v="10"/>
    <x v="1"/>
  </r>
  <r>
    <x v="721"/>
    <x v="4"/>
    <x v="0"/>
    <x v="1565"/>
    <n v="341.4"/>
    <x v="1551"/>
    <x v="3"/>
    <x v="9"/>
    <x v="2"/>
  </r>
  <r>
    <x v="722"/>
    <x v="3"/>
    <x v="3"/>
    <x v="1566"/>
    <n v="9.6300000000000008"/>
    <x v="1552"/>
    <x v="2"/>
    <x v="4"/>
    <x v="1"/>
  </r>
  <r>
    <x v="722"/>
    <x v="2"/>
    <x v="6"/>
    <x v="952"/>
    <n v="85.73"/>
    <x v="1553"/>
    <x v="1"/>
    <x v="4"/>
    <x v="3"/>
  </r>
  <r>
    <x v="723"/>
    <x v="2"/>
    <x v="1"/>
    <x v="1567"/>
    <n v="214.08"/>
    <x v="1554"/>
    <x v="1"/>
    <x v="12"/>
    <x v="0"/>
  </r>
  <r>
    <x v="724"/>
    <x v="0"/>
    <x v="5"/>
    <x v="1568"/>
    <n v="443.62"/>
    <x v="1555"/>
    <x v="0"/>
    <x v="14"/>
    <x v="1"/>
  </r>
  <r>
    <x v="724"/>
    <x v="0"/>
    <x v="2"/>
    <x v="1569"/>
    <n v="78.38"/>
    <x v="1556"/>
    <x v="1"/>
    <x v="14"/>
    <x v="0"/>
  </r>
  <r>
    <x v="725"/>
    <x v="3"/>
    <x v="5"/>
    <x v="1570"/>
    <n v="370.63"/>
    <x v="1557"/>
    <x v="3"/>
    <x v="0"/>
    <x v="1"/>
  </r>
  <r>
    <x v="725"/>
    <x v="4"/>
    <x v="6"/>
    <x v="1571"/>
    <n v="45.2"/>
    <x v="1558"/>
    <x v="0"/>
    <x v="7"/>
    <x v="5"/>
  </r>
  <r>
    <x v="725"/>
    <x v="3"/>
    <x v="0"/>
    <x v="1572"/>
    <n v="200.06"/>
    <x v="1559"/>
    <x v="3"/>
    <x v="4"/>
    <x v="5"/>
  </r>
  <r>
    <x v="726"/>
    <x v="0"/>
    <x v="4"/>
    <x v="1573"/>
    <n v="74.77"/>
    <x v="1560"/>
    <x v="1"/>
    <x v="6"/>
    <x v="1"/>
  </r>
  <r>
    <x v="726"/>
    <x v="3"/>
    <x v="0"/>
    <x v="1574"/>
    <n v="729.78"/>
    <x v="1561"/>
    <x v="1"/>
    <x v="3"/>
    <x v="2"/>
  </r>
  <r>
    <x v="727"/>
    <x v="3"/>
    <x v="4"/>
    <x v="1575"/>
    <n v="257.08"/>
    <x v="1562"/>
    <x v="2"/>
    <x v="11"/>
    <x v="4"/>
  </r>
  <r>
    <x v="727"/>
    <x v="0"/>
    <x v="1"/>
    <x v="1576"/>
    <n v="220.46"/>
    <x v="1563"/>
    <x v="1"/>
    <x v="3"/>
    <x v="4"/>
  </r>
  <r>
    <x v="727"/>
    <x v="4"/>
    <x v="0"/>
    <x v="1577"/>
    <n v="581.26"/>
    <x v="1564"/>
    <x v="3"/>
    <x v="3"/>
    <x v="5"/>
  </r>
  <r>
    <x v="728"/>
    <x v="4"/>
    <x v="1"/>
    <x v="1578"/>
    <n v="209.11"/>
    <x v="1565"/>
    <x v="1"/>
    <x v="13"/>
    <x v="0"/>
  </r>
  <r>
    <x v="728"/>
    <x v="3"/>
    <x v="2"/>
    <x v="1579"/>
    <n v="14.95"/>
    <x v="1566"/>
    <x v="0"/>
    <x v="0"/>
    <x v="0"/>
  </r>
  <r>
    <x v="728"/>
    <x v="0"/>
    <x v="3"/>
    <x v="1580"/>
    <n v="6.46"/>
    <x v="1567"/>
    <x v="3"/>
    <x v="0"/>
    <x v="4"/>
  </r>
  <r>
    <x v="728"/>
    <x v="4"/>
    <x v="1"/>
    <x v="1581"/>
    <n v="664.13"/>
    <x v="1568"/>
    <x v="2"/>
    <x v="14"/>
    <x v="5"/>
  </r>
  <r>
    <x v="729"/>
    <x v="4"/>
    <x v="0"/>
    <x v="1582"/>
    <n v="617.58000000000004"/>
    <x v="1569"/>
    <x v="4"/>
    <x v="6"/>
    <x v="3"/>
  </r>
  <r>
    <x v="730"/>
    <x v="2"/>
    <x v="5"/>
    <x v="1583"/>
    <n v="292.77"/>
    <x v="1570"/>
    <x v="1"/>
    <x v="5"/>
    <x v="0"/>
  </r>
  <r>
    <x v="731"/>
    <x v="3"/>
    <x v="3"/>
    <x v="1584"/>
    <n v="15.37"/>
    <x v="1571"/>
    <x v="4"/>
    <x v="14"/>
    <x v="5"/>
  </r>
  <r>
    <x v="731"/>
    <x v="3"/>
    <x v="3"/>
    <x v="1585"/>
    <n v="30.98"/>
    <x v="1572"/>
    <x v="2"/>
    <x v="10"/>
    <x v="4"/>
  </r>
  <r>
    <x v="731"/>
    <x v="2"/>
    <x v="6"/>
    <x v="1586"/>
    <n v="26.44"/>
    <x v="1573"/>
    <x v="2"/>
    <x v="11"/>
    <x v="0"/>
  </r>
  <r>
    <x v="731"/>
    <x v="4"/>
    <x v="0"/>
    <x v="1587"/>
    <n v="692.43"/>
    <x v="1574"/>
    <x v="0"/>
    <x v="12"/>
    <x v="2"/>
  </r>
  <r>
    <x v="732"/>
    <x v="3"/>
    <x v="5"/>
    <x v="1588"/>
    <n v="183.28"/>
    <x v="1575"/>
    <x v="0"/>
    <x v="7"/>
    <x v="5"/>
  </r>
  <r>
    <x v="733"/>
    <x v="2"/>
    <x v="3"/>
    <x v="1589"/>
    <n v="40.28"/>
    <x v="1576"/>
    <x v="2"/>
    <x v="8"/>
    <x v="1"/>
  </r>
  <r>
    <x v="733"/>
    <x v="3"/>
    <x v="5"/>
    <x v="1590"/>
    <n v="258.75"/>
    <x v="1577"/>
    <x v="1"/>
    <x v="1"/>
    <x v="0"/>
  </r>
  <r>
    <x v="734"/>
    <x v="0"/>
    <x v="3"/>
    <x v="1591"/>
    <n v="33.36"/>
    <x v="1578"/>
    <x v="1"/>
    <x v="5"/>
    <x v="1"/>
  </r>
  <r>
    <x v="735"/>
    <x v="3"/>
    <x v="1"/>
    <x v="1592"/>
    <n v="63"/>
    <x v="1579"/>
    <x v="2"/>
    <x v="4"/>
    <x v="2"/>
  </r>
  <r>
    <x v="735"/>
    <x v="3"/>
    <x v="0"/>
    <x v="1593"/>
    <n v="275.38"/>
    <x v="1580"/>
    <x v="4"/>
    <x v="0"/>
    <x v="2"/>
  </r>
  <r>
    <x v="736"/>
    <x v="2"/>
    <x v="2"/>
    <x v="1594"/>
    <n v="170.68"/>
    <x v="1581"/>
    <x v="0"/>
    <x v="12"/>
    <x v="2"/>
  </r>
  <r>
    <x v="736"/>
    <x v="4"/>
    <x v="3"/>
    <x v="800"/>
    <n v="26.75"/>
    <x v="1582"/>
    <x v="3"/>
    <x v="9"/>
    <x v="5"/>
  </r>
  <r>
    <x v="736"/>
    <x v="1"/>
    <x v="6"/>
    <x v="1595"/>
    <n v="43.06"/>
    <x v="1583"/>
    <x v="0"/>
    <x v="1"/>
    <x v="4"/>
  </r>
  <r>
    <x v="736"/>
    <x v="0"/>
    <x v="6"/>
    <x v="1596"/>
    <n v="32.04"/>
    <x v="1584"/>
    <x v="1"/>
    <x v="1"/>
    <x v="1"/>
  </r>
  <r>
    <x v="737"/>
    <x v="1"/>
    <x v="2"/>
    <x v="1597"/>
    <n v="85.74"/>
    <x v="1585"/>
    <x v="3"/>
    <x v="3"/>
    <x v="5"/>
  </r>
  <r>
    <x v="738"/>
    <x v="0"/>
    <x v="2"/>
    <x v="1598"/>
    <n v="53.91"/>
    <x v="1586"/>
    <x v="3"/>
    <x v="5"/>
    <x v="0"/>
  </r>
  <r>
    <x v="739"/>
    <x v="1"/>
    <x v="2"/>
    <x v="1599"/>
    <n v="37.369999999999997"/>
    <x v="1587"/>
    <x v="3"/>
    <x v="10"/>
    <x v="4"/>
  </r>
  <r>
    <x v="740"/>
    <x v="4"/>
    <x v="5"/>
    <x v="1600"/>
    <n v="220.16"/>
    <x v="1588"/>
    <x v="1"/>
    <x v="9"/>
    <x v="5"/>
  </r>
  <r>
    <x v="740"/>
    <x v="3"/>
    <x v="6"/>
    <x v="1601"/>
    <n v="69.12"/>
    <x v="1589"/>
    <x v="0"/>
    <x v="13"/>
    <x v="5"/>
  </r>
  <r>
    <x v="741"/>
    <x v="4"/>
    <x v="6"/>
    <x v="1602"/>
    <n v="47.53"/>
    <x v="28"/>
    <x v="0"/>
    <x v="0"/>
    <x v="5"/>
  </r>
  <r>
    <x v="741"/>
    <x v="2"/>
    <x v="6"/>
    <x v="1603"/>
    <n v="4.78"/>
    <x v="1590"/>
    <x v="1"/>
    <x v="4"/>
    <x v="2"/>
  </r>
  <r>
    <x v="741"/>
    <x v="2"/>
    <x v="1"/>
    <x v="1604"/>
    <n v="356.12"/>
    <x v="1591"/>
    <x v="2"/>
    <x v="6"/>
    <x v="1"/>
  </r>
  <r>
    <x v="741"/>
    <x v="4"/>
    <x v="3"/>
    <x v="1605"/>
    <n v="8.0500000000000007"/>
    <x v="1592"/>
    <x v="4"/>
    <x v="10"/>
    <x v="1"/>
  </r>
  <r>
    <x v="742"/>
    <x v="3"/>
    <x v="2"/>
    <x v="1606"/>
    <n v="17.54"/>
    <x v="1593"/>
    <x v="0"/>
    <x v="13"/>
    <x v="0"/>
  </r>
  <r>
    <x v="742"/>
    <x v="2"/>
    <x v="1"/>
    <x v="1607"/>
    <n v="237.13"/>
    <x v="1594"/>
    <x v="4"/>
    <x v="5"/>
    <x v="2"/>
  </r>
  <r>
    <x v="743"/>
    <x v="3"/>
    <x v="5"/>
    <x v="1608"/>
    <n v="193.55"/>
    <x v="1595"/>
    <x v="1"/>
    <x v="4"/>
    <x v="0"/>
  </r>
  <r>
    <x v="743"/>
    <x v="2"/>
    <x v="6"/>
    <x v="1609"/>
    <n v="7.28"/>
    <x v="1596"/>
    <x v="2"/>
    <x v="13"/>
    <x v="2"/>
  </r>
  <r>
    <x v="743"/>
    <x v="4"/>
    <x v="2"/>
    <x v="1610"/>
    <n v="167.5"/>
    <x v="1597"/>
    <x v="3"/>
    <x v="6"/>
    <x v="2"/>
  </r>
  <r>
    <x v="744"/>
    <x v="0"/>
    <x v="6"/>
    <x v="1611"/>
    <n v="29.81"/>
    <x v="1598"/>
    <x v="3"/>
    <x v="14"/>
    <x v="0"/>
  </r>
  <r>
    <x v="745"/>
    <x v="2"/>
    <x v="3"/>
    <x v="1612"/>
    <n v="17.89"/>
    <x v="1599"/>
    <x v="1"/>
    <x v="6"/>
    <x v="5"/>
  </r>
  <r>
    <x v="746"/>
    <x v="0"/>
    <x v="2"/>
    <x v="1613"/>
    <n v="100.24"/>
    <x v="1600"/>
    <x v="3"/>
    <x v="0"/>
    <x v="3"/>
  </r>
  <r>
    <x v="747"/>
    <x v="4"/>
    <x v="2"/>
    <x v="1614"/>
    <n v="175.68"/>
    <x v="1601"/>
    <x v="4"/>
    <x v="7"/>
    <x v="3"/>
  </r>
  <r>
    <x v="747"/>
    <x v="0"/>
    <x v="3"/>
    <x v="913"/>
    <n v="13.68"/>
    <x v="1602"/>
    <x v="4"/>
    <x v="8"/>
    <x v="3"/>
  </r>
  <r>
    <x v="748"/>
    <x v="1"/>
    <x v="1"/>
    <x v="1615"/>
    <n v="658.91"/>
    <x v="1603"/>
    <x v="3"/>
    <x v="1"/>
    <x v="5"/>
  </r>
  <r>
    <x v="748"/>
    <x v="2"/>
    <x v="1"/>
    <x v="1616"/>
    <n v="546.23"/>
    <x v="1604"/>
    <x v="1"/>
    <x v="7"/>
    <x v="5"/>
  </r>
  <r>
    <x v="749"/>
    <x v="2"/>
    <x v="3"/>
    <x v="1617"/>
    <n v="12.95"/>
    <x v="1605"/>
    <x v="0"/>
    <x v="13"/>
    <x v="0"/>
  </r>
  <r>
    <x v="750"/>
    <x v="0"/>
    <x v="3"/>
    <x v="1618"/>
    <n v="9.44"/>
    <x v="1606"/>
    <x v="2"/>
    <x v="5"/>
    <x v="3"/>
  </r>
  <r>
    <x v="750"/>
    <x v="4"/>
    <x v="4"/>
    <x v="1619"/>
    <n v="14.4"/>
    <x v="1607"/>
    <x v="3"/>
    <x v="10"/>
    <x v="2"/>
  </r>
  <r>
    <x v="751"/>
    <x v="3"/>
    <x v="0"/>
    <x v="1620"/>
    <n v="797.82"/>
    <x v="1608"/>
    <x v="1"/>
    <x v="13"/>
    <x v="4"/>
  </r>
  <r>
    <x v="751"/>
    <x v="1"/>
    <x v="3"/>
    <x v="1621"/>
    <n v="28.33"/>
    <x v="1609"/>
    <x v="1"/>
    <x v="11"/>
    <x v="4"/>
  </r>
  <r>
    <x v="752"/>
    <x v="1"/>
    <x v="2"/>
    <x v="1622"/>
    <n v="130.74"/>
    <x v="1610"/>
    <x v="0"/>
    <x v="6"/>
    <x v="4"/>
  </r>
  <r>
    <x v="753"/>
    <x v="3"/>
    <x v="4"/>
    <x v="1623"/>
    <n v="36.97"/>
    <x v="1611"/>
    <x v="2"/>
    <x v="3"/>
    <x v="3"/>
  </r>
  <r>
    <x v="753"/>
    <x v="3"/>
    <x v="2"/>
    <x v="1624"/>
    <n v="131.69999999999999"/>
    <x v="1612"/>
    <x v="2"/>
    <x v="10"/>
    <x v="0"/>
  </r>
  <r>
    <x v="753"/>
    <x v="3"/>
    <x v="1"/>
    <x v="1625"/>
    <n v="243.41"/>
    <x v="1613"/>
    <x v="3"/>
    <x v="7"/>
    <x v="2"/>
  </r>
  <r>
    <x v="754"/>
    <x v="2"/>
    <x v="3"/>
    <x v="1626"/>
    <n v="33.159999999999997"/>
    <x v="1614"/>
    <x v="3"/>
    <x v="2"/>
    <x v="4"/>
  </r>
  <r>
    <x v="754"/>
    <x v="1"/>
    <x v="5"/>
    <x v="1627"/>
    <n v="79.989999999999995"/>
    <x v="1615"/>
    <x v="2"/>
    <x v="11"/>
    <x v="0"/>
  </r>
  <r>
    <x v="754"/>
    <x v="0"/>
    <x v="0"/>
    <x v="1628"/>
    <n v="701.16"/>
    <x v="1616"/>
    <x v="4"/>
    <x v="11"/>
    <x v="2"/>
  </r>
  <r>
    <x v="754"/>
    <x v="2"/>
    <x v="3"/>
    <x v="1629"/>
    <n v="8.69"/>
    <x v="1617"/>
    <x v="3"/>
    <x v="14"/>
    <x v="2"/>
  </r>
  <r>
    <x v="754"/>
    <x v="3"/>
    <x v="4"/>
    <x v="1630"/>
    <n v="345.08"/>
    <x v="1618"/>
    <x v="4"/>
    <x v="1"/>
    <x v="1"/>
  </r>
  <r>
    <x v="754"/>
    <x v="2"/>
    <x v="5"/>
    <x v="1631"/>
    <n v="340.89"/>
    <x v="1619"/>
    <x v="0"/>
    <x v="7"/>
    <x v="0"/>
  </r>
  <r>
    <x v="754"/>
    <x v="3"/>
    <x v="3"/>
    <x v="1632"/>
    <n v="42.67"/>
    <x v="1620"/>
    <x v="4"/>
    <x v="2"/>
    <x v="3"/>
  </r>
  <r>
    <x v="755"/>
    <x v="0"/>
    <x v="2"/>
    <x v="1633"/>
    <n v="7.84"/>
    <x v="1320"/>
    <x v="1"/>
    <x v="7"/>
    <x v="3"/>
  </r>
  <r>
    <x v="755"/>
    <x v="4"/>
    <x v="2"/>
    <x v="1634"/>
    <n v="164.05"/>
    <x v="1621"/>
    <x v="1"/>
    <x v="0"/>
    <x v="5"/>
  </r>
  <r>
    <x v="756"/>
    <x v="2"/>
    <x v="6"/>
    <x v="1635"/>
    <n v="5.67"/>
    <x v="1622"/>
    <x v="0"/>
    <x v="13"/>
    <x v="1"/>
  </r>
  <r>
    <x v="756"/>
    <x v="1"/>
    <x v="1"/>
    <x v="1604"/>
    <n v="474.12"/>
    <x v="1623"/>
    <x v="2"/>
    <x v="3"/>
    <x v="5"/>
  </r>
  <r>
    <x v="757"/>
    <x v="0"/>
    <x v="1"/>
    <x v="1636"/>
    <n v="750.66"/>
    <x v="1624"/>
    <x v="2"/>
    <x v="7"/>
    <x v="1"/>
  </r>
  <r>
    <x v="757"/>
    <x v="4"/>
    <x v="1"/>
    <x v="1637"/>
    <n v="771.03"/>
    <x v="1625"/>
    <x v="0"/>
    <x v="1"/>
    <x v="5"/>
  </r>
  <r>
    <x v="757"/>
    <x v="0"/>
    <x v="6"/>
    <x v="1638"/>
    <n v="9.06"/>
    <x v="1626"/>
    <x v="1"/>
    <x v="12"/>
    <x v="0"/>
  </r>
  <r>
    <x v="758"/>
    <x v="3"/>
    <x v="3"/>
    <x v="1639"/>
    <n v="5.29"/>
    <x v="1627"/>
    <x v="2"/>
    <x v="3"/>
    <x v="4"/>
  </r>
  <r>
    <x v="758"/>
    <x v="1"/>
    <x v="3"/>
    <x v="1640"/>
    <n v="45.4"/>
    <x v="1628"/>
    <x v="2"/>
    <x v="4"/>
    <x v="2"/>
  </r>
  <r>
    <x v="758"/>
    <x v="2"/>
    <x v="4"/>
    <x v="1641"/>
    <n v="120.13"/>
    <x v="1629"/>
    <x v="1"/>
    <x v="2"/>
    <x v="2"/>
  </r>
  <r>
    <x v="758"/>
    <x v="4"/>
    <x v="0"/>
    <x v="1642"/>
    <n v="885.4"/>
    <x v="1630"/>
    <x v="1"/>
    <x v="14"/>
    <x v="4"/>
  </r>
  <r>
    <x v="758"/>
    <x v="1"/>
    <x v="6"/>
    <x v="1643"/>
    <n v="5.09"/>
    <x v="1631"/>
    <x v="4"/>
    <x v="2"/>
    <x v="5"/>
  </r>
  <r>
    <x v="759"/>
    <x v="0"/>
    <x v="6"/>
    <x v="1644"/>
    <n v="29.1"/>
    <x v="1632"/>
    <x v="4"/>
    <x v="9"/>
    <x v="5"/>
  </r>
  <r>
    <x v="760"/>
    <x v="1"/>
    <x v="4"/>
    <x v="1645"/>
    <n v="208.19"/>
    <x v="1633"/>
    <x v="2"/>
    <x v="1"/>
    <x v="5"/>
  </r>
  <r>
    <x v="761"/>
    <x v="2"/>
    <x v="4"/>
    <x v="1646"/>
    <n v="78.010000000000005"/>
    <x v="1634"/>
    <x v="4"/>
    <x v="9"/>
    <x v="3"/>
  </r>
  <r>
    <x v="762"/>
    <x v="0"/>
    <x v="3"/>
    <x v="1647"/>
    <n v="8.8800000000000008"/>
    <x v="1635"/>
    <x v="1"/>
    <x v="2"/>
    <x v="0"/>
  </r>
  <r>
    <x v="762"/>
    <x v="2"/>
    <x v="4"/>
    <x v="1648"/>
    <n v="46.66"/>
    <x v="1636"/>
    <x v="0"/>
    <x v="14"/>
    <x v="4"/>
  </r>
  <r>
    <x v="763"/>
    <x v="2"/>
    <x v="4"/>
    <x v="1649"/>
    <n v="286.22000000000003"/>
    <x v="1637"/>
    <x v="4"/>
    <x v="3"/>
    <x v="4"/>
  </r>
  <r>
    <x v="763"/>
    <x v="0"/>
    <x v="1"/>
    <x v="1650"/>
    <n v="88.13"/>
    <x v="1638"/>
    <x v="2"/>
    <x v="3"/>
    <x v="3"/>
  </r>
  <r>
    <x v="763"/>
    <x v="4"/>
    <x v="6"/>
    <x v="1651"/>
    <n v="22.55"/>
    <x v="1639"/>
    <x v="4"/>
    <x v="9"/>
    <x v="3"/>
  </r>
  <r>
    <x v="764"/>
    <x v="4"/>
    <x v="1"/>
    <x v="1652"/>
    <n v="286.95"/>
    <x v="1640"/>
    <x v="4"/>
    <x v="14"/>
    <x v="1"/>
  </r>
  <r>
    <x v="764"/>
    <x v="0"/>
    <x v="6"/>
    <x v="1653"/>
    <n v="8.7799999999999994"/>
    <x v="1641"/>
    <x v="2"/>
    <x v="14"/>
    <x v="3"/>
  </r>
  <r>
    <x v="764"/>
    <x v="1"/>
    <x v="0"/>
    <x v="1654"/>
    <n v="231.08"/>
    <x v="1642"/>
    <x v="1"/>
    <x v="4"/>
    <x v="3"/>
  </r>
  <r>
    <x v="765"/>
    <x v="2"/>
    <x v="2"/>
    <x v="1655"/>
    <n v="110.55"/>
    <x v="1643"/>
    <x v="3"/>
    <x v="14"/>
    <x v="5"/>
  </r>
  <r>
    <x v="765"/>
    <x v="1"/>
    <x v="6"/>
    <x v="1656"/>
    <n v="18.8"/>
    <x v="658"/>
    <x v="4"/>
    <x v="8"/>
    <x v="5"/>
  </r>
  <r>
    <x v="765"/>
    <x v="1"/>
    <x v="4"/>
    <x v="1657"/>
    <n v="334.91"/>
    <x v="1644"/>
    <x v="1"/>
    <x v="2"/>
    <x v="0"/>
  </r>
  <r>
    <x v="766"/>
    <x v="1"/>
    <x v="4"/>
    <x v="1658"/>
    <n v="81.42"/>
    <x v="1645"/>
    <x v="2"/>
    <x v="13"/>
    <x v="1"/>
  </r>
  <r>
    <x v="766"/>
    <x v="2"/>
    <x v="1"/>
    <x v="1659"/>
    <n v="210.33"/>
    <x v="1646"/>
    <x v="4"/>
    <x v="1"/>
    <x v="5"/>
  </r>
  <r>
    <x v="766"/>
    <x v="3"/>
    <x v="5"/>
    <x v="1660"/>
    <n v="442.52"/>
    <x v="1647"/>
    <x v="1"/>
    <x v="9"/>
    <x v="2"/>
  </r>
  <r>
    <x v="767"/>
    <x v="3"/>
    <x v="6"/>
    <x v="1661"/>
    <n v="112.73"/>
    <x v="1648"/>
    <x v="2"/>
    <x v="3"/>
    <x v="4"/>
  </r>
  <r>
    <x v="768"/>
    <x v="1"/>
    <x v="6"/>
    <x v="1662"/>
    <n v="32.69"/>
    <x v="1649"/>
    <x v="1"/>
    <x v="8"/>
    <x v="1"/>
  </r>
  <r>
    <x v="768"/>
    <x v="2"/>
    <x v="4"/>
    <x v="1663"/>
    <n v="291.8"/>
    <x v="1650"/>
    <x v="2"/>
    <x v="2"/>
    <x v="5"/>
  </r>
  <r>
    <x v="768"/>
    <x v="0"/>
    <x v="1"/>
    <x v="1664"/>
    <n v="285.87"/>
    <x v="1651"/>
    <x v="0"/>
    <x v="14"/>
    <x v="2"/>
  </r>
  <r>
    <x v="769"/>
    <x v="3"/>
    <x v="4"/>
    <x v="1665"/>
    <n v="255.06"/>
    <x v="1652"/>
    <x v="3"/>
    <x v="8"/>
    <x v="3"/>
  </r>
  <r>
    <x v="770"/>
    <x v="3"/>
    <x v="5"/>
    <x v="1666"/>
    <n v="50.81"/>
    <x v="1653"/>
    <x v="4"/>
    <x v="9"/>
    <x v="3"/>
  </r>
  <r>
    <x v="770"/>
    <x v="2"/>
    <x v="1"/>
    <x v="1667"/>
    <n v="426.95"/>
    <x v="1654"/>
    <x v="1"/>
    <x v="5"/>
    <x v="1"/>
  </r>
  <r>
    <x v="771"/>
    <x v="1"/>
    <x v="5"/>
    <x v="1668"/>
    <n v="205.22"/>
    <x v="1655"/>
    <x v="2"/>
    <x v="3"/>
    <x v="0"/>
  </r>
  <r>
    <x v="771"/>
    <x v="2"/>
    <x v="6"/>
    <x v="1669"/>
    <n v="24.59"/>
    <x v="1656"/>
    <x v="4"/>
    <x v="7"/>
    <x v="2"/>
  </r>
  <r>
    <x v="771"/>
    <x v="1"/>
    <x v="1"/>
    <x v="1670"/>
    <n v="565.29"/>
    <x v="1657"/>
    <x v="0"/>
    <x v="14"/>
    <x v="1"/>
  </r>
  <r>
    <x v="772"/>
    <x v="4"/>
    <x v="4"/>
    <x v="1671"/>
    <n v="192.54"/>
    <x v="1658"/>
    <x v="0"/>
    <x v="10"/>
    <x v="2"/>
  </r>
  <r>
    <x v="773"/>
    <x v="0"/>
    <x v="4"/>
    <x v="1672"/>
    <n v="98.2"/>
    <x v="1659"/>
    <x v="1"/>
    <x v="7"/>
    <x v="1"/>
  </r>
  <r>
    <x v="774"/>
    <x v="1"/>
    <x v="5"/>
    <x v="1673"/>
    <n v="252.3"/>
    <x v="1660"/>
    <x v="0"/>
    <x v="10"/>
    <x v="3"/>
  </r>
  <r>
    <x v="774"/>
    <x v="0"/>
    <x v="3"/>
    <x v="1674"/>
    <n v="28.77"/>
    <x v="417"/>
    <x v="1"/>
    <x v="0"/>
    <x v="0"/>
  </r>
  <r>
    <x v="774"/>
    <x v="1"/>
    <x v="3"/>
    <x v="1675"/>
    <n v="3.47"/>
    <x v="1661"/>
    <x v="4"/>
    <x v="13"/>
    <x v="5"/>
  </r>
  <r>
    <x v="775"/>
    <x v="0"/>
    <x v="3"/>
    <x v="171"/>
    <n v="11.1"/>
    <x v="1662"/>
    <x v="0"/>
    <x v="11"/>
    <x v="4"/>
  </r>
  <r>
    <x v="775"/>
    <x v="2"/>
    <x v="5"/>
    <x v="1676"/>
    <n v="161.78"/>
    <x v="1663"/>
    <x v="2"/>
    <x v="0"/>
    <x v="0"/>
  </r>
  <r>
    <x v="775"/>
    <x v="1"/>
    <x v="4"/>
    <x v="1677"/>
    <n v="265.47000000000003"/>
    <x v="1664"/>
    <x v="2"/>
    <x v="4"/>
    <x v="0"/>
  </r>
  <r>
    <x v="776"/>
    <x v="0"/>
    <x v="6"/>
    <x v="1678"/>
    <n v="69.91"/>
    <x v="1665"/>
    <x v="3"/>
    <x v="13"/>
    <x v="1"/>
  </r>
  <r>
    <x v="777"/>
    <x v="0"/>
    <x v="1"/>
    <x v="1679"/>
    <n v="299.5"/>
    <x v="1666"/>
    <x v="0"/>
    <x v="6"/>
    <x v="1"/>
  </r>
  <r>
    <x v="778"/>
    <x v="1"/>
    <x v="4"/>
    <x v="1680"/>
    <n v="199.59"/>
    <x v="1667"/>
    <x v="0"/>
    <x v="10"/>
    <x v="1"/>
  </r>
  <r>
    <x v="778"/>
    <x v="0"/>
    <x v="1"/>
    <x v="1681"/>
    <n v="981.34"/>
    <x v="1668"/>
    <x v="0"/>
    <x v="5"/>
    <x v="4"/>
  </r>
  <r>
    <x v="779"/>
    <x v="4"/>
    <x v="2"/>
    <x v="1682"/>
    <n v="15.6"/>
    <x v="1669"/>
    <x v="3"/>
    <x v="14"/>
    <x v="1"/>
  </r>
  <r>
    <x v="779"/>
    <x v="1"/>
    <x v="2"/>
    <x v="1683"/>
    <n v="20.36"/>
    <x v="1670"/>
    <x v="3"/>
    <x v="13"/>
    <x v="4"/>
  </r>
  <r>
    <x v="780"/>
    <x v="3"/>
    <x v="0"/>
    <x v="1684"/>
    <n v="528.20000000000005"/>
    <x v="1671"/>
    <x v="1"/>
    <x v="14"/>
    <x v="2"/>
  </r>
  <r>
    <x v="780"/>
    <x v="0"/>
    <x v="3"/>
    <x v="1685"/>
    <n v="9.0399999999999991"/>
    <x v="1672"/>
    <x v="0"/>
    <x v="2"/>
    <x v="3"/>
  </r>
  <r>
    <x v="781"/>
    <x v="2"/>
    <x v="1"/>
    <x v="1686"/>
    <n v="1046.9000000000001"/>
    <x v="1673"/>
    <x v="4"/>
    <x v="13"/>
    <x v="3"/>
  </r>
  <r>
    <x v="781"/>
    <x v="4"/>
    <x v="1"/>
    <x v="1687"/>
    <n v="690.57"/>
    <x v="1674"/>
    <x v="2"/>
    <x v="10"/>
    <x v="0"/>
  </r>
  <r>
    <x v="782"/>
    <x v="4"/>
    <x v="2"/>
    <x v="1688"/>
    <n v="63.47"/>
    <x v="1675"/>
    <x v="4"/>
    <x v="7"/>
    <x v="4"/>
  </r>
  <r>
    <x v="783"/>
    <x v="4"/>
    <x v="3"/>
    <x v="1689"/>
    <n v="8.82"/>
    <x v="1676"/>
    <x v="2"/>
    <x v="12"/>
    <x v="4"/>
  </r>
  <r>
    <x v="783"/>
    <x v="4"/>
    <x v="5"/>
    <x v="1690"/>
    <n v="104.47"/>
    <x v="1677"/>
    <x v="3"/>
    <x v="4"/>
    <x v="0"/>
  </r>
  <r>
    <x v="784"/>
    <x v="1"/>
    <x v="0"/>
    <x v="1691"/>
    <n v="508.29"/>
    <x v="1678"/>
    <x v="3"/>
    <x v="2"/>
    <x v="1"/>
  </r>
  <r>
    <x v="784"/>
    <x v="2"/>
    <x v="3"/>
    <x v="1692"/>
    <n v="40.31"/>
    <x v="1679"/>
    <x v="2"/>
    <x v="0"/>
    <x v="0"/>
  </r>
  <r>
    <x v="785"/>
    <x v="2"/>
    <x v="6"/>
    <x v="1693"/>
    <n v="67.83"/>
    <x v="1680"/>
    <x v="2"/>
    <x v="8"/>
    <x v="0"/>
  </r>
  <r>
    <x v="786"/>
    <x v="4"/>
    <x v="2"/>
    <x v="1694"/>
    <n v="140.26"/>
    <x v="1681"/>
    <x v="1"/>
    <x v="1"/>
    <x v="5"/>
  </r>
  <r>
    <x v="786"/>
    <x v="1"/>
    <x v="5"/>
    <x v="1695"/>
    <n v="245.8"/>
    <x v="1682"/>
    <x v="2"/>
    <x v="14"/>
    <x v="4"/>
  </r>
  <r>
    <x v="786"/>
    <x v="1"/>
    <x v="4"/>
    <x v="1696"/>
    <n v="27.03"/>
    <x v="1683"/>
    <x v="0"/>
    <x v="13"/>
    <x v="1"/>
  </r>
  <r>
    <x v="786"/>
    <x v="4"/>
    <x v="1"/>
    <x v="1697"/>
    <n v="459.05"/>
    <x v="1684"/>
    <x v="3"/>
    <x v="3"/>
    <x v="4"/>
  </r>
  <r>
    <x v="787"/>
    <x v="1"/>
    <x v="4"/>
    <x v="1698"/>
    <n v="243.75"/>
    <x v="1685"/>
    <x v="2"/>
    <x v="2"/>
    <x v="4"/>
  </r>
  <r>
    <x v="788"/>
    <x v="1"/>
    <x v="6"/>
    <x v="1699"/>
    <n v="50.7"/>
    <x v="1686"/>
    <x v="4"/>
    <x v="9"/>
    <x v="4"/>
  </r>
  <r>
    <x v="788"/>
    <x v="3"/>
    <x v="0"/>
    <x v="1700"/>
    <n v="589.08000000000004"/>
    <x v="1687"/>
    <x v="3"/>
    <x v="3"/>
    <x v="1"/>
  </r>
  <r>
    <x v="788"/>
    <x v="4"/>
    <x v="6"/>
    <x v="1701"/>
    <n v="33.14"/>
    <x v="1688"/>
    <x v="3"/>
    <x v="13"/>
    <x v="4"/>
  </r>
  <r>
    <x v="789"/>
    <x v="1"/>
    <x v="5"/>
    <x v="1702"/>
    <n v="454.37"/>
    <x v="1689"/>
    <x v="3"/>
    <x v="1"/>
    <x v="5"/>
  </r>
  <r>
    <x v="789"/>
    <x v="0"/>
    <x v="2"/>
    <x v="1703"/>
    <n v="70.53"/>
    <x v="1690"/>
    <x v="2"/>
    <x v="1"/>
    <x v="5"/>
  </r>
  <r>
    <x v="789"/>
    <x v="3"/>
    <x v="2"/>
    <x v="1704"/>
    <n v="21.33"/>
    <x v="1691"/>
    <x v="4"/>
    <x v="4"/>
    <x v="2"/>
  </r>
  <r>
    <x v="790"/>
    <x v="4"/>
    <x v="0"/>
    <x v="1705"/>
    <n v="460.42"/>
    <x v="1692"/>
    <x v="0"/>
    <x v="8"/>
    <x v="2"/>
  </r>
  <r>
    <x v="791"/>
    <x v="0"/>
    <x v="3"/>
    <x v="1706"/>
    <n v="12.82"/>
    <x v="1693"/>
    <x v="4"/>
    <x v="0"/>
    <x v="5"/>
  </r>
  <r>
    <x v="792"/>
    <x v="1"/>
    <x v="0"/>
    <x v="1707"/>
    <n v="124.92"/>
    <x v="1694"/>
    <x v="2"/>
    <x v="9"/>
    <x v="2"/>
  </r>
  <r>
    <x v="792"/>
    <x v="1"/>
    <x v="1"/>
    <x v="1708"/>
    <n v="225.22"/>
    <x v="1695"/>
    <x v="1"/>
    <x v="10"/>
    <x v="0"/>
  </r>
  <r>
    <x v="793"/>
    <x v="3"/>
    <x v="3"/>
    <x v="1709"/>
    <n v="8.2200000000000006"/>
    <x v="1696"/>
    <x v="3"/>
    <x v="10"/>
    <x v="4"/>
  </r>
  <r>
    <x v="794"/>
    <x v="1"/>
    <x v="1"/>
    <x v="1710"/>
    <n v="687.47"/>
    <x v="1697"/>
    <x v="1"/>
    <x v="0"/>
    <x v="2"/>
  </r>
  <r>
    <x v="794"/>
    <x v="0"/>
    <x v="1"/>
    <x v="1711"/>
    <n v="1006.61"/>
    <x v="1698"/>
    <x v="4"/>
    <x v="8"/>
    <x v="5"/>
  </r>
  <r>
    <x v="794"/>
    <x v="3"/>
    <x v="0"/>
    <x v="1712"/>
    <n v="51.79"/>
    <x v="1699"/>
    <x v="3"/>
    <x v="3"/>
    <x v="5"/>
  </r>
  <r>
    <x v="795"/>
    <x v="2"/>
    <x v="5"/>
    <x v="1713"/>
    <n v="446.89"/>
    <x v="1700"/>
    <x v="3"/>
    <x v="11"/>
    <x v="5"/>
  </r>
  <r>
    <x v="796"/>
    <x v="0"/>
    <x v="2"/>
    <x v="1714"/>
    <n v="181.74"/>
    <x v="1701"/>
    <x v="0"/>
    <x v="3"/>
    <x v="0"/>
  </r>
  <r>
    <x v="797"/>
    <x v="0"/>
    <x v="0"/>
    <x v="1715"/>
    <n v="418.5"/>
    <x v="1702"/>
    <x v="2"/>
    <x v="8"/>
    <x v="0"/>
  </r>
  <r>
    <x v="798"/>
    <x v="0"/>
    <x v="2"/>
    <x v="1716"/>
    <n v="36.47"/>
    <x v="1703"/>
    <x v="1"/>
    <x v="0"/>
    <x v="0"/>
  </r>
  <r>
    <x v="799"/>
    <x v="2"/>
    <x v="5"/>
    <x v="1717"/>
    <n v="260.95999999999998"/>
    <x v="1704"/>
    <x v="0"/>
    <x v="0"/>
    <x v="2"/>
  </r>
  <r>
    <x v="799"/>
    <x v="2"/>
    <x v="0"/>
    <x v="1718"/>
    <n v="33.06"/>
    <x v="1705"/>
    <x v="0"/>
    <x v="0"/>
    <x v="4"/>
  </r>
  <r>
    <x v="800"/>
    <x v="3"/>
    <x v="4"/>
    <x v="1719"/>
    <n v="25.52"/>
    <x v="1706"/>
    <x v="4"/>
    <x v="5"/>
    <x v="1"/>
  </r>
  <r>
    <x v="800"/>
    <x v="2"/>
    <x v="6"/>
    <x v="1720"/>
    <n v="84.03"/>
    <x v="1707"/>
    <x v="2"/>
    <x v="8"/>
    <x v="1"/>
  </r>
  <r>
    <x v="800"/>
    <x v="4"/>
    <x v="2"/>
    <x v="1721"/>
    <n v="165.79"/>
    <x v="1708"/>
    <x v="1"/>
    <x v="4"/>
    <x v="1"/>
  </r>
  <r>
    <x v="801"/>
    <x v="3"/>
    <x v="6"/>
    <x v="1722"/>
    <n v="26.76"/>
    <x v="1609"/>
    <x v="0"/>
    <x v="9"/>
    <x v="3"/>
  </r>
  <r>
    <x v="802"/>
    <x v="4"/>
    <x v="1"/>
    <x v="1723"/>
    <n v="621.62"/>
    <x v="1709"/>
    <x v="0"/>
    <x v="6"/>
    <x v="4"/>
  </r>
  <r>
    <x v="803"/>
    <x v="1"/>
    <x v="1"/>
    <x v="1724"/>
    <n v="452.53"/>
    <x v="1710"/>
    <x v="0"/>
    <x v="9"/>
    <x v="4"/>
  </r>
  <r>
    <x v="804"/>
    <x v="4"/>
    <x v="1"/>
    <x v="1725"/>
    <n v="788.88"/>
    <x v="1711"/>
    <x v="4"/>
    <x v="14"/>
    <x v="1"/>
  </r>
  <r>
    <x v="804"/>
    <x v="4"/>
    <x v="0"/>
    <x v="1726"/>
    <n v="74.77"/>
    <x v="1712"/>
    <x v="3"/>
    <x v="10"/>
    <x v="1"/>
  </r>
  <r>
    <x v="804"/>
    <x v="0"/>
    <x v="1"/>
    <x v="1727"/>
    <n v="831.34"/>
    <x v="1713"/>
    <x v="0"/>
    <x v="0"/>
    <x v="2"/>
  </r>
  <r>
    <x v="804"/>
    <x v="0"/>
    <x v="4"/>
    <x v="1728"/>
    <n v="77.959999999999994"/>
    <x v="1714"/>
    <x v="4"/>
    <x v="5"/>
    <x v="1"/>
  </r>
  <r>
    <x v="805"/>
    <x v="3"/>
    <x v="4"/>
    <x v="1729"/>
    <n v="191.8"/>
    <x v="1715"/>
    <x v="3"/>
    <x v="8"/>
    <x v="5"/>
  </r>
  <r>
    <x v="806"/>
    <x v="4"/>
    <x v="3"/>
    <x v="1730"/>
    <n v="29.85"/>
    <x v="1716"/>
    <x v="1"/>
    <x v="14"/>
    <x v="2"/>
  </r>
  <r>
    <x v="807"/>
    <x v="3"/>
    <x v="2"/>
    <x v="1731"/>
    <n v="135.71"/>
    <x v="1717"/>
    <x v="4"/>
    <x v="11"/>
    <x v="5"/>
  </r>
  <r>
    <x v="808"/>
    <x v="4"/>
    <x v="0"/>
    <x v="1732"/>
    <n v="209.41"/>
    <x v="1718"/>
    <x v="0"/>
    <x v="6"/>
    <x v="5"/>
  </r>
  <r>
    <x v="808"/>
    <x v="2"/>
    <x v="5"/>
    <x v="1733"/>
    <n v="97.75"/>
    <x v="1719"/>
    <x v="1"/>
    <x v="6"/>
    <x v="0"/>
  </r>
  <r>
    <x v="809"/>
    <x v="2"/>
    <x v="4"/>
    <x v="1734"/>
    <n v="128.69"/>
    <x v="1720"/>
    <x v="4"/>
    <x v="13"/>
    <x v="3"/>
  </r>
  <r>
    <x v="810"/>
    <x v="4"/>
    <x v="6"/>
    <x v="1735"/>
    <n v="105.72"/>
    <x v="1721"/>
    <x v="3"/>
    <x v="3"/>
    <x v="5"/>
  </r>
  <r>
    <x v="811"/>
    <x v="0"/>
    <x v="5"/>
    <x v="1736"/>
    <n v="120.03"/>
    <x v="1722"/>
    <x v="4"/>
    <x v="13"/>
    <x v="1"/>
  </r>
  <r>
    <x v="812"/>
    <x v="4"/>
    <x v="1"/>
    <x v="1737"/>
    <n v="623.54999999999995"/>
    <x v="1723"/>
    <x v="0"/>
    <x v="7"/>
    <x v="2"/>
  </r>
  <r>
    <x v="812"/>
    <x v="3"/>
    <x v="6"/>
    <x v="1738"/>
    <n v="71.209999999999994"/>
    <x v="1724"/>
    <x v="3"/>
    <x v="8"/>
    <x v="0"/>
  </r>
  <r>
    <x v="813"/>
    <x v="2"/>
    <x v="0"/>
    <x v="1739"/>
    <n v="449.38"/>
    <x v="1725"/>
    <x v="0"/>
    <x v="2"/>
    <x v="0"/>
  </r>
  <r>
    <x v="813"/>
    <x v="0"/>
    <x v="6"/>
    <x v="1740"/>
    <n v="93.96"/>
    <x v="1726"/>
    <x v="1"/>
    <x v="9"/>
    <x v="3"/>
  </r>
  <r>
    <x v="814"/>
    <x v="0"/>
    <x v="5"/>
    <x v="1741"/>
    <n v="166.17"/>
    <x v="1727"/>
    <x v="2"/>
    <x v="3"/>
    <x v="4"/>
  </r>
  <r>
    <x v="815"/>
    <x v="0"/>
    <x v="1"/>
    <x v="1742"/>
    <n v="774.31"/>
    <x v="1728"/>
    <x v="0"/>
    <x v="12"/>
    <x v="1"/>
  </r>
  <r>
    <x v="815"/>
    <x v="4"/>
    <x v="1"/>
    <x v="1743"/>
    <n v="875.03"/>
    <x v="1729"/>
    <x v="2"/>
    <x v="5"/>
    <x v="1"/>
  </r>
  <r>
    <x v="815"/>
    <x v="4"/>
    <x v="1"/>
    <x v="1744"/>
    <n v="698.22"/>
    <x v="1730"/>
    <x v="0"/>
    <x v="14"/>
    <x v="4"/>
  </r>
  <r>
    <x v="816"/>
    <x v="2"/>
    <x v="5"/>
    <x v="1745"/>
    <n v="121.3"/>
    <x v="1731"/>
    <x v="0"/>
    <x v="9"/>
    <x v="1"/>
  </r>
  <r>
    <x v="816"/>
    <x v="1"/>
    <x v="0"/>
    <x v="1746"/>
    <n v="370.67"/>
    <x v="1732"/>
    <x v="4"/>
    <x v="4"/>
    <x v="4"/>
  </r>
  <r>
    <x v="816"/>
    <x v="0"/>
    <x v="0"/>
    <x v="1747"/>
    <n v="377.1"/>
    <x v="1733"/>
    <x v="0"/>
    <x v="5"/>
    <x v="1"/>
  </r>
  <r>
    <x v="816"/>
    <x v="1"/>
    <x v="6"/>
    <x v="1748"/>
    <n v="61.14"/>
    <x v="1734"/>
    <x v="4"/>
    <x v="10"/>
    <x v="3"/>
  </r>
  <r>
    <x v="817"/>
    <x v="2"/>
    <x v="3"/>
    <x v="1749"/>
    <n v="2.63"/>
    <x v="1735"/>
    <x v="2"/>
    <x v="2"/>
    <x v="5"/>
  </r>
  <r>
    <x v="817"/>
    <x v="4"/>
    <x v="6"/>
    <x v="1750"/>
    <n v="15.33"/>
    <x v="1736"/>
    <x v="1"/>
    <x v="9"/>
    <x v="2"/>
  </r>
  <r>
    <x v="818"/>
    <x v="3"/>
    <x v="4"/>
    <x v="1751"/>
    <n v="274.68"/>
    <x v="1737"/>
    <x v="2"/>
    <x v="1"/>
    <x v="0"/>
  </r>
  <r>
    <x v="818"/>
    <x v="1"/>
    <x v="5"/>
    <x v="1752"/>
    <n v="342.91"/>
    <x v="1738"/>
    <x v="2"/>
    <x v="6"/>
    <x v="4"/>
  </r>
  <r>
    <x v="819"/>
    <x v="1"/>
    <x v="3"/>
    <x v="1753"/>
    <n v="42.74"/>
    <x v="1739"/>
    <x v="3"/>
    <x v="11"/>
    <x v="1"/>
  </r>
  <r>
    <x v="819"/>
    <x v="1"/>
    <x v="0"/>
    <x v="1754"/>
    <n v="162.18"/>
    <x v="1740"/>
    <x v="1"/>
    <x v="1"/>
    <x v="2"/>
  </r>
  <r>
    <x v="819"/>
    <x v="3"/>
    <x v="2"/>
    <x v="1755"/>
    <n v="25.9"/>
    <x v="1741"/>
    <x v="1"/>
    <x v="9"/>
    <x v="0"/>
  </r>
  <r>
    <x v="819"/>
    <x v="3"/>
    <x v="1"/>
    <x v="1756"/>
    <n v="391.53"/>
    <x v="1742"/>
    <x v="2"/>
    <x v="5"/>
    <x v="1"/>
  </r>
  <r>
    <x v="820"/>
    <x v="2"/>
    <x v="2"/>
    <x v="1757"/>
    <n v="186.79"/>
    <x v="1743"/>
    <x v="4"/>
    <x v="7"/>
    <x v="1"/>
  </r>
  <r>
    <x v="821"/>
    <x v="0"/>
    <x v="2"/>
    <x v="1758"/>
    <n v="104.21"/>
    <x v="1744"/>
    <x v="3"/>
    <x v="7"/>
    <x v="1"/>
  </r>
  <r>
    <x v="821"/>
    <x v="1"/>
    <x v="0"/>
    <x v="1759"/>
    <n v="815.81"/>
    <x v="1745"/>
    <x v="3"/>
    <x v="2"/>
    <x v="3"/>
  </r>
  <r>
    <x v="821"/>
    <x v="1"/>
    <x v="0"/>
    <x v="1760"/>
    <n v="484.89"/>
    <x v="1746"/>
    <x v="1"/>
    <x v="0"/>
    <x v="4"/>
  </r>
  <r>
    <x v="821"/>
    <x v="1"/>
    <x v="5"/>
    <x v="1761"/>
    <n v="339.87"/>
    <x v="1747"/>
    <x v="1"/>
    <x v="12"/>
    <x v="3"/>
  </r>
  <r>
    <x v="822"/>
    <x v="4"/>
    <x v="2"/>
    <x v="1762"/>
    <n v="139.21"/>
    <x v="1748"/>
    <x v="2"/>
    <x v="8"/>
    <x v="4"/>
  </r>
  <r>
    <x v="822"/>
    <x v="0"/>
    <x v="4"/>
    <x v="1763"/>
    <n v="370.92"/>
    <x v="1749"/>
    <x v="2"/>
    <x v="3"/>
    <x v="0"/>
  </r>
  <r>
    <x v="823"/>
    <x v="2"/>
    <x v="5"/>
    <x v="1764"/>
    <n v="387.47"/>
    <x v="1750"/>
    <x v="1"/>
    <x v="12"/>
    <x v="4"/>
  </r>
  <r>
    <x v="823"/>
    <x v="0"/>
    <x v="1"/>
    <x v="1765"/>
    <n v="704.26"/>
    <x v="1751"/>
    <x v="3"/>
    <x v="13"/>
    <x v="3"/>
  </r>
  <r>
    <x v="823"/>
    <x v="0"/>
    <x v="5"/>
    <x v="1766"/>
    <n v="165.72"/>
    <x v="1752"/>
    <x v="0"/>
    <x v="3"/>
    <x v="5"/>
  </r>
  <r>
    <x v="823"/>
    <x v="0"/>
    <x v="6"/>
    <x v="1767"/>
    <n v="3.81"/>
    <x v="1753"/>
    <x v="2"/>
    <x v="9"/>
    <x v="0"/>
  </r>
  <r>
    <x v="824"/>
    <x v="2"/>
    <x v="3"/>
    <x v="1768"/>
    <n v="15.04"/>
    <x v="1754"/>
    <x v="3"/>
    <x v="1"/>
    <x v="4"/>
  </r>
  <r>
    <x v="825"/>
    <x v="4"/>
    <x v="1"/>
    <x v="1769"/>
    <n v="632.27"/>
    <x v="1755"/>
    <x v="1"/>
    <x v="13"/>
    <x v="0"/>
  </r>
  <r>
    <x v="826"/>
    <x v="3"/>
    <x v="6"/>
    <x v="1770"/>
    <n v="44.98"/>
    <x v="1756"/>
    <x v="2"/>
    <x v="8"/>
    <x v="4"/>
  </r>
  <r>
    <x v="826"/>
    <x v="4"/>
    <x v="6"/>
    <x v="1771"/>
    <n v="42.59"/>
    <x v="1757"/>
    <x v="1"/>
    <x v="7"/>
    <x v="5"/>
  </r>
  <r>
    <x v="826"/>
    <x v="3"/>
    <x v="2"/>
    <x v="1772"/>
    <n v="148.78"/>
    <x v="1758"/>
    <x v="1"/>
    <x v="6"/>
    <x v="1"/>
  </r>
  <r>
    <x v="826"/>
    <x v="2"/>
    <x v="1"/>
    <x v="1773"/>
    <n v="794.29"/>
    <x v="1759"/>
    <x v="1"/>
    <x v="3"/>
    <x v="3"/>
  </r>
  <r>
    <x v="827"/>
    <x v="4"/>
    <x v="2"/>
    <x v="1774"/>
    <n v="75.11"/>
    <x v="1760"/>
    <x v="4"/>
    <x v="11"/>
    <x v="0"/>
  </r>
  <r>
    <x v="827"/>
    <x v="2"/>
    <x v="6"/>
    <x v="1775"/>
    <n v="3.64"/>
    <x v="1761"/>
    <x v="4"/>
    <x v="5"/>
    <x v="2"/>
  </r>
  <r>
    <x v="828"/>
    <x v="1"/>
    <x v="2"/>
    <x v="1776"/>
    <n v="128.6"/>
    <x v="1762"/>
    <x v="4"/>
    <x v="3"/>
    <x v="4"/>
  </r>
  <r>
    <x v="828"/>
    <x v="2"/>
    <x v="5"/>
    <x v="1777"/>
    <n v="157.63"/>
    <x v="1763"/>
    <x v="4"/>
    <x v="7"/>
    <x v="0"/>
  </r>
  <r>
    <x v="828"/>
    <x v="4"/>
    <x v="4"/>
    <x v="1778"/>
    <n v="220.17"/>
    <x v="1764"/>
    <x v="0"/>
    <x v="14"/>
    <x v="1"/>
  </r>
  <r>
    <x v="829"/>
    <x v="0"/>
    <x v="5"/>
    <x v="1779"/>
    <n v="378.42"/>
    <x v="1765"/>
    <x v="1"/>
    <x v="0"/>
    <x v="5"/>
  </r>
  <r>
    <x v="830"/>
    <x v="2"/>
    <x v="6"/>
    <x v="1780"/>
    <n v="3.87"/>
    <x v="1766"/>
    <x v="0"/>
    <x v="13"/>
    <x v="5"/>
  </r>
  <r>
    <x v="830"/>
    <x v="4"/>
    <x v="0"/>
    <x v="1781"/>
    <n v="341.36"/>
    <x v="1767"/>
    <x v="3"/>
    <x v="10"/>
    <x v="2"/>
  </r>
  <r>
    <x v="831"/>
    <x v="1"/>
    <x v="6"/>
    <x v="1782"/>
    <n v="30.74"/>
    <x v="1768"/>
    <x v="4"/>
    <x v="9"/>
    <x v="5"/>
  </r>
  <r>
    <x v="832"/>
    <x v="0"/>
    <x v="1"/>
    <x v="1783"/>
    <n v="879.78"/>
    <x v="1769"/>
    <x v="0"/>
    <x v="7"/>
    <x v="3"/>
  </r>
  <r>
    <x v="833"/>
    <x v="2"/>
    <x v="0"/>
    <x v="1784"/>
    <n v="566.98"/>
    <x v="1770"/>
    <x v="2"/>
    <x v="5"/>
    <x v="2"/>
  </r>
  <r>
    <x v="834"/>
    <x v="3"/>
    <x v="3"/>
    <x v="1785"/>
    <n v="40.619999999999997"/>
    <x v="1771"/>
    <x v="3"/>
    <x v="3"/>
    <x v="2"/>
  </r>
  <r>
    <x v="835"/>
    <x v="2"/>
    <x v="3"/>
    <x v="1786"/>
    <n v="40.229999999999997"/>
    <x v="1772"/>
    <x v="3"/>
    <x v="12"/>
    <x v="4"/>
  </r>
  <r>
    <x v="836"/>
    <x v="2"/>
    <x v="5"/>
    <x v="1787"/>
    <n v="97.79"/>
    <x v="1773"/>
    <x v="1"/>
    <x v="5"/>
    <x v="2"/>
  </r>
  <r>
    <x v="837"/>
    <x v="4"/>
    <x v="3"/>
    <x v="1788"/>
    <n v="43.32"/>
    <x v="1774"/>
    <x v="0"/>
    <x v="4"/>
    <x v="1"/>
  </r>
  <r>
    <x v="838"/>
    <x v="0"/>
    <x v="4"/>
    <x v="1789"/>
    <n v="38.99"/>
    <x v="1775"/>
    <x v="1"/>
    <x v="9"/>
    <x v="5"/>
  </r>
  <r>
    <x v="838"/>
    <x v="4"/>
    <x v="1"/>
    <x v="1790"/>
    <n v="532.41"/>
    <x v="1776"/>
    <x v="3"/>
    <x v="9"/>
    <x v="2"/>
  </r>
  <r>
    <x v="838"/>
    <x v="2"/>
    <x v="3"/>
    <x v="1791"/>
    <n v="12.15"/>
    <x v="1777"/>
    <x v="1"/>
    <x v="12"/>
    <x v="1"/>
  </r>
  <r>
    <x v="838"/>
    <x v="1"/>
    <x v="1"/>
    <x v="1792"/>
    <n v="45.21"/>
    <x v="1778"/>
    <x v="0"/>
    <x v="5"/>
    <x v="0"/>
  </r>
  <r>
    <x v="838"/>
    <x v="1"/>
    <x v="4"/>
    <x v="1793"/>
    <n v="112.93"/>
    <x v="784"/>
    <x v="1"/>
    <x v="0"/>
    <x v="0"/>
  </r>
  <r>
    <x v="839"/>
    <x v="0"/>
    <x v="1"/>
    <x v="1794"/>
    <n v="581.41999999999996"/>
    <x v="1779"/>
    <x v="1"/>
    <x v="0"/>
    <x v="5"/>
  </r>
  <r>
    <x v="839"/>
    <x v="0"/>
    <x v="2"/>
    <x v="1795"/>
    <n v="126.03"/>
    <x v="1780"/>
    <x v="3"/>
    <x v="12"/>
    <x v="4"/>
  </r>
  <r>
    <x v="839"/>
    <x v="4"/>
    <x v="1"/>
    <x v="1796"/>
    <n v="61.68"/>
    <x v="1781"/>
    <x v="2"/>
    <x v="13"/>
    <x v="0"/>
  </r>
  <r>
    <x v="840"/>
    <x v="4"/>
    <x v="2"/>
    <x v="1797"/>
    <n v="134.13999999999999"/>
    <x v="1782"/>
    <x v="1"/>
    <x v="12"/>
    <x v="3"/>
  </r>
  <r>
    <x v="840"/>
    <x v="2"/>
    <x v="5"/>
    <x v="1798"/>
    <n v="133.85"/>
    <x v="1783"/>
    <x v="4"/>
    <x v="3"/>
    <x v="5"/>
  </r>
  <r>
    <x v="841"/>
    <x v="2"/>
    <x v="0"/>
    <x v="1799"/>
    <n v="461.45"/>
    <x v="1784"/>
    <x v="3"/>
    <x v="3"/>
    <x v="4"/>
  </r>
  <r>
    <x v="841"/>
    <x v="1"/>
    <x v="2"/>
    <x v="1800"/>
    <n v="83.85"/>
    <x v="1785"/>
    <x v="4"/>
    <x v="3"/>
    <x v="0"/>
  </r>
  <r>
    <x v="841"/>
    <x v="1"/>
    <x v="1"/>
    <x v="1801"/>
    <n v="618.66"/>
    <x v="1786"/>
    <x v="4"/>
    <x v="14"/>
    <x v="2"/>
  </r>
  <r>
    <x v="842"/>
    <x v="0"/>
    <x v="1"/>
    <x v="1802"/>
    <n v="412.92"/>
    <x v="1787"/>
    <x v="2"/>
    <x v="3"/>
    <x v="5"/>
  </r>
  <r>
    <x v="842"/>
    <x v="1"/>
    <x v="5"/>
    <x v="1803"/>
    <n v="384.61"/>
    <x v="1788"/>
    <x v="2"/>
    <x v="10"/>
    <x v="3"/>
  </r>
  <r>
    <x v="843"/>
    <x v="2"/>
    <x v="0"/>
    <x v="1804"/>
    <n v="795.42"/>
    <x v="1789"/>
    <x v="0"/>
    <x v="6"/>
    <x v="4"/>
  </r>
  <r>
    <x v="843"/>
    <x v="4"/>
    <x v="3"/>
    <x v="1805"/>
    <n v="13.83"/>
    <x v="1790"/>
    <x v="2"/>
    <x v="0"/>
    <x v="3"/>
  </r>
  <r>
    <x v="843"/>
    <x v="3"/>
    <x v="5"/>
    <x v="1806"/>
    <n v="90.42"/>
    <x v="1791"/>
    <x v="0"/>
    <x v="0"/>
    <x v="0"/>
  </r>
  <r>
    <x v="844"/>
    <x v="4"/>
    <x v="4"/>
    <x v="980"/>
    <n v="131.07"/>
    <x v="1792"/>
    <x v="1"/>
    <x v="1"/>
    <x v="5"/>
  </r>
  <r>
    <x v="845"/>
    <x v="0"/>
    <x v="6"/>
    <x v="1807"/>
    <n v="19.809999999999999"/>
    <x v="1793"/>
    <x v="3"/>
    <x v="10"/>
    <x v="0"/>
  </r>
  <r>
    <x v="845"/>
    <x v="1"/>
    <x v="3"/>
    <x v="1808"/>
    <n v="34.299999999999997"/>
    <x v="1794"/>
    <x v="4"/>
    <x v="12"/>
    <x v="2"/>
  </r>
  <r>
    <x v="846"/>
    <x v="2"/>
    <x v="6"/>
    <x v="1809"/>
    <n v="61.86"/>
    <x v="1795"/>
    <x v="3"/>
    <x v="13"/>
    <x v="5"/>
  </r>
  <r>
    <x v="846"/>
    <x v="2"/>
    <x v="3"/>
    <x v="1810"/>
    <n v="2.2400000000000002"/>
    <x v="1796"/>
    <x v="4"/>
    <x v="10"/>
    <x v="2"/>
  </r>
  <r>
    <x v="847"/>
    <x v="1"/>
    <x v="5"/>
    <x v="1811"/>
    <n v="260.66000000000003"/>
    <x v="1797"/>
    <x v="4"/>
    <x v="7"/>
    <x v="1"/>
  </r>
  <r>
    <x v="847"/>
    <x v="4"/>
    <x v="0"/>
    <x v="1812"/>
    <n v="491.66"/>
    <x v="1798"/>
    <x v="3"/>
    <x v="11"/>
    <x v="3"/>
  </r>
  <r>
    <x v="847"/>
    <x v="0"/>
    <x v="0"/>
    <x v="1813"/>
    <n v="95.96"/>
    <x v="1799"/>
    <x v="3"/>
    <x v="4"/>
    <x v="0"/>
  </r>
  <r>
    <x v="847"/>
    <x v="2"/>
    <x v="3"/>
    <x v="1814"/>
    <n v="1.89"/>
    <x v="1800"/>
    <x v="4"/>
    <x v="10"/>
    <x v="2"/>
  </r>
  <r>
    <x v="848"/>
    <x v="2"/>
    <x v="0"/>
    <x v="1815"/>
    <n v="600.66999999999996"/>
    <x v="1801"/>
    <x v="0"/>
    <x v="13"/>
    <x v="1"/>
  </r>
  <r>
    <x v="849"/>
    <x v="3"/>
    <x v="2"/>
    <x v="1816"/>
    <n v="29.08"/>
    <x v="1802"/>
    <x v="3"/>
    <x v="7"/>
    <x v="5"/>
  </r>
  <r>
    <x v="850"/>
    <x v="3"/>
    <x v="2"/>
    <x v="1817"/>
    <n v="180.91"/>
    <x v="1803"/>
    <x v="1"/>
    <x v="11"/>
    <x v="2"/>
  </r>
  <r>
    <x v="850"/>
    <x v="2"/>
    <x v="6"/>
    <x v="1818"/>
    <n v="14.88"/>
    <x v="1804"/>
    <x v="3"/>
    <x v="6"/>
    <x v="5"/>
  </r>
  <r>
    <x v="850"/>
    <x v="4"/>
    <x v="4"/>
    <x v="1819"/>
    <n v="66.73"/>
    <x v="1805"/>
    <x v="0"/>
    <x v="10"/>
    <x v="2"/>
  </r>
  <r>
    <x v="851"/>
    <x v="4"/>
    <x v="0"/>
    <x v="1820"/>
    <n v="170.29"/>
    <x v="1806"/>
    <x v="1"/>
    <x v="4"/>
    <x v="1"/>
  </r>
  <r>
    <x v="851"/>
    <x v="2"/>
    <x v="4"/>
    <x v="1821"/>
    <n v="190.79"/>
    <x v="1807"/>
    <x v="0"/>
    <x v="13"/>
    <x v="4"/>
  </r>
  <r>
    <x v="851"/>
    <x v="2"/>
    <x v="1"/>
    <x v="1822"/>
    <n v="788.5"/>
    <x v="1808"/>
    <x v="4"/>
    <x v="3"/>
    <x v="5"/>
  </r>
  <r>
    <x v="852"/>
    <x v="3"/>
    <x v="0"/>
    <x v="1823"/>
    <n v="484.75"/>
    <x v="1809"/>
    <x v="3"/>
    <x v="12"/>
    <x v="3"/>
  </r>
  <r>
    <x v="852"/>
    <x v="3"/>
    <x v="3"/>
    <x v="1824"/>
    <n v="14.41"/>
    <x v="1810"/>
    <x v="0"/>
    <x v="10"/>
    <x v="5"/>
  </r>
  <r>
    <x v="852"/>
    <x v="1"/>
    <x v="2"/>
    <x v="1825"/>
    <n v="24.43"/>
    <x v="1811"/>
    <x v="3"/>
    <x v="5"/>
    <x v="5"/>
  </r>
  <r>
    <x v="853"/>
    <x v="4"/>
    <x v="4"/>
    <x v="1112"/>
    <n v="19.59"/>
    <x v="1812"/>
    <x v="0"/>
    <x v="10"/>
    <x v="3"/>
  </r>
  <r>
    <x v="853"/>
    <x v="3"/>
    <x v="4"/>
    <x v="1826"/>
    <n v="100.52"/>
    <x v="1813"/>
    <x v="0"/>
    <x v="4"/>
    <x v="4"/>
  </r>
  <r>
    <x v="853"/>
    <x v="0"/>
    <x v="4"/>
    <x v="1827"/>
    <n v="362.48"/>
    <x v="1814"/>
    <x v="2"/>
    <x v="13"/>
    <x v="0"/>
  </r>
  <r>
    <x v="853"/>
    <x v="4"/>
    <x v="2"/>
    <x v="1828"/>
    <n v="87.37"/>
    <x v="1815"/>
    <x v="1"/>
    <x v="1"/>
    <x v="2"/>
  </r>
  <r>
    <x v="853"/>
    <x v="1"/>
    <x v="2"/>
    <x v="1829"/>
    <n v="14.88"/>
    <x v="1816"/>
    <x v="4"/>
    <x v="11"/>
    <x v="1"/>
  </r>
  <r>
    <x v="854"/>
    <x v="4"/>
    <x v="0"/>
    <x v="1830"/>
    <n v="317.72000000000003"/>
    <x v="1817"/>
    <x v="0"/>
    <x v="2"/>
    <x v="4"/>
  </r>
  <r>
    <x v="855"/>
    <x v="0"/>
    <x v="1"/>
    <x v="1831"/>
    <n v="71.819999999999993"/>
    <x v="1818"/>
    <x v="3"/>
    <x v="6"/>
    <x v="3"/>
  </r>
  <r>
    <x v="855"/>
    <x v="2"/>
    <x v="3"/>
    <x v="1832"/>
    <n v="23.2"/>
    <x v="1819"/>
    <x v="4"/>
    <x v="0"/>
    <x v="4"/>
  </r>
  <r>
    <x v="856"/>
    <x v="3"/>
    <x v="5"/>
    <x v="1833"/>
    <n v="325.45999999999998"/>
    <x v="1820"/>
    <x v="4"/>
    <x v="12"/>
    <x v="2"/>
  </r>
  <r>
    <x v="856"/>
    <x v="4"/>
    <x v="6"/>
    <x v="1834"/>
    <n v="28.58"/>
    <x v="1821"/>
    <x v="3"/>
    <x v="3"/>
    <x v="0"/>
  </r>
  <r>
    <x v="857"/>
    <x v="4"/>
    <x v="1"/>
    <x v="1835"/>
    <n v="676.62"/>
    <x v="1822"/>
    <x v="0"/>
    <x v="13"/>
    <x v="0"/>
  </r>
  <r>
    <x v="858"/>
    <x v="1"/>
    <x v="4"/>
    <x v="1836"/>
    <n v="33.78"/>
    <x v="1823"/>
    <x v="2"/>
    <x v="13"/>
    <x v="1"/>
  </r>
  <r>
    <x v="859"/>
    <x v="4"/>
    <x v="5"/>
    <x v="1837"/>
    <n v="211.69"/>
    <x v="1824"/>
    <x v="1"/>
    <x v="0"/>
    <x v="5"/>
  </r>
  <r>
    <x v="859"/>
    <x v="2"/>
    <x v="6"/>
    <x v="1838"/>
    <n v="27.63"/>
    <x v="1825"/>
    <x v="4"/>
    <x v="4"/>
    <x v="5"/>
  </r>
  <r>
    <x v="860"/>
    <x v="4"/>
    <x v="5"/>
    <x v="1839"/>
    <n v="115.27"/>
    <x v="1826"/>
    <x v="3"/>
    <x v="3"/>
    <x v="3"/>
  </r>
  <r>
    <x v="861"/>
    <x v="4"/>
    <x v="0"/>
    <x v="1840"/>
    <n v="398.64"/>
    <x v="1827"/>
    <x v="0"/>
    <x v="8"/>
    <x v="3"/>
  </r>
  <r>
    <x v="861"/>
    <x v="2"/>
    <x v="1"/>
    <x v="1841"/>
    <n v="902.96"/>
    <x v="1828"/>
    <x v="3"/>
    <x v="14"/>
    <x v="0"/>
  </r>
  <r>
    <x v="861"/>
    <x v="2"/>
    <x v="4"/>
    <x v="1842"/>
    <n v="76.05"/>
    <x v="1829"/>
    <x v="1"/>
    <x v="13"/>
    <x v="0"/>
  </r>
  <r>
    <x v="862"/>
    <x v="2"/>
    <x v="0"/>
    <x v="1843"/>
    <n v="705.45"/>
    <x v="1830"/>
    <x v="3"/>
    <x v="6"/>
    <x v="2"/>
  </r>
  <r>
    <x v="862"/>
    <x v="0"/>
    <x v="3"/>
    <x v="1844"/>
    <n v="43.69"/>
    <x v="1831"/>
    <x v="0"/>
    <x v="11"/>
    <x v="1"/>
  </r>
  <r>
    <x v="863"/>
    <x v="3"/>
    <x v="0"/>
    <x v="1845"/>
    <n v="557.37"/>
    <x v="1832"/>
    <x v="2"/>
    <x v="2"/>
    <x v="0"/>
  </r>
  <r>
    <x v="864"/>
    <x v="2"/>
    <x v="4"/>
    <x v="1846"/>
    <n v="265.68"/>
    <x v="1833"/>
    <x v="1"/>
    <x v="11"/>
    <x v="1"/>
  </r>
  <r>
    <x v="864"/>
    <x v="4"/>
    <x v="1"/>
    <x v="1847"/>
    <n v="689.34"/>
    <x v="1834"/>
    <x v="0"/>
    <x v="11"/>
    <x v="0"/>
  </r>
  <r>
    <x v="865"/>
    <x v="3"/>
    <x v="3"/>
    <x v="1848"/>
    <n v="24.97"/>
    <x v="1835"/>
    <x v="2"/>
    <x v="5"/>
    <x v="4"/>
  </r>
  <r>
    <x v="865"/>
    <x v="1"/>
    <x v="4"/>
    <x v="1849"/>
    <n v="14.25"/>
    <x v="1836"/>
    <x v="1"/>
    <x v="7"/>
    <x v="4"/>
  </r>
  <r>
    <x v="865"/>
    <x v="0"/>
    <x v="4"/>
    <x v="1850"/>
    <n v="160.34"/>
    <x v="1837"/>
    <x v="0"/>
    <x v="4"/>
    <x v="5"/>
  </r>
  <r>
    <x v="866"/>
    <x v="4"/>
    <x v="3"/>
    <x v="1851"/>
    <n v="37.86"/>
    <x v="1838"/>
    <x v="0"/>
    <x v="11"/>
    <x v="3"/>
  </r>
  <r>
    <x v="866"/>
    <x v="0"/>
    <x v="3"/>
    <x v="1852"/>
    <n v="8.5"/>
    <x v="1839"/>
    <x v="1"/>
    <x v="8"/>
    <x v="1"/>
  </r>
  <r>
    <x v="866"/>
    <x v="2"/>
    <x v="4"/>
    <x v="1853"/>
    <n v="304.99"/>
    <x v="1840"/>
    <x v="4"/>
    <x v="11"/>
    <x v="4"/>
  </r>
  <r>
    <x v="867"/>
    <x v="1"/>
    <x v="2"/>
    <x v="1640"/>
    <n v="44.06"/>
    <x v="1841"/>
    <x v="2"/>
    <x v="9"/>
    <x v="5"/>
  </r>
  <r>
    <x v="867"/>
    <x v="1"/>
    <x v="1"/>
    <x v="1854"/>
    <n v="324.62"/>
    <x v="1842"/>
    <x v="4"/>
    <x v="6"/>
    <x v="5"/>
  </r>
  <r>
    <x v="868"/>
    <x v="4"/>
    <x v="0"/>
    <x v="1855"/>
    <n v="453.37"/>
    <x v="1843"/>
    <x v="2"/>
    <x v="10"/>
    <x v="0"/>
  </r>
  <r>
    <x v="869"/>
    <x v="0"/>
    <x v="4"/>
    <x v="1856"/>
    <n v="221.36"/>
    <x v="1844"/>
    <x v="1"/>
    <x v="13"/>
    <x v="2"/>
  </r>
  <r>
    <x v="870"/>
    <x v="1"/>
    <x v="3"/>
    <x v="1857"/>
    <n v="32.06"/>
    <x v="1845"/>
    <x v="3"/>
    <x v="3"/>
    <x v="2"/>
  </r>
  <r>
    <x v="871"/>
    <x v="3"/>
    <x v="5"/>
    <x v="1858"/>
    <n v="198.07"/>
    <x v="1846"/>
    <x v="2"/>
    <x v="12"/>
    <x v="0"/>
  </r>
  <r>
    <x v="872"/>
    <x v="4"/>
    <x v="4"/>
    <x v="1859"/>
    <n v="211.76"/>
    <x v="1847"/>
    <x v="0"/>
    <x v="7"/>
    <x v="3"/>
  </r>
  <r>
    <x v="872"/>
    <x v="4"/>
    <x v="6"/>
    <x v="1860"/>
    <n v="15.83"/>
    <x v="1848"/>
    <x v="4"/>
    <x v="14"/>
    <x v="3"/>
  </r>
  <r>
    <x v="872"/>
    <x v="2"/>
    <x v="1"/>
    <x v="1861"/>
    <n v="786.67"/>
    <x v="1849"/>
    <x v="1"/>
    <x v="2"/>
    <x v="0"/>
  </r>
  <r>
    <x v="873"/>
    <x v="2"/>
    <x v="2"/>
    <x v="1862"/>
    <n v="66.72"/>
    <x v="1346"/>
    <x v="3"/>
    <x v="11"/>
    <x v="4"/>
  </r>
  <r>
    <x v="873"/>
    <x v="2"/>
    <x v="4"/>
    <x v="1863"/>
    <n v="188.41"/>
    <x v="1850"/>
    <x v="3"/>
    <x v="4"/>
    <x v="4"/>
  </r>
  <r>
    <x v="874"/>
    <x v="2"/>
    <x v="6"/>
    <x v="1864"/>
    <n v="61.64"/>
    <x v="1135"/>
    <x v="0"/>
    <x v="11"/>
    <x v="2"/>
  </r>
  <r>
    <x v="875"/>
    <x v="3"/>
    <x v="4"/>
    <x v="1865"/>
    <n v="25.47"/>
    <x v="1851"/>
    <x v="0"/>
    <x v="11"/>
    <x v="3"/>
  </r>
  <r>
    <x v="876"/>
    <x v="4"/>
    <x v="1"/>
    <x v="1866"/>
    <n v="822.02"/>
    <x v="1852"/>
    <x v="4"/>
    <x v="14"/>
    <x v="5"/>
  </r>
  <r>
    <x v="877"/>
    <x v="0"/>
    <x v="5"/>
    <x v="1867"/>
    <n v="148.65"/>
    <x v="1853"/>
    <x v="0"/>
    <x v="7"/>
    <x v="0"/>
  </r>
  <r>
    <x v="877"/>
    <x v="1"/>
    <x v="6"/>
    <x v="1868"/>
    <n v="32.83"/>
    <x v="1854"/>
    <x v="2"/>
    <x v="14"/>
    <x v="5"/>
  </r>
  <r>
    <x v="877"/>
    <x v="4"/>
    <x v="4"/>
    <x v="1869"/>
    <n v="169.08"/>
    <x v="1200"/>
    <x v="1"/>
    <x v="9"/>
    <x v="0"/>
  </r>
  <r>
    <x v="877"/>
    <x v="4"/>
    <x v="5"/>
    <x v="1870"/>
    <n v="167.19"/>
    <x v="1855"/>
    <x v="3"/>
    <x v="5"/>
    <x v="4"/>
  </r>
  <r>
    <x v="877"/>
    <x v="1"/>
    <x v="6"/>
    <x v="1871"/>
    <n v="59.07"/>
    <x v="1856"/>
    <x v="3"/>
    <x v="12"/>
    <x v="2"/>
  </r>
  <r>
    <x v="878"/>
    <x v="0"/>
    <x v="3"/>
    <x v="1872"/>
    <n v="34.130000000000003"/>
    <x v="799"/>
    <x v="3"/>
    <x v="8"/>
    <x v="4"/>
  </r>
  <r>
    <x v="878"/>
    <x v="4"/>
    <x v="1"/>
    <x v="1873"/>
    <n v="91.28"/>
    <x v="1857"/>
    <x v="3"/>
    <x v="2"/>
    <x v="2"/>
  </r>
  <r>
    <x v="879"/>
    <x v="1"/>
    <x v="2"/>
    <x v="1874"/>
    <n v="48.3"/>
    <x v="1858"/>
    <x v="0"/>
    <x v="0"/>
    <x v="1"/>
  </r>
  <r>
    <x v="879"/>
    <x v="3"/>
    <x v="0"/>
    <x v="1875"/>
    <n v="526.71"/>
    <x v="1859"/>
    <x v="2"/>
    <x v="9"/>
    <x v="2"/>
  </r>
  <r>
    <x v="880"/>
    <x v="3"/>
    <x v="3"/>
    <x v="1876"/>
    <n v="24.37"/>
    <x v="1860"/>
    <x v="0"/>
    <x v="12"/>
    <x v="4"/>
  </r>
  <r>
    <x v="880"/>
    <x v="3"/>
    <x v="4"/>
    <x v="914"/>
    <n v="32.89"/>
    <x v="1861"/>
    <x v="2"/>
    <x v="1"/>
    <x v="3"/>
  </r>
  <r>
    <x v="880"/>
    <x v="3"/>
    <x v="1"/>
    <x v="1877"/>
    <n v="178.69"/>
    <x v="1862"/>
    <x v="3"/>
    <x v="4"/>
    <x v="0"/>
  </r>
  <r>
    <x v="880"/>
    <x v="2"/>
    <x v="1"/>
    <x v="1878"/>
    <n v="419.35"/>
    <x v="1863"/>
    <x v="4"/>
    <x v="10"/>
    <x v="1"/>
  </r>
  <r>
    <x v="881"/>
    <x v="1"/>
    <x v="4"/>
    <x v="1879"/>
    <n v="180.72"/>
    <x v="1864"/>
    <x v="3"/>
    <x v="0"/>
    <x v="3"/>
  </r>
  <r>
    <x v="881"/>
    <x v="1"/>
    <x v="1"/>
    <x v="1880"/>
    <n v="595"/>
    <x v="1865"/>
    <x v="1"/>
    <x v="12"/>
    <x v="5"/>
  </r>
  <r>
    <x v="881"/>
    <x v="0"/>
    <x v="2"/>
    <x v="1881"/>
    <n v="120.45"/>
    <x v="1866"/>
    <x v="1"/>
    <x v="6"/>
    <x v="3"/>
  </r>
  <r>
    <x v="881"/>
    <x v="2"/>
    <x v="0"/>
    <x v="1882"/>
    <n v="623.91999999999996"/>
    <x v="1867"/>
    <x v="1"/>
    <x v="13"/>
    <x v="0"/>
  </r>
  <r>
    <x v="882"/>
    <x v="1"/>
    <x v="4"/>
    <x v="1883"/>
    <n v="70.739999999999995"/>
    <x v="1868"/>
    <x v="2"/>
    <x v="5"/>
    <x v="4"/>
  </r>
  <r>
    <x v="883"/>
    <x v="4"/>
    <x v="0"/>
    <x v="1884"/>
    <n v="833.45"/>
    <x v="1869"/>
    <x v="4"/>
    <x v="9"/>
    <x v="5"/>
  </r>
  <r>
    <x v="883"/>
    <x v="0"/>
    <x v="0"/>
    <x v="1885"/>
    <n v="332.79"/>
    <x v="1870"/>
    <x v="2"/>
    <x v="8"/>
    <x v="2"/>
  </r>
  <r>
    <x v="883"/>
    <x v="4"/>
    <x v="3"/>
    <x v="1886"/>
    <n v="42.22"/>
    <x v="1871"/>
    <x v="1"/>
    <x v="11"/>
    <x v="3"/>
  </r>
  <r>
    <x v="883"/>
    <x v="1"/>
    <x v="6"/>
    <x v="1887"/>
    <n v="75.87"/>
    <x v="1872"/>
    <x v="1"/>
    <x v="1"/>
    <x v="1"/>
  </r>
  <r>
    <x v="884"/>
    <x v="4"/>
    <x v="4"/>
    <x v="1888"/>
    <n v="61.36"/>
    <x v="1873"/>
    <x v="1"/>
    <x v="2"/>
    <x v="0"/>
  </r>
  <r>
    <x v="884"/>
    <x v="0"/>
    <x v="0"/>
    <x v="1889"/>
    <n v="95.82"/>
    <x v="1874"/>
    <x v="2"/>
    <x v="6"/>
    <x v="3"/>
  </r>
  <r>
    <x v="885"/>
    <x v="2"/>
    <x v="6"/>
    <x v="1890"/>
    <n v="72.930000000000007"/>
    <x v="1875"/>
    <x v="0"/>
    <x v="0"/>
    <x v="0"/>
  </r>
  <r>
    <x v="885"/>
    <x v="1"/>
    <x v="0"/>
    <x v="1891"/>
    <n v="230.62"/>
    <x v="1876"/>
    <x v="0"/>
    <x v="14"/>
    <x v="3"/>
  </r>
  <r>
    <x v="885"/>
    <x v="0"/>
    <x v="6"/>
    <x v="1892"/>
    <n v="90.19"/>
    <x v="1877"/>
    <x v="4"/>
    <x v="11"/>
    <x v="1"/>
  </r>
  <r>
    <x v="886"/>
    <x v="3"/>
    <x v="5"/>
    <x v="1893"/>
    <n v="130.94999999999999"/>
    <x v="1878"/>
    <x v="0"/>
    <x v="11"/>
    <x v="0"/>
  </r>
  <r>
    <x v="886"/>
    <x v="3"/>
    <x v="3"/>
    <x v="1894"/>
    <n v="57.71"/>
    <x v="1879"/>
    <x v="4"/>
    <x v="8"/>
    <x v="5"/>
  </r>
  <r>
    <x v="886"/>
    <x v="3"/>
    <x v="6"/>
    <x v="1895"/>
    <n v="48.64"/>
    <x v="1880"/>
    <x v="0"/>
    <x v="5"/>
    <x v="4"/>
  </r>
  <r>
    <x v="887"/>
    <x v="0"/>
    <x v="6"/>
    <x v="1896"/>
    <n v="17.53"/>
    <x v="1881"/>
    <x v="1"/>
    <x v="11"/>
    <x v="4"/>
  </r>
  <r>
    <x v="887"/>
    <x v="3"/>
    <x v="1"/>
    <x v="1897"/>
    <n v="362.41"/>
    <x v="1882"/>
    <x v="3"/>
    <x v="8"/>
    <x v="5"/>
  </r>
  <r>
    <x v="888"/>
    <x v="4"/>
    <x v="2"/>
    <x v="1898"/>
    <n v="17.510000000000002"/>
    <x v="1883"/>
    <x v="0"/>
    <x v="13"/>
    <x v="5"/>
  </r>
  <r>
    <x v="889"/>
    <x v="4"/>
    <x v="2"/>
    <x v="1899"/>
    <n v="96.13"/>
    <x v="1884"/>
    <x v="1"/>
    <x v="10"/>
    <x v="4"/>
  </r>
  <r>
    <x v="889"/>
    <x v="1"/>
    <x v="3"/>
    <x v="1900"/>
    <n v="28.53"/>
    <x v="1885"/>
    <x v="3"/>
    <x v="12"/>
    <x v="5"/>
  </r>
  <r>
    <x v="890"/>
    <x v="3"/>
    <x v="0"/>
    <x v="1901"/>
    <n v="138.16999999999999"/>
    <x v="1886"/>
    <x v="0"/>
    <x v="13"/>
    <x v="2"/>
  </r>
  <r>
    <x v="891"/>
    <x v="0"/>
    <x v="6"/>
    <x v="1902"/>
    <n v="67.83"/>
    <x v="1887"/>
    <x v="3"/>
    <x v="9"/>
    <x v="4"/>
  </r>
  <r>
    <x v="892"/>
    <x v="3"/>
    <x v="0"/>
    <x v="1903"/>
    <n v="978.12"/>
    <x v="1888"/>
    <x v="0"/>
    <x v="14"/>
    <x v="3"/>
  </r>
  <r>
    <x v="893"/>
    <x v="2"/>
    <x v="6"/>
    <x v="1904"/>
    <n v="64.55"/>
    <x v="1889"/>
    <x v="3"/>
    <x v="14"/>
    <x v="3"/>
  </r>
  <r>
    <x v="893"/>
    <x v="0"/>
    <x v="5"/>
    <x v="1905"/>
    <n v="288.27999999999997"/>
    <x v="1890"/>
    <x v="3"/>
    <x v="5"/>
    <x v="1"/>
  </r>
  <r>
    <x v="893"/>
    <x v="1"/>
    <x v="2"/>
    <x v="1906"/>
    <n v="151.25"/>
    <x v="1891"/>
    <x v="4"/>
    <x v="1"/>
    <x v="2"/>
  </r>
  <r>
    <x v="893"/>
    <x v="4"/>
    <x v="6"/>
    <x v="1907"/>
    <n v="112.06"/>
    <x v="1892"/>
    <x v="2"/>
    <x v="5"/>
    <x v="0"/>
  </r>
  <r>
    <x v="894"/>
    <x v="3"/>
    <x v="2"/>
    <x v="1908"/>
    <n v="212.76"/>
    <x v="1893"/>
    <x v="0"/>
    <x v="7"/>
    <x v="1"/>
  </r>
  <r>
    <x v="894"/>
    <x v="4"/>
    <x v="4"/>
    <x v="1909"/>
    <n v="101.24"/>
    <x v="1894"/>
    <x v="0"/>
    <x v="8"/>
    <x v="1"/>
  </r>
  <r>
    <x v="894"/>
    <x v="4"/>
    <x v="6"/>
    <x v="1910"/>
    <n v="33.61"/>
    <x v="1895"/>
    <x v="0"/>
    <x v="10"/>
    <x v="2"/>
  </r>
  <r>
    <x v="894"/>
    <x v="3"/>
    <x v="3"/>
    <x v="1911"/>
    <n v="29.11"/>
    <x v="1896"/>
    <x v="4"/>
    <x v="13"/>
    <x v="3"/>
  </r>
  <r>
    <x v="894"/>
    <x v="4"/>
    <x v="5"/>
    <x v="1912"/>
    <n v="277.5"/>
    <x v="1897"/>
    <x v="4"/>
    <x v="11"/>
    <x v="4"/>
  </r>
  <r>
    <x v="895"/>
    <x v="1"/>
    <x v="5"/>
    <x v="1913"/>
    <n v="313.23"/>
    <x v="1898"/>
    <x v="2"/>
    <x v="11"/>
    <x v="0"/>
  </r>
  <r>
    <x v="896"/>
    <x v="2"/>
    <x v="2"/>
    <x v="1914"/>
    <n v="92.62"/>
    <x v="1899"/>
    <x v="1"/>
    <x v="8"/>
    <x v="0"/>
  </r>
  <r>
    <x v="897"/>
    <x v="3"/>
    <x v="3"/>
    <x v="1915"/>
    <n v="13.27"/>
    <x v="1900"/>
    <x v="2"/>
    <x v="4"/>
    <x v="2"/>
  </r>
  <r>
    <x v="898"/>
    <x v="3"/>
    <x v="2"/>
    <x v="1916"/>
    <n v="132.72"/>
    <x v="1901"/>
    <x v="1"/>
    <x v="7"/>
    <x v="1"/>
  </r>
  <r>
    <x v="898"/>
    <x v="2"/>
    <x v="3"/>
    <x v="1917"/>
    <n v="6.07"/>
    <x v="1902"/>
    <x v="0"/>
    <x v="11"/>
    <x v="1"/>
  </r>
  <r>
    <x v="899"/>
    <x v="0"/>
    <x v="0"/>
    <x v="1918"/>
    <n v="400.54"/>
    <x v="1903"/>
    <x v="1"/>
    <x v="3"/>
    <x v="2"/>
  </r>
  <r>
    <x v="899"/>
    <x v="2"/>
    <x v="6"/>
    <x v="1919"/>
    <n v="55.14"/>
    <x v="1904"/>
    <x v="0"/>
    <x v="9"/>
    <x v="3"/>
  </r>
  <r>
    <x v="900"/>
    <x v="4"/>
    <x v="4"/>
    <x v="1920"/>
    <n v="331.47"/>
    <x v="1905"/>
    <x v="0"/>
    <x v="3"/>
    <x v="4"/>
  </r>
  <r>
    <x v="900"/>
    <x v="0"/>
    <x v="4"/>
    <x v="1921"/>
    <n v="134.38999999999999"/>
    <x v="1906"/>
    <x v="4"/>
    <x v="1"/>
    <x v="0"/>
  </r>
  <r>
    <x v="901"/>
    <x v="2"/>
    <x v="3"/>
    <x v="1922"/>
    <n v="5.08"/>
    <x v="1907"/>
    <x v="2"/>
    <x v="14"/>
    <x v="1"/>
  </r>
  <r>
    <x v="902"/>
    <x v="4"/>
    <x v="5"/>
    <x v="1923"/>
    <n v="245.98"/>
    <x v="1908"/>
    <x v="3"/>
    <x v="0"/>
    <x v="4"/>
  </r>
  <r>
    <x v="902"/>
    <x v="1"/>
    <x v="5"/>
    <x v="1924"/>
    <n v="111.16"/>
    <x v="601"/>
    <x v="3"/>
    <x v="9"/>
    <x v="1"/>
  </r>
  <r>
    <x v="902"/>
    <x v="2"/>
    <x v="5"/>
    <x v="1925"/>
    <n v="147.69"/>
    <x v="1909"/>
    <x v="3"/>
    <x v="8"/>
    <x v="2"/>
  </r>
  <r>
    <x v="902"/>
    <x v="1"/>
    <x v="2"/>
    <x v="1926"/>
    <n v="129.29"/>
    <x v="1910"/>
    <x v="0"/>
    <x v="1"/>
    <x v="4"/>
  </r>
  <r>
    <x v="903"/>
    <x v="3"/>
    <x v="4"/>
    <x v="1927"/>
    <n v="330.27"/>
    <x v="1911"/>
    <x v="1"/>
    <x v="14"/>
    <x v="1"/>
  </r>
  <r>
    <x v="903"/>
    <x v="4"/>
    <x v="0"/>
    <x v="1928"/>
    <n v="742.29"/>
    <x v="1912"/>
    <x v="3"/>
    <x v="11"/>
    <x v="4"/>
  </r>
  <r>
    <x v="903"/>
    <x v="3"/>
    <x v="4"/>
    <x v="1929"/>
    <n v="76.900000000000006"/>
    <x v="1913"/>
    <x v="1"/>
    <x v="5"/>
    <x v="5"/>
  </r>
  <r>
    <x v="903"/>
    <x v="4"/>
    <x v="4"/>
    <x v="1930"/>
    <n v="183.55"/>
    <x v="1914"/>
    <x v="4"/>
    <x v="12"/>
    <x v="0"/>
  </r>
  <r>
    <x v="904"/>
    <x v="0"/>
    <x v="2"/>
    <x v="1931"/>
    <n v="121.92"/>
    <x v="1915"/>
    <x v="2"/>
    <x v="1"/>
    <x v="0"/>
  </r>
  <r>
    <x v="905"/>
    <x v="1"/>
    <x v="2"/>
    <x v="1932"/>
    <n v="127.53"/>
    <x v="1916"/>
    <x v="2"/>
    <x v="4"/>
    <x v="3"/>
  </r>
  <r>
    <x v="905"/>
    <x v="4"/>
    <x v="6"/>
    <x v="1933"/>
    <n v="78.69"/>
    <x v="1917"/>
    <x v="2"/>
    <x v="13"/>
    <x v="4"/>
  </r>
  <r>
    <x v="905"/>
    <x v="1"/>
    <x v="4"/>
    <x v="1934"/>
    <n v="223.9"/>
    <x v="1918"/>
    <x v="4"/>
    <x v="13"/>
    <x v="4"/>
  </r>
  <r>
    <x v="905"/>
    <x v="3"/>
    <x v="5"/>
    <x v="1935"/>
    <n v="91.4"/>
    <x v="1919"/>
    <x v="2"/>
    <x v="12"/>
    <x v="4"/>
  </r>
  <r>
    <x v="905"/>
    <x v="0"/>
    <x v="0"/>
    <x v="1936"/>
    <n v="183.5"/>
    <x v="1920"/>
    <x v="0"/>
    <x v="1"/>
    <x v="4"/>
  </r>
  <r>
    <x v="906"/>
    <x v="3"/>
    <x v="0"/>
    <x v="1937"/>
    <n v="395.98"/>
    <x v="1921"/>
    <x v="1"/>
    <x v="7"/>
    <x v="0"/>
  </r>
  <r>
    <x v="906"/>
    <x v="4"/>
    <x v="6"/>
    <x v="1938"/>
    <n v="66.02"/>
    <x v="1922"/>
    <x v="0"/>
    <x v="6"/>
    <x v="5"/>
  </r>
  <r>
    <x v="907"/>
    <x v="2"/>
    <x v="1"/>
    <x v="1939"/>
    <n v="945.77"/>
    <x v="1923"/>
    <x v="1"/>
    <x v="7"/>
    <x v="4"/>
  </r>
  <r>
    <x v="907"/>
    <x v="3"/>
    <x v="6"/>
    <x v="1940"/>
    <n v="56.08"/>
    <x v="1924"/>
    <x v="4"/>
    <x v="3"/>
    <x v="1"/>
  </r>
  <r>
    <x v="907"/>
    <x v="4"/>
    <x v="3"/>
    <x v="1941"/>
    <n v="4.22"/>
    <x v="1925"/>
    <x v="1"/>
    <x v="1"/>
    <x v="1"/>
  </r>
  <r>
    <x v="908"/>
    <x v="4"/>
    <x v="1"/>
    <x v="1942"/>
    <n v="977.75"/>
    <x v="1926"/>
    <x v="3"/>
    <x v="4"/>
    <x v="0"/>
  </r>
  <r>
    <x v="908"/>
    <x v="3"/>
    <x v="0"/>
    <x v="1943"/>
    <n v="433.83"/>
    <x v="1927"/>
    <x v="4"/>
    <x v="5"/>
    <x v="2"/>
  </r>
  <r>
    <x v="908"/>
    <x v="4"/>
    <x v="4"/>
    <x v="1944"/>
    <n v="332.31"/>
    <x v="1928"/>
    <x v="0"/>
    <x v="9"/>
    <x v="3"/>
  </r>
  <r>
    <x v="909"/>
    <x v="1"/>
    <x v="0"/>
    <x v="1945"/>
    <n v="273.69"/>
    <x v="1929"/>
    <x v="2"/>
    <x v="0"/>
    <x v="2"/>
  </r>
  <r>
    <x v="909"/>
    <x v="2"/>
    <x v="2"/>
    <x v="1946"/>
    <n v="90.72"/>
    <x v="1930"/>
    <x v="3"/>
    <x v="9"/>
    <x v="3"/>
  </r>
  <r>
    <x v="909"/>
    <x v="0"/>
    <x v="0"/>
    <x v="1947"/>
    <n v="793.34"/>
    <x v="1931"/>
    <x v="4"/>
    <x v="5"/>
    <x v="2"/>
  </r>
  <r>
    <x v="909"/>
    <x v="4"/>
    <x v="0"/>
    <x v="1948"/>
    <n v="235.11"/>
    <x v="1932"/>
    <x v="1"/>
    <x v="8"/>
    <x v="5"/>
  </r>
  <r>
    <x v="910"/>
    <x v="0"/>
    <x v="1"/>
    <x v="1949"/>
    <n v="982.99"/>
    <x v="1933"/>
    <x v="1"/>
    <x v="5"/>
    <x v="0"/>
  </r>
  <r>
    <x v="911"/>
    <x v="4"/>
    <x v="5"/>
    <x v="1950"/>
    <n v="388.38"/>
    <x v="1934"/>
    <x v="4"/>
    <x v="6"/>
    <x v="3"/>
  </r>
  <r>
    <x v="911"/>
    <x v="3"/>
    <x v="6"/>
    <x v="1951"/>
    <n v="66.22"/>
    <x v="1935"/>
    <x v="2"/>
    <x v="2"/>
    <x v="0"/>
  </r>
  <r>
    <x v="912"/>
    <x v="2"/>
    <x v="1"/>
    <x v="1952"/>
    <n v="816.54"/>
    <x v="1936"/>
    <x v="3"/>
    <x v="5"/>
    <x v="4"/>
  </r>
  <r>
    <x v="913"/>
    <x v="1"/>
    <x v="3"/>
    <x v="1953"/>
    <n v="18.920000000000002"/>
    <x v="1937"/>
    <x v="4"/>
    <x v="7"/>
    <x v="5"/>
  </r>
  <r>
    <x v="913"/>
    <x v="2"/>
    <x v="3"/>
    <x v="1954"/>
    <n v="9.19"/>
    <x v="1938"/>
    <x v="1"/>
    <x v="6"/>
    <x v="4"/>
  </r>
  <r>
    <x v="914"/>
    <x v="1"/>
    <x v="0"/>
    <x v="1955"/>
    <n v="771.94"/>
    <x v="1939"/>
    <x v="4"/>
    <x v="2"/>
    <x v="3"/>
  </r>
  <r>
    <x v="914"/>
    <x v="1"/>
    <x v="2"/>
    <x v="1956"/>
    <n v="117.71"/>
    <x v="1940"/>
    <x v="1"/>
    <x v="5"/>
    <x v="0"/>
  </r>
  <r>
    <x v="915"/>
    <x v="0"/>
    <x v="2"/>
    <x v="1957"/>
    <n v="110.73"/>
    <x v="1941"/>
    <x v="2"/>
    <x v="10"/>
    <x v="5"/>
  </r>
  <r>
    <x v="915"/>
    <x v="3"/>
    <x v="2"/>
    <x v="1958"/>
    <n v="79.2"/>
    <x v="1942"/>
    <x v="1"/>
    <x v="14"/>
    <x v="5"/>
  </r>
  <r>
    <x v="916"/>
    <x v="4"/>
    <x v="2"/>
    <x v="1959"/>
    <n v="123.16"/>
    <x v="1943"/>
    <x v="4"/>
    <x v="8"/>
    <x v="2"/>
  </r>
  <r>
    <x v="917"/>
    <x v="3"/>
    <x v="4"/>
    <x v="1960"/>
    <n v="52.09"/>
    <x v="1944"/>
    <x v="2"/>
    <x v="2"/>
    <x v="0"/>
  </r>
  <r>
    <x v="918"/>
    <x v="3"/>
    <x v="1"/>
    <x v="1961"/>
    <n v="505.14"/>
    <x v="1945"/>
    <x v="4"/>
    <x v="11"/>
    <x v="2"/>
  </r>
  <r>
    <x v="918"/>
    <x v="3"/>
    <x v="2"/>
    <x v="1962"/>
    <n v="119.73"/>
    <x v="1946"/>
    <x v="1"/>
    <x v="4"/>
    <x v="3"/>
  </r>
  <r>
    <x v="919"/>
    <x v="1"/>
    <x v="2"/>
    <x v="1963"/>
    <n v="12.7"/>
    <x v="1947"/>
    <x v="4"/>
    <x v="10"/>
    <x v="2"/>
  </r>
  <r>
    <x v="919"/>
    <x v="4"/>
    <x v="6"/>
    <x v="1964"/>
    <n v="78.010000000000005"/>
    <x v="1948"/>
    <x v="0"/>
    <x v="3"/>
    <x v="2"/>
  </r>
  <r>
    <x v="919"/>
    <x v="4"/>
    <x v="0"/>
    <x v="1965"/>
    <n v="515.04"/>
    <x v="1949"/>
    <x v="3"/>
    <x v="2"/>
    <x v="5"/>
  </r>
  <r>
    <x v="920"/>
    <x v="2"/>
    <x v="3"/>
    <x v="1966"/>
    <n v="8.92"/>
    <x v="1950"/>
    <x v="3"/>
    <x v="14"/>
    <x v="5"/>
  </r>
  <r>
    <x v="921"/>
    <x v="4"/>
    <x v="1"/>
    <x v="1967"/>
    <n v="517.41"/>
    <x v="1951"/>
    <x v="0"/>
    <x v="12"/>
    <x v="0"/>
  </r>
  <r>
    <x v="921"/>
    <x v="1"/>
    <x v="3"/>
    <x v="1968"/>
    <n v="30.74"/>
    <x v="1952"/>
    <x v="3"/>
    <x v="14"/>
    <x v="3"/>
  </r>
  <r>
    <x v="921"/>
    <x v="1"/>
    <x v="0"/>
    <x v="1969"/>
    <n v="77.16"/>
    <x v="1953"/>
    <x v="2"/>
    <x v="12"/>
    <x v="1"/>
  </r>
  <r>
    <x v="921"/>
    <x v="3"/>
    <x v="6"/>
    <x v="1970"/>
    <n v="38.29"/>
    <x v="1954"/>
    <x v="3"/>
    <x v="1"/>
    <x v="3"/>
  </r>
  <r>
    <x v="921"/>
    <x v="3"/>
    <x v="1"/>
    <x v="1971"/>
    <n v="522.58000000000004"/>
    <x v="1955"/>
    <x v="4"/>
    <x v="4"/>
    <x v="2"/>
  </r>
  <r>
    <x v="922"/>
    <x v="2"/>
    <x v="1"/>
    <x v="1972"/>
    <n v="570.92999999999995"/>
    <x v="1956"/>
    <x v="4"/>
    <x v="8"/>
    <x v="5"/>
  </r>
  <r>
    <x v="922"/>
    <x v="1"/>
    <x v="1"/>
    <x v="1973"/>
    <n v="447.61"/>
    <x v="1957"/>
    <x v="3"/>
    <x v="6"/>
    <x v="3"/>
  </r>
  <r>
    <x v="923"/>
    <x v="4"/>
    <x v="6"/>
    <x v="1974"/>
    <n v="8.0399999999999991"/>
    <x v="1958"/>
    <x v="1"/>
    <x v="14"/>
    <x v="2"/>
  </r>
  <r>
    <x v="923"/>
    <x v="4"/>
    <x v="5"/>
    <x v="1975"/>
    <n v="377.81"/>
    <x v="1959"/>
    <x v="2"/>
    <x v="2"/>
    <x v="0"/>
  </r>
  <r>
    <x v="923"/>
    <x v="2"/>
    <x v="6"/>
    <x v="1976"/>
    <n v="79.88"/>
    <x v="1960"/>
    <x v="3"/>
    <x v="1"/>
    <x v="0"/>
  </r>
  <r>
    <x v="923"/>
    <x v="1"/>
    <x v="5"/>
    <x v="1977"/>
    <n v="268.82"/>
    <x v="1961"/>
    <x v="1"/>
    <x v="4"/>
    <x v="4"/>
  </r>
  <r>
    <x v="923"/>
    <x v="1"/>
    <x v="5"/>
    <x v="1978"/>
    <n v="434.61"/>
    <x v="1962"/>
    <x v="1"/>
    <x v="7"/>
    <x v="4"/>
  </r>
  <r>
    <x v="924"/>
    <x v="1"/>
    <x v="6"/>
    <x v="1979"/>
    <n v="60.36"/>
    <x v="1427"/>
    <x v="0"/>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8D4F3E-5C0F-4BCC-A4DA-73FB44B086EF}"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26:G27"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dataField="1" showAll="0"/>
    <pivotField showAll="0"/>
    <pivotField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Min of Sales" fld="3" subtotal="min" baseField="0" baseItem="725715251"/>
  </dataFields>
  <formats count="4">
    <format dxfId="3">
      <pivotArea outline="0" collapsedLevelsAreSubtotals="1"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CCB41-B3DB-4D36-97C2-255A669C6511}"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1:B19" firstHeaderRow="1" firstDataRow="1" firstDataCol="1"/>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axis="axisRow" showAll="0">
      <items count="8">
        <item x="2"/>
        <item x="5"/>
        <item x="3"/>
        <item x="1"/>
        <item x="4"/>
        <item x="6"/>
        <item x="0"/>
        <item t="default"/>
      </items>
    </pivotField>
    <pivotField showAll="0"/>
    <pivotField showAll="0"/>
    <pivotField dataField="1" showAll="0"/>
    <pivotField showAll="0">
      <items count="6">
        <item x="4"/>
        <item x="2"/>
        <item x="3"/>
        <item x="1"/>
        <item x="0"/>
        <item t="default"/>
      </items>
    </pivotField>
    <pivotField showAll="0"/>
    <pivotField showAll="0">
      <items count="7">
        <item x="3"/>
        <item x="2"/>
        <item x="0"/>
        <item x="4"/>
        <item x="1"/>
        <item x="5"/>
        <item t="default"/>
      </items>
    </pivotField>
  </pivotFields>
  <rowFields count="1">
    <field x="2"/>
  </rowFields>
  <rowItems count="8">
    <i>
      <x/>
    </i>
    <i>
      <x v="1"/>
    </i>
    <i>
      <x v="2"/>
    </i>
    <i>
      <x v="3"/>
    </i>
    <i>
      <x v="4"/>
    </i>
    <i>
      <x v="5"/>
    </i>
    <i>
      <x v="6"/>
    </i>
    <i t="grand">
      <x/>
    </i>
  </rowItems>
  <colItems count="1">
    <i/>
  </colItems>
  <dataFields count="1">
    <dataField name="Sum of Profit" fld="5" baseField="0" baseItem="0" numFmtId="164"/>
  </dataFields>
  <formats count="10">
    <format dxfId="13">
      <pivotArea collapsedLevelsAreSubtotals="1" fieldPosition="0">
        <references count="1">
          <reference field="2" count="1">
            <x v="3"/>
          </reference>
        </references>
      </pivotArea>
    </format>
    <format dxfId="12">
      <pivotArea dataOnly="0" labelOnly="1" fieldPosition="0">
        <references count="1">
          <reference field="2" count="1">
            <x v="3"/>
          </reference>
        </references>
      </pivotArea>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outline="0" collapsedLevelsAreSubtotals="1" fieldPosition="0"/>
    </format>
    <format dxfId="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63CAD0-A9A3-4407-97FB-8E7CC74AFB41}"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3:I24"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showAll="0"/>
    <pivotField showAll="0"/>
    <pivotField dataField="1"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Sum of Profit" fld="5" baseField="0" baseItem="0" numFmtId="166"/>
  </dataFields>
  <formats count="5">
    <format dxfId="18">
      <pivotArea outline="0" collapsedLevelsAreSubtotals="1"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969B7E-E708-448F-BA82-07F494217756}"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0:I21"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showAll="0"/>
    <pivotField showAll="0"/>
    <pivotField dataField="1"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Max of Profit" fld="5" subtotal="max" baseField="0" baseItem="248" numFmtId="165"/>
  </dataFields>
  <formats count="5">
    <format dxfId="23">
      <pivotArea outline="0" collapsedLevelsAreSubtotals="1"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4427D1-E205-498A-883D-46ED7EEFBEA6}"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2:I13"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dataField="1" showAll="0">
      <items count="1981">
        <item x="719"/>
        <item x="1749"/>
        <item x="1810"/>
        <item x="1814"/>
        <item x="189"/>
        <item x="1468"/>
        <item x="1272"/>
        <item x="398"/>
        <item x="1167"/>
        <item x="336"/>
        <item x="1151"/>
        <item x="464"/>
        <item x="289"/>
        <item x="894"/>
        <item x="1409"/>
        <item x="1675"/>
        <item x="1422"/>
        <item x="932"/>
        <item x="1767"/>
        <item x="236"/>
        <item x="1536"/>
        <item x="1780"/>
        <item x="888"/>
        <item x="816"/>
        <item x="108"/>
        <item x="1775"/>
        <item x="318"/>
        <item x="1941"/>
        <item x="629"/>
        <item x="1922"/>
        <item x="1643"/>
        <item x="853"/>
        <item x="1319"/>
        <item x="548"/>
        <item x="828"/>
        <item x="866"/>
        <item x="1603"/>
        <item x="1087"/>
        <item x="1635"/>
        <item x="538"/>
        <item x="1580"/>
        <item x="1475"/>
        <item x="392"/>
        <item x="286"/>
        <item x="1044"/>
        <item x="1917"/>
        <item x="616"/>
        <item x="1391"/>
        <item x="152"/>
        <item x="413"/>
        <item x="1633"/>
        <item x="1329"/>
        <item x="1639"/>
        <item x="178"/>
        <item x="815"/>
        <item x="1548"/>
        <item x="327"/>
        <item x="419"/>
        <item x="146"/>
        <item x="1629"/>
        <item x="1605"/>
        <item x="1517"/>
        <item x="1392"/>
        <item x="934"/>
        <item x="386"/>
        <item x="900"/>
        <item x="1566"/>
        <item x="1709"/>
        <item x="957"/>
        <item x="1963"/>
        <item x="766"/>
        <item x="131"/>
        <item x="697"/>
        <item x="404"/>
        <item x="821"/>
        <item x="628"/>
        <item x="1852"/>
        <item x="1954"/>
        <item x="688"/>
        <item x="1117"/>
        <item x="772"/>
        <item x="1060"/>
        <item x="313"/>
        <item x="1653"/>
        <item x="1974"/>
        <item x="1493"/>
        <item x="1143"/>
        <item x="1209"/>
        <item x="1124"/>
        <item x="1824"/>
        <item x="999"/>
        <item x="1638"/>
        <item x="75"/>
        <item x="369"/>
        <item x="1689"/>
        <item x="113"/>
        <item x="1609"/>
        <item x="1618"/>
        <item x="16"/>
        <item x="1647"/>
        <item x="623"/>
        <item x="675"/>
        <item x="430"/>
        <item x="677"/>
        <item x="115"/>
        <item x="1606"/>
        <item x="1966"/>
        <item x="946"/>
        <item x="467"/>
        <item x="1271"/>
        <item x="1685"/>
        <item x="1617"/>
        <item x="49"/>
        <item x="696"/>
        <item x="798"/>
        <item x="1791"/>
        <item x="1399"/>
        <item x="60"/>
        <item x="1860"/>
        <item x="819"/>
        <item x="1849"/>
        <item x="1612"/>
        <item x="177"/>
        <item x="1579"/>
        <item x="1118"/>
        <item x="1112"/>
        <item x="622"/>
        <item x="813"/>
        <item x="1683"/>
        <item x="954"/>
        <item x="1706"/>
        <item x="171"/>
        <item x="687"/>
        <item x="155"/>
        <item x="1401"/>
        <item x="1805"/>
        <item x="1829"/>
        <item x="871"/>
        <item x="1434"/>
        <item x="119"/>
        <item x="726"/>
        <item x="89"/>
        <item x="166"/>
        <item x="1619"/>
        <item x="1252"/>
        <item x="1343"/>
        <item x="1682"/>
        <item x="235"/>
        <item x="833"/>
        <item x="1408"/>
        <item x="659"/>
        <item x="485"/>
        <item x="1526"/>
        <item x="102"/>
        <item x="1656"/>
        <item x="480"/>
        <item x="1832"/>
        <item x="1755"/>
        <item x="298"/>
        <item x="1719"/>
        <item x="1915"/>
        <item x="790"/>
        <item x="742"/>
        <item x="1049"/>
        <item x="134"/>
        <item x="301"/>
        <item x="444"/>
        <item x="383"/>
        <item x="666"/>
        <item x="913"/>
        <item x="190"/>
        <item x="1898"/>
        <item x="261"/>
        <item x="65"/>
        <item x="1165"/>
        <item x="727"/>
        <item x="1865"/>
        <item x="1523"/>
        <item x="479"/>
        <item x="1953"/>
        <item x="1076"/>
        <item x="581"/>
        <item x="355"/>
        <item x="1825"/>
        <item x="310"/>
        <item x="240"/>
        <item x="287"/>
        <item x="721"/>
        <item x="188"/>
        <item x="645"/>
        <item x="1750"/>
        <item x="448"/>
        <item x="1718"/>
        <item x="1086"/>
        <item x="93"/>
        <item x="1128"/>
        <item x="1768"/>
        <item x="650"/>
        <item x="1896"/>
        <item x="1704"/>
        <item x="1260"/>
        <item x="1584"/>
        <item x="492"/>
        <item x="638"/>
        <item x="1818"/>
        <item x="561"/>
        <item x="1007"/>
        <item x="1310"/>
        <item x="237"/>
        <item x="533"/>
        <item x="18"/>
        <item x="907"/>
        <item x="416"/>
        <item x="457"/>
        <item x="804"/>
        <item x="6"/>
        <item x="590"/>
        <item x="702"/>
        <item x="32"/>
        <item x="1900"/>
        <item x="764"/>
        <item x="947"/>
        <item x="1149"/>
        <item x="1031"/>
        <item x="1204"/>
        <item x="918"/>
        <item x="1599"/>
        <item x="255"/>
        <item x="472"/>
        <item x="1304"/>
        <item x="800"/>
        <item x="1651"/>
        <item x="1405"/>
        <item x="1256"/>
        <item x="1838"/>
        <item x="1836"/>
        <item x="690"/>
        <item x="1230"/>
        <item x="1023"/>
        <item x="245"/>
        <item x="1561"/>
        <item x="494"/>
        <item x="1552"/>
        <item x="732"/>
        <item x="506"/>
        <item x="133"/>
        <item x="836"/>
        <item x="1428"/>
        <item x="842"/>
        <item x="362"/>
        <item x="259"/>
        <item x="1417"/>
        <item x="461"/>
        <item x="1387"/>
        <item x="1178"/>
        <item x="1316"/>
        <item x="574"/>
        <item x="258"/>
        <item x="1354"/>
        <item x="1696"/>
        <item x="975"/>
        <item x="1876"/>
        <item x="1674"/>
        <item x="1438"/>
        <item x="1848"/>
        <item x="1181"/>
        <item x="873"/>
        <item x="710"/>
        <item x="1513"/>
        <item x="914"/>
        <item x="771"/>
        <item x="1623"/>
        <item x="1469"/>
        <item x="226"/>
        <item x="1136"/>
        <item x="557"/>
        <item x="685"/>
        <item x="117"/>
        <item x="59"/>
        <item x="458"/>
        <item x="640"/>
        <item x="109"/>
        <item x="542"/>
        <item x="394"/>
        <item x="186"/>
        <item x="1712"/>
        <item x="1199"/>
        <item x="593"/>
        <item x="218"/>
        <item x="1872"/>
        <item x="1289"/>
        <item x="376"/>
        <item x="1116"/>
        <item x="1220"/>
        <item x="536"/>
        <item x="1518"/>
        <item x="509"/>
        <item x="1372"/>
        <item x="1082"/>
        <item x="167"/>
        <item x="215"/>
        <item x="1644"/>
        <item x="1564"/>
        <item x="520"/>
        <item x="1470"/>
        <item x="552"/>
        <item x="1185"/>
        <item x="1716"/>
        <item x="1198"/>
        <item x="1662"/>
        <item x="1455"/>
        <item x="1816"/>
        <item x="1427"/>
        <item x="391"/>
        <item x="776"/>
        <item x="78"/>
        <item x="351"/>
        <item x="1398"/>
        <item x="100"/>
        <item x="1171"/>
        <item x="998"/>
        <item x="879"/>
        <item x="246"/>
        <item x="1358"/>
        <item x="847"/>
        <item x="1418"/>
        <item x="1669"/>
        <item x="272"/>
        <item x="1473"/>
        <item x="1808"/>
        <item x="1292"/>
        <item x="1334"/>
        <item x="1355"/>
        <item x="367"/>
        <item x="80"/>
        <item x="267"/>
        <item x="991"/>
        <item x="315"/>
        <item x="775"/>
        <item x="1834"/>
        <item x="661"/>
        <item x="1465"/>
        <item x="720"/>
        <item x="523"/>
        <item x="1807"/>
        <item x="238"/>
        <item x="1844"/>
        <item x="1968"/>
        <item x="525"/>
        <item x="439"/>
        <item x="230"/>
        <item x="321"/>
        <item x="1037"/>
        <item x="1111"/>
        <item x="300"/>
        <item x="1508"/>
        <item x="1264"/>
        <item x="1487"/>
        <item x="1522"/>
        <item x="1373"/>
        <item x="1857"/>
        <item x="1598"/>
        <item x="478"/>
        <item x="583"/>
        <item x="1404"/>
        <item x="1241"/>
        <item x="1472"/>
        <item x="1370"/>
        <item x="424"/>
        <item x="1910"/>
        <item x="504"/>
        <item x="1440"/>
        <item x="535"/>
        <item x="274"/>
        <item x="575"/>
        <item x="1788"/>
        <item x="1611"/>
        <item x="767"/>
        <item x="986"/>
        <item x="1692"/>
        <item x="1257"/>
        <item x="1586"/>
        <item x="895"/>
        <item x="632"/>
        <item x="596"/>
        <item x="1480"/>
        <item x="618"/>
        <item x="1911"/>
        <item x="522"/>
        <item x="615"/>
        <item x="150"/>
        <item x="598"/>
        <item x="1730"/>
        <item x="626"/>
        <item x="1218"/>
        <item x="1088"/>
        <item x="254"/>
        <item x="1771"/>
        <item x="540"/>
        <item x="154"/>
        <item x="652"/>
        <item x="1970"/>
        <item x="1384"/>
        <item x="559"/>
        <item x="1120"/>
        <item x="311"/>
        <item x="201"/>
        <item x="1196"/>
        <item x="1071"/>
        <item x="293"/>
        <item x="555"/>
        <item x="1107"/>
        <item x="911"/>
        <item x="1064"/>
        <item x="1299"/>
        <item x="1591"/>
        <item x="1235"/>
        <item x="1140"/>
        <item x="753"/>
        <item x="699"/>
        <item x="196"/>
        <item x="79"/>
        <item x="405"/>
        <item x="1442"/>
        <item x="1129"/>
        <item x="1585"/>
        <item x="1770"/>
        <item x="396"/>
        <item x="283"/>
        <item x="1886"/>
        <item x="1315"/>
        <item x="1467"/>
        <item x="1466"/>
        <item x="1722"/>
        <item x="1410"/>
        <item x="357"/>
        <item x="1874"/>
        <item x="761"/>
        <item x="532"/>
        <item x="1621"/>
        <item x="491"/>
        <item x="82"/>
        <item x="1382"/>
        <item x="1782"/>
        <item x="1851"/>
        <item x="1862"/>
        <item x="974"/>
        <item x="58"/>
        <item x="1789"/>
        <item x="1335"/>
        <item x="284"/>
        <item x="294"/>
        <item x="91"/>
        <item x="754"/>
        <item x="769"/>
        <item x="1632"/>
        <item x="306"/>
        <item x="768"/>
        <item x="1097"/>
        <item x="637"/>
        <item x="614"/>
        <item x="1160"/>
        <item x="1200"/>
        <item x="27"/>
        <item x="1369"/>
        <item x="777"/>
        <item x="257"/>
        <item x="770"/>
        <item x="1419"/>
        <item x="1726"/>
        <item x="1895"/>
        <item x="1545"/>
        <item x="1960"/>
        <item x="944"/>
        <item x="793"/>
        <item x="145"/>
        <item x="1753"/>
        <item x="1328"/>
        <item x="482"/>
        <item x="1010"/>
        <item x="689"/>
        <item x="1080"/>
        <item x="1868"/>
        <item x="1306"/>
        <item x="488"/>
        <item x="562"/>
        <item x="320"/>
        <item x="205"/>
        <item x="345"/>
        <item x="1332"/>
        <item x="1571"/>
        <item x="252"/>
        <item x="843"/>
        <item x="1813"/>
        <item x="1441"/>
        <item x="698"/>
        <item x="1589"/>
        <item x="1919"/>
        <item x="1648"/>
        <item x="1640"/>
        <item x="1894"/>
        <item x="644"/>
        <item x="1356"/>
        <item x="1688"/>
        <item x="1786"/>
        <item x="50"/>
        <item x="1888"/>
        <item x="1099"/>
        <item x="794"/>
        <item x="1013"/>
        <item x="1021"/>
        <item x="1785"/>
        <item x="513"/>
        <item x="1792"/>
        <item x="905"/>
        <item x="1445"/>
        <item x="703"/>
        <item x="521"/>
        <item x="655"/>
        <item x="352"/>
        <item x="1592"/>
        <item x="811"/>
        <item x="1184"/>
        <item x="270"/>
        <item x="317"/>
        <item x="410"/>
        <item x="1226"/>
        <item x="1175"/>
        <item x="1137"/>
        <item x="1969"/>
        <item x="723"/>
        <item x="814"/>
        <item x="214"/>
        <item x="343"/>
        <item x="824"/>
        <item x="1831"/>
        <item x="1626"/>
        <item x="681"/>
        <item x="1701"/>
        <item x="253"/>
        <item x="339"/>
        <item x="565"/>
        <item x="1389"/>
        <item x="1596"/>
        <item x="344"/>
        <item x="1277"/>
        <item x="893"/>
        <item x="1365"/>
        <item x="779"/>
        <item x="989"/>
        <item x="1443"/>
        <item x="886"/>
        <item x="1219"/>
        <item x="1282"/>
        <item x="1512"/>
        <item x="414"/>
        <item x="1456"/>
        <item x="1871"/>
        <item x="1158"/>
        <item x="243"/>
        <item x="543"/>
        <item x="1091"/>
        <item x="1144"/>
        <item x="1083"/>
        <item x="642"/>
        <item x="635"/>
        <item x="594"/>
        <item x="219"/>
        <item x="1432"/>
        <item x="1505"/>
        <item x="751"/>
        <item x="1703"/>
        <item x="380"/>
        <item x="746"/>
        <item x="985"/>
        <item x="778"/>
        <item x="97"/>
        <item x="854"/>
        <item x="660"/>
        <item x="1595"/>
        <item x="232"/>
        <item x="1646"/>
        <item x="1054"/>
        <item x="920"/>
        <item x="885"/>
        <item x="595"/>
        <item x="1152"/>
        <item x="605"/>
        <item x="174"/>
        <item x="1819"/>
        <item x="1073"/>
        <item x="939"/>
        <item x="1103"/>
        <item x="1092"/>
        <item x="277"/>
        <item x="1025"/>
        <item x="718"/>
        <item x="1368"/>
        <item x="42"/>
        <item x="1001"/>
        <item x="53"/>
        <item x="470"/>
        <item x="910"/>
        <item x="5"/>
        <item x="1484"/>
        <item x="611"/>
        <item x="161"/>
        <item x="501"/>
        <item x="417"/>
        <item x="12"/>
        <item x="714"/>
        <item x="653"/>
        <item x="1519"/>
        <item x="104"/>
        <item x="1313"/>
        <item x="534"/>
        <item x="858"/>
        <item x="432"/>
        <item x="1114"/>
        <item x="84"/>
        <item x="1321"/>
        <item x="475"/>
        <item x="925"/>
        <item x="760"/>
        <item x="933"/>
        <item x="1048"/>
        <item x="1774"/>
        <item x="1864"/>
        <item x="1728"/>
        <item x="1265"/>
        <item x="1288"/>
        <item x="1020"/>
        <item x="502"/>
        <item x="1051"/>
        <item x="43"/>
        <item x="958"/>
        <item x="1043"/>
        <item x="1569"/>
        <item x="874"/>
        <item x="1883"/>
        <item x="725"/>
        <item x="694"/>
        <item x="20"/>
        <item x="1155"/>
        <item x="1439"/>
        <item x="500"/>
        <item x="1008"/>
        <item x="834"/>
        <item x="1889"/>
        <item x="197"/>
        <item x="1323"/>
        <item x="1958"/>
        <item x="279"/>
        <item x="510"/>
        <item x="1435"/>
        <item x="165"/>
        <item x="959"/>
        <item x="1383"/>
        <item x="1177"/>
        <item x="1525"/>
        <item x="1796"/>
        <item x="528"/>
        <item x="1388"/>
        <item x="1191"/>
        <item x="1240"/>
        <item x="1337"/>
        <item x="4"/>
        <item x="808"/>
        <item x="244"/>
        <item x="1172"/>
        <item x="1901"/>
        <item x="1090"/>
        <item x="114"/>
        <item x="1546"/>
        <item x="1693"/>
        <item x="1452"/>
        <item x="1156"/>
        <item x="199"/>
        <item x="646"/>
        <item x="817"/>
        <item x="1666"/>
        <item x="938"/>
        <item x="780"/>
        <item x="931"/>
        <item x="233"/>
        <item x="1573"/>
        <item x="465"/>
        <item x="837"/>
        <item x="1169"/>
        <item x="349"/>
        <item x="1650"/>
        <item x="791"/>
        <item x="1108"/>
        <item x="990"/>
        <item x="1138"/>
        <item x="849"/>
        <item x="1042"/>
        <item x="433"/>
        <item x="1957"/>
        <item x="31"/>
        <item x="1233"/>
        <item x="456"/>
        <item x="1678"/>
        <item x="249"/>
        <item x="1378"/>
        <item x="1386"/>
        <item x="1033"/>
        <item x="1153"/>
        <item x="949"/>
        <item x="537"/>
        <item x="1324"/>
        <item x="1"/>
        <item x="322"/>
        <item x="1066"/>
        <item x="443"/>
        <item x="1558"/>
        <item x="550"/>
        <item x="203"/>
        <item x="1951"/>
        <item x="1352"/>
        <item x="1602"/>
        <item x="1447"/>
        <item x="1809"/>
        <item x="941"/>
        <item x="268"/>
        <item x="266"/>
        <item x="1699"/>
        <item x="1946"/>
        <item x="1516"/>
        <item x="299"/>
        <item x="1333"/>
        <item x="1524"/>
        <item x="1350"/>
        <item x="81"/>
        <item x="1307"/>
        <item x="1349"/>
        <item x="248"/>
        <item x="1499"/>
        <item x="1890"/>
        <item x="1902"/>
        <item x="864"/>
        <item x="290"/>
        <item x="1979"/>
        <item x="1342"/>
        <item x="1842"/>
        <item x="862"/>
        <item x="92"/>
        <item x="1273"/>
        <item x="1806"/>
        <item x="1367"/>
        <item x="1159"/>
        <item x="831"/>
        <item x="1202"/>
        <item x="1285"/>
        <item x="1529"/>
        <item x="1938"/>
        <item x="1555"/>
        <item x="1500"/>
        <item x="740"/>
        <item x="1738"/>
        <item x="1279"/>
        <item x="1940"/>
        <item x="1142"/>
        <item x="1758"/>
        <item x="1134"/>
        <item x="35"/>
        <item x="71"/>
        <item x="1929"/>
        <item x="273"/>
        <item x="1658"/>
        <item x="948"/>
        <item x="1899"/>
        <item x="1353"/>
        <item x="1261"/>
        <item x="462"/>
        <item x="483"/>
        <item x="1294"/>
        <item x="333"/>
        <item x="402"/>
        <item x="940"/>
        <item x="1622"/>
        <item x="755"/>
        <item x="198"/>
        <item x="1828"/>
        <item x="1914"/>
        <item x="912"/>
        <item x="909"/>
        <item x="672"/>
        <item x="1826"/>
        <item x="454"/>
        <item x="544"/>
        <item x="427"/>
        <item x="903"/>
        <item x="1916"/>
        <item x="459"/>
        <item x="1314"/>
        <item x="869"/>
        <item x="1395"/>
        <item x="845"/>
        <item x="1213"/>
        <item x="1534"/>
        <item x="94"/>
        <item x="1415"/>
        <item x="1150"/>
        <item x="1873"/>
        <item x="304"/>
        <item x="1720"/>
        <item x="62"/>
        <item x="1119"/>
        <item x="1311"/>
        <item x="1223"/>
        <item x="1597"/>
        <item x="514"/>
        <item x="202"/>
        <item x="1326"/>
        <item x="1754"/>
        <item x="1543"/>
        <item x="601"/>
        <item x="606"/>
        <item x="195"/>
        <item x="1266"/>
        <item x="1122"/>
        <item x="1168"/>
        <item x="1364"/>
        <item x="1436"/>
        <item x="1174"/>
        <item x="1291"/>
        <item x="1035"/>
        <item x="123"/>
        <item x="1892"/>
        <item x="878"/>
        <item x="227"/>
        <item x="822"/>
        <item x="1063"/>
        <item x="744"/>
        <item x="625"/>
        <item x="1933"/>
        <item x="1457"/>
        <item x="1556"/>
        <item x="390"/>
        <item x="1707"/>
        <item x="1964"/>
        <item x="1909"/>
        <item x="228"/>
        <item x="1800"/>
        <item x="73"/>
        <item x="1731"/>
        <item x="1748"/>
        <item x="830"/>
        <item x="554"/>
        <item x="425"/>
        <item x="324"/>
        <item x="30"/>
        <item x="285"/>
        <item x="1601"/>
        <item x="1320"/>
        <item x="1022"/>
        <item x="1904"/>
        <item x="332"/>
        <item x="0"/>
        <item x="83"/>
        <item x="61"/>
        <item x="1530"/>
        <item x="1197"/>
        <item x="403"/>
        <item x="121"/>
        <item x="541"/>
        <item x="365"/>
        <item x="1547"/>
        <item x="680"/>
        <item x="1887"/>
        <item x="338"/>
        <item x="335"/>
        <item x="1772"/>
        <item x="28"/>
        <item x="1542"/>
        <item x="1394"/>
        <item x="955"/>
        <item x="1287"/>
        <item x="1740"/>
        <item x="1154"/>
        <item x="1507"/>
        <item x="363"/>
        <item x="810"/>
        <item x="1305"/>
        <item x="662"/>
        <item x="342"/>
        <item x="639"/>
        <item x="1733"/>
        <item x="1820"/>
        <item x="619"/>
        <item x="455"/>
        <item x="567"/>
        <item x="641"/>
        <item x="1551"/>
        <item x="735"/>
        <item x="952"/>
        <item x="1423"/>
        <item x="868"/>
        <item x="1540"/>
        <item x="296"/>
        <item x="1074"/>
        <item x="802"/>
        <item x="1907"/>
        <item x="63"/>
        <item x="692"/>
        <item x="1462"/>
        <item x="839"/>
        <item x="1735"/>
        <item x="1186"/>
        <item x="1338"/>
        <item x="125"/>
        <item x="1018"/>
        <item x="1478"/>
        <item x="1102"/>
        <item x="98"/>
        <item x="1446"/>
        <item x="1121"/>
        <item x="743"/>
        <item x="180"/>
        <item x="1176"/>
        <item x="1613"/>
        <item x="708"/>
        <item x="74"/>
        <item x="691"/>
        <item x="902"/>
        <item x="624"/>
        <item x="1402"/>
        <item x="1298"/>
        <item x="135"/>
        <item x="599"/>
        <item x="281"/>
        <item x="1776"/>
        <item x="1515"/>
        <item x="1956"/>
        <item x="1426"/>
        <item x="1183"/>
        <item x="1357"/>
        <item x="360"/>
        <item x="1661"/>
        <item x="1694"/>
        <item x="435"/>
        <item x="1295"/>
        <item x="51"/>
        <item x="1976"/>
        <item x="446"/>
        <item x="1461"/>
        <item x="1238"/>
        <item x="110"/>
        <item x="1924"/>
        <item x="1627"/>
        <item x="183"/>
        <item x="490"/>
        <item x="569"/>
        <item x="848"/>
        <item x="592"/>
        <item x="1002"/>
        <item x="563"/>
        <item x="1962"/>
        <item x="517"/>
        <item x="107"/>
        <item x="1736"/>
        <item x="707"/>
        <item x="72"/>
        <item x="1881"/>
        <item x="316"/>
        <item x="1690"/>
        <item x="407"/>
        <item x="1732"/>
        <item x="516"/>
        <item x="1501"/>
        <item x="211"/>
        <item x="709"/>
        <item x="421"/>
        <item x="823"/>
        <item x="969"/>
        <item x="412"/>
        <item x="980"/>
        <item x="142"/>
        <item x="1028"/>
        <item x="1385"/>
        <item x="1906"/>
        <item x="132"/>
        <item x="1959"/>
        <item x="340"/>
        <item x="436"/>
        <item x="1926"/>
        <item x="149"/>
        <item x="1655"/>
        <item x="1431"/>
        <item x="1014"/>
        <item x="1560"/>
        <item x="1935"/>
        <item x="978"/>
        <item x="1795"/>
        <item x="1797"/>
        <item x="68"/>
        <item x="346"/>
        <item x="1276"/>
        <item x="785"/>
        <item x="759"/>
        <item x="1634"/>
        <item x="1247"/>
        <item x="734"/>
        <item x="589"/>
        <item x="341"/>
        <item x="1594"/>
        <item x="1188"/>
        <item x="95"/>
        <item x="489"/>
        <item x="385"/>
        <item x="1641"/>
        <item x="8"/>
        <item x="1239"/>
        <item x="1017"/>
        <item x="1936"/>
        <item x="1109"/>
        <item x="1672"/>
        <item x="1344"/>
        <item x="1891"/>
        <item x="1714"/>
        <item x="366"/>
        <item x="898"/>
        <item x="648"/>
        <item x="1932"/>
        <item x="371"/>
        <item x="1734"/>
        <item x="474"/>
        <item x="280"/>
        <item x="564"/>
        <item x="965"/>
        <item x="1411"/>
        <item x="1084"/>
        <item x="256"/>
        <item x="1016"/>
        <item x="262"/>
        <item x="172"/>
        <item x="1347"/>
        <item x="1474"/>
        <item x="103"/>
        <item x="979"/>
        <item x="314"/>
        <item x="981"/>
        <item x="1839"/>
        <item x="1793"/>
        <item x="67"/>
        <item x="278"/>
        <item x="1850"/>
        <item x="497"/>
        <item x="901"/>
        <item x="1477"/>
        <item x="713"/>
        <item x="1161"/>
        <item x="159"/>
        <item x="216"/>
        <item x="130"/>
        <item x="1412"/>
        <item x="1925"/>
        <item x="531"/>
        <item x="665"/>
        <item x="1283"/>
        <item x="1757"/>
        <item x="1205"/>
        <item x="1624"/>
        <item x="1511"/>
        <item x="1766"/>
        <item x="264"/>
        <item x="1377"/>
        <item x="1297"/>
        <item x="330"/>
        <item x="128"/>
        <item x="1123"/>
        <item x="420"/>
        <item x="1521"/>
        <item x="795"/>
        <item x="1817"/>
        <item x="634"/>
        <item x="54"/>
        <item x="1403"/>
        <item x="883"/>
        <item x="1798"/>
        <item x="1787"/>
        <item x="381"/>
        <item x="1721"/>
        <item x="1504"/>
        <item x="1433"/>
        <item x="1610"/>
        <item x="231"/>
        <item x="170"/>
        <item x="144"/>
        <item x="1614"/>
        <item x="224"/>
        <item x="663"/>
        <item x="1458"/>
        <item x="64"/>
        <item x="797"/>
        <item x="1263"/>
        <item x="1449"/>
        <item x="1745"/>
        <item x="1250"/>
        <item x="428"/>
        <item x="1908"/>
        <item x="156"/>
        <item x="889"/>
        <item x="1259"/>
        <item x="1762"/>
        <item x="1192"/>
        <item x="1180"/>
        <item x="120"/>
        <item x="1453"/>
        <item x="325"/>
        <item x="1931"/>
        <item x="1203"/>
        <item x="935"/>
        <item x="468"/>
        <item x="370"/>
        <item x="1270"/>
        <item x="382"/>
        <item x="551"/>
        <item x="1421"/>
        <item x="247"/>
        <item x="1094"/>
        <item x="667"/>
        <item x="1000"/>
        <item x="1375"/>
        <item x="41"/>
        <item x="1424"/>
        <item x="1867"/>
        <item x="1026"/>
        <item x="1877"/>
        <item x="526"/>
        <item x="783"/>
        <item x="631"/>
        <item x="129"/>
        <item x="1309"/>
        <item x="1359"/>
        <item x="1671"/>
        <item x="1572"/>
        <item x="1162"/>
        <item x="19"/>
        <item x="122"/>
        <item x="1869"/>
        <item x="395"/>
        <item x="1210"/>
        <item x="573"/>
        <item x="331"/>
        <item x="399"/>
        <item x="96"/>
        <item x="1038"/>
        <item x="105"/>
        <item x="1459"/>
        <item x="471"/>
        <item x="529"/>
        <item x="1067"/>
        <item x="1821"/>
        <item x="1236"/>
        <item x="375"/>
        <item x="1255"/>
        <item x="1062"/>
        <item x="429"/>
        <item x="1870"/>
        <item x="1217"/>
        <item x="1520"/>
        <item x="242"/>
        <item x="1318"/>
        <item x="1237"/>
        <item x="884"/>
        <item x="1863"/>
        <item x="796"/>
        <item x="609"/>
        <item x="1003"/>
        <item x="1593"/>
        <item x="1921"/>
        <item x="1645"/>
        <item x="1106"/>
        <item x="1893"/>
        <item x="1471"/>
        <item x="422"/>
        <item x="1281"/>
        <item x="153"/>
        <item x="1077"/>
        <item x="1040"/>
        <item x="1056"/>
        <item x="1538"/>
        <item x="1729"/>
        <item x="1654"/>
        <item x="891"/>
        <item x="1608"/>
        <item x="643"/>
        <item x="185"/>
        <item x="312"/>
        <item x="1069"/>
        <item x="1680"/>
        <item x="558"/>
        <item x="1308"/>
        <item x="204"/>
        <item x="39"/>
        <item x="792"/>
        <item x="600"/>
        <item x="1379"/>
        <item x="820"/>
        <item x="654"/>
        <item x="578"/>
        <item x="923"/>
        <item x="1578"/>
        <item x="922"/>
        <item x="1741"/>
        <item x="956"/>
        <item x="200"/>
        <item x="773"/>
        <item x="1089"/>
        <item x="1249"/>
        <item x="546"/>
        <item x="208"/>
        <item x="1668"/>
        <item x="1607"/>
        <item x="1340"/>
        <item x="495"/>
        <item x="1093"/>
        <item x="86"/>
        <item x="799"/>
        <item x="1676"/>
        <item x="1095"/>
        <item x="1331"/>
        <item x="173"/>
        <item x="806"/>
        <item x="1041"/>
        <item x="1532"/>
        <item x="1778"/>
        <item x="1562"/>
        <item x="607"/>
        <item x="1494"/>
        <item x="1948"/>
        <item x="724"/>
        <item x="976"/>
        <item x="476"/>
        <item x="1194"/>
        <item x="678"/>
        <item x="377"/>
        <item x="1483"/>
        <item x="876"/>
        <item x="995"/>
        <item x="1544"/>
        <item x="826"/>
        <item x="192"/>
        <item x="1251"/>
        <item x="1057"/>
        <item x="636"/>
        <item x="1182"/>
        <item x="139"/>
        <item x="987"/>
        <item x="387"/>
        <item x="1104"/>
        <item x="361"/>
        <item x="1490"/>
        <item x="239"/>
        <item x="229"/>
        <item x="539"/>
        <item x="26"/>
        <item x="809"/>
        <item x="1945"/>
        <item x="994"/>
        <item x="1380"/>
        <item x="1659"/>
        <item x="1537"/>
        <item x="449"/>
        <item x="832"/>
        <item x="1009"/>
        <item x="307"/>
        <item x="356"/>
        <item x="1262"/>
        <item x="445"/>
        <item x="1489"/>
        <item x="1371"/>
        <item x="1312"/>
        <item x="1588"/>
        <item x="408"/>
        <item x="676"/>
        <item x="1567"/>
        <item x="803"/>
        <item x="774"/>
        <item x="418"/>
        <item x="921"/>
        <item x="1170"/>
        <item x="1133"/>
        <item x="452"/>
        <item x="1777"/>
        <item x="1400"/>
        <item x="1858"/>
        <item x="784"/>
        <item x="1454"/>
        <item x="7"/>
        <item x="1195"/>
        <item x="1879"/>
        <item x="1243"/>
        <item x="487"/>
        <item x="265"/>
        <item x="147"/>
        <item x="1856"/>
        <item x="1550"/>
        <item x="1930"/>
        <item x="1625"/>
        <item x="1708"/>
        <item x="29"/>
        <item x="757"/>
        <item x="1677"/>
        <item x="1360"/>
        <item x="1414"/>
        <item x="1698"/>
        <item x="1923"/>
        <item x="193"/>
        <item x="251"/>
        <item x="1242"/>
        <item x="1565"/>
        <item x="225"/>
        <item x="904"/>
        <item x="749"/>
        <item x="856"/>
        <item x="1528"/>
        <item x="1918"/>
        <item x="388"/>
        <item x="1482"/>
        <item x="1234"/>
        <item x="896"/>
        <item x="1498"/>
        <item x="1751"/>
        <item x="1059"/>
        <item x="1717"/>
        <item x="1286"/>
        <item x="1746"/>
        <item x="1885"/>
        <item x="373"/>
        <item x="1072"/>
        <item x="379"/>
        <item x="747"/>
        <item x="124"/>
        <item x="739"/>
        <item x="1853"/>
        <item x="309"/>
        <item x="1293"/>
        <item x="179"/>
        <item x="887"/>
        <item x="143"/>
        <item x="1859"/>
        <item x="1781"/>
        <item x="305"/>
        <item x="46"/>
        <item x="915"/>
        <item x="90"/>
        <item x="1065"/>
        <item x="1652"/>
        <item x="870"/>
        <item x="288"/>
        <item x="24"/>
        <item x="936"/>
        <item x="1830"/>
        <item x="440"/>
        <item x="297"/>
        <item x="55"/>
        <item x="400"/>
        <item x="40"/>
        <item x="1179"/>
        <item x="213"/>
        <item x="556"/>
        <item x="1665"/>
        <item x="158"/>
        <item x="656"/>
        <item x="582"/>
        <item x="184"/>
        <item x="1479"/>
        <item x="1302"/>
        <item x="263"/>
        <item x="1495"/>
        <item x="1201"/>
        <item x="722"/>
        <item x="988"/>
        <item x="1348"/>
        <item x="1141"/>
        <item x="1228"/>
        <item x="1430"/>
        <item x="588"/>
        <item x="701"/>
        <item x="76"/>
        <item x="302"/>
        <item x="807"/>
        <item x="116"/>
        <item x="1290"/>
        <item x="220"/>
        <item x="1600"/>
        <item x="972"/>
        <item x="1047"/>
        <item x="1130"/>
        <item x="99"/>
        <item x="612"/>
        <item x="518"/>
        <item x="620"/>
        <item x="789"/>
        <item x="1576"/>
        <item x="738"/>
        <item x="1649"/>
        <item x="844"/>
        <item x="70"/>
        <item x="1190"/>
        <item x="818"/>
        <item x="1221"/>
        <item x="1811"/>
        <item x="782"/>
        <item x="1663"/>
        <item x="668"/>
        <item x="347"/>
        <item x="1855"/>
        <item x="1222"/>
        <item x="1630"/>
        <item x="511"/>
        <item x="897"/>
        <item x="503"/>
        <item x="1846"/>
        <item x="977"/>
        <item x="505"/>
        <item x="1296"/>
        <item x="1146"/>
        <item x="1029"/>
        <item x="890"/>
        <item x="1100"/>
        <item x="617"/>
        <item x="1248"/>
        <item x="787"/>
        <item x="549"/>
        <item x="477"/>
        <item x="401"/>
        <item x="326"/>
        <item x="899"/>
        <item x="111"/>
        <item x="1492"/>
        <item x="431"/>
        <item x="1245"/>
        <item x="1164"/>
        <item x="1664"/>
        <item x="630"/>
        <item x="1927"/>
        <item x="1163"/>
        <item x="291"/>
        <item x="840"/>
        <item x="570"/>
        <item x="892"/>
        <item x="953"/>
        <item x="547"/>
        <item x="368"/>
        <item x="1300"/>
        <item x="835"/>
        <item x="508"/>
        <item x="507"/>
        <item x="579"/>
        <item x="1840"/>
        <item x="1258"/>
        <item x="1193"/>
        <item x="295"/>
        <item x="1934"/>
        <item x="1752"/>
        <item x="1055"/>
        <item x="1854"/>
        <item x="748"/>
        <item x="9"/>
        <item x="730"/>
        <item x="334"/>
        <item x="1554"/>
        <item x="17"/>
        <item x="1691"/>
        <item x="1837"/>
        <item x="1139"/>
        <item x="670"/>
        <item x="1004"/>
        <item x="801"/>
        <item x="1503"/>
        <item x="126"/>
        <item x="37"/>
        <item x="437"/>
        <item x="1330"/>
        <item x="930"/>
        <item x="1527"/>
        <item x="961"/>
        <item x="127"/>
        <item x="1533"/>
        <item x="1679"/>
        <item x="1246"/>
        <item x="56"/>
        <item x="1875"/>
        <item x="1011"/>
        <item x="88"/>
        <item x="1278"/>
        <item x="57"/>
        <item x="996"/>
        <item x="484"/>
        <item x="1211"/>
        <item x="1747"/>
        <item x="984"/>
        <item x="1496"/>
        <item x="1506"/>
        <item x="493"/>
        <item x="87"/>
        <item x="393"/>
        <item x="1739"/>
        <item x="1015"/>
        <item x="966"/>
        <item x="66"/>
        <item x="1268"/>
        <item x="1827"/>
        <item x="1070"/>
        <item x="1514"/>
        <item x="855"/>
        <item x="1944"/>
        <item x="1977"/>
        <item x="906"/>
        <item x="1823"/>
        <item x="1098"/>
        <item x="23"/>
        <item x="1052"/>
        <item x="1110"/>
        <item x="271"/>
        <item x="168"/>
        <item x="963"/>
        <item x="1763"/>
        <item x="950"/>
        <item x="1575"/>
        <item x="364"/>
        <item x="576"/>
        <item x="968"/>
        <item x="136"/>
        <item x="1943"/>
        <item x="358"/>
        <item x="1231"/>
        <item x="1189"/>
        <item x="1657"/>
        <item x="1012"/>
        <item x="927"/>
        <item x="1032"/>
        <item x="223"/>
        <item x="175"/>
        <item x="861"/>
        <item x="841"/>
        <item x="762"/>
        <item x="1912"/>
        <item x="1779"/>
        <item x="571"/>
        <item x="1937"/>
        <item x="530"/>
        <item x="1053"/>
        <item x="36"/>
        <item x="106"/>
        <item x="409"/>
        <item x="1346"/>
        <item x="319"/>
        <item x="967"/>
        <item x="1115"/>
        <item x="140"/>
        <item x="1812"/>
        <item x="679"/>
        <item x="323"/>
        <item x="1673"/>
        <item x="1583"/>
        <item x="194"/>
        <item x="1407"/>
        <item x="1705"/>
        <item x="209"/>
        <item x="527"/>
        <item x="1336"/>
        <item x="473"/>
        <item x="1039"/>
        <item x="1464"/>
        <item x="683"/>
        <item x="603"/>
        <item x="1920"/>
        <item x="926"/>
        <item x="881"/>
        <item x="587"/>
        <item x="1799"/>
        <item x="1913"/>
        <item x="852"/>
        <item x="1815"/>
        <item x="250"/>
        <item x="1590"/>
        <item x="1393"/>
        <item x="545"/>
        <item x="1715"/>
        <item x="406"/>
        <item x="1695"/>
        <item x="983"/>
        <item x="745"/>
        <item x="671"/>
        <item x="568"/>
        <item x="1224"/>
        <item x="1557"/>
        <item x="982"/>
        <item x="1027"/>
        <item x="1764"/>
        <item x="460"/>
        <item x="1317"/>
        <item x="1284"/>
        <item x="736"/>
        <item x="1559"/>
        <item x="805"/>
        <item x="33"/>
        <item x="329"/>
        <item x="695"/>
        <item x="1019"/>
        <item x="674"/>
        <item x="1486"/>
        <item x="997"/>
        <item x="1833"/>
        <item x="481"/>
        <item x="924"/>
        <item x="1303"/>
        <item x="1275"/>
        <item x="1345"/>
        <item x="633"/>
        <item x="423"/>
        <item x="1510"/>
        <item x="1232"/>
        <item x="1509"/>
        <item x="1950"/>
        <item x="602"/>
        <item x="1845"/>
        <item x="1045"/>
        <item x="234"/>
        <item x="1760"/>
        <item x="693"/>
        <item x="1267"/>
        <item x="728"/>
        <item x="1684"/>
        <item x="1491"/>
        <item x="715"/>
        <item x="711"/>
        <item x="1756"/>
        <item x="1570"/>
        <item x="610"/>
        <item x="1145"/>
        <item x="1582"/>
        <item x="1975"/>
        <item x="292"/>
        <item x="176"/>
        <item x="34"/>
        <item x="1390"/>
        <item x="48"/>
        <item x="1227"/>
        <item x="207"/>
        <item x="1450"/>
        <item x="597"/>
        <item x="765"/>
        <item x="138"/>
        <item x="1905"/>
        <item x="1897"/>
        <item x="1325"/>
        <item x="353"/>
        <item x="1280"/>
        <item x="276"/>
        <item x="1531"/>
        <item x="1327"/>
        <item x="1208"/>
        <item x="664"/>
        <item x="712"/>
        <item x="1761"/>
        <item x="163"/>
        <item x="1563"/>
        <item x="1965"/>
        <item x="1131"/>
        <item x="553"/>
        <item x="1244"/>
        <item x="1604"/>
        <item x="11"/>
        <item x="577"/>
        <item x="151"/>
        <item x="741"/>
        <item x="101"/>
        <item x="673"/>
        <item x="945"/>
        <item x="851"/>
        <item x="752"/>
        <item x="269"/>
        <item x="919"/>
        <item x="706"/>
        <item x="1050"/>
        <item x="731"/>
        <item x="308"/>
        <item x="359"/>
        <item x="1448"/>
        <item x="1660"/>
        <item x="1207"/>
        <item x="763"/>
        <item x="1971"/>
        <item x="647"/>
        <item x="1212"/>
        <item x="705"/>
        <item x="160"/>
        <item x="1882"/>
        <item x="1420"/>
        <item x="756"/>
        <item x="496"/>
        <item x="586"/>
        <item x="1341"/>
        <item x="1024"/>
        <item x="627"/>
        <item x="1376"/>
        <item x="928"/>
        <item x="451"/>
        <item x="438"/>
        <item x="1451"/>
        <item x="786"/>
        <item x="827"/>
        <item x="1628"/>
        <item x="441"/>
        <item x="700"/>
        <item x="1078"/>
        <item x="348"/>
        <item x="1157"/>
        <item x="515"/>
        <item x="1173"/>
        <item x="788"/>
        <item x="992"/>
        <item x="354"/>
        <item x="812"/>
        <item x="863"/>
        <item x="1126"/>
        <item x="1005"/>
        <item x="929"/>
        <item x="1587"/>
        <item x="3"/>
        <item x="1784"/>
        <item x="169"/>
        <item x="962"/>
        <item x="282"/>
        <item x="1553"/>
        <item x="499"/>
        <item x="1947"/>
        <item x="389"/>
        <item x="1577"/>
        <item x="960"/>
        <item x="118"/>
        <item x="1697"/>
        <item x="415"/>
        <item x="164"/>
        <item x="1804"/>
        <item x="1574"/>
        <item x="1802"/>
        <item x="970"/>
        <item x="498"/>
        <item x="1978"/>
        <item x="1759"/>
        <item x="1803"/>
        <item x="649"/>
        <item x="1274"/>
        <item x="585"/>
        <item x="1702"/>
        <item x="1339"/>
        <item x="1713"/>
        <item x="1961"/>
        <item x="210"/>
        <item x="1485"/>
        <item x="1878"/>
        <item x="580"/>
        <item x="572"/>
        <item x="1568"/>
        <item x="1631"/>
        <item x="1476"/>
        <item x="1880"/>
        <item x="14"/>
        <item x="1437"/>
        <item x="45"/>
        <item x="1724"/>
        <item x="44"/>
        <item x="717"/>
        <item x="1046"/>
        <item x="1101"/>
        <item x="1081"/>
        <item x="584"/>
        <item x="846"/>
        <item x="1955"/>
        <item x="1132"/>
        <item x="260"/>
        <item x="875"/>
        <item x="77"/>
        <item x="1700"/>
        <item x="1058"/>
        <item x="486"/>
        <item x="1972"/>
        <item x="450"/>
        <item x="973"/>
        <item x="411"/>
        <item x="1973"/>
        <item x="426"/>
        <item x="604"/>
        <item x="1148"/>
        <item x="1397"/>
        <item x="1361"/>
        <item x="137"/>
        <item x="1737"/>
        <item x="1620"/>
        <item x="850"/>
        <item x="1253"/>
        <item x="453"/>
        <item x="434"/>
        <item x="52"/>
        <item x="157"/>
        <item x="1928"/>
        <item x="1254"/>
        <item x="686"/>
        <item x="942"/>
        <item x="1362"/>
        <item x="38"/>
        <item x="1135"/>
        <item x="1642"/>
        <item x="566"/>
        <item x="191"/>
        <item x="1351"/>
        <item x="1147"/>
        <item x="951"/>
        <item x="1481"/>
        <item x="1413"/>
        <item x="964"/>
        <item x="69"/>
        <item x="187"/>
        <item x="181"/>
        <item x="378"/>
        <item x="512"/>
        <item x="1835"/>
        <item x="15"/>
        <item x="658"/>
        <item x="1667"/>
        <item x="1843"/>
        <item x="350"/>
        <item x="943"/>
        <item x="182"/>
        <item x="1794"/>
        <item x="857"/>
        <item x="13"/>
        <item x="206"/>
        <item x="1322"/>
        <item x="1463"/>
        <item x="1105"/>
        <item x="212"/>
        <item x="917"/>
        <item x="1884"/>
        <item x="1125"/>
        <item x="1903"/>
        <item x="608"/>
        <item x="859"/>
        <item x="560"/>
        <item x="880"/>
        <item x="750"/>
        <item x="1363"/>
        <item x="112"/>
        <item x="1790"/>
        <item x="463"/>
        <item x="916"/>
        <item x="1425"/>
        <item x="222"/>
        <item x="85"/>
        <item x="372"/>
        <item x="1670"/>
        <item x="1539"/>
        <item x="1541"/>
        <item x="1616"/>
        <item x="1127"/>
        <item x="1416"/>
        <item x="1206"/>
        <item x="374"/>
        <item x="1967"/>
        <item x="1502"/>
        <item x="1581"/>
        <item x="1079"/>
        <item x="669"/>
        <item x="860"/>
        <item x="1036"/>
        <item x="1773"/>
        <item x="1381"/>
        <item x="872"/>
        <item x="1744"/>
        <item x="882"/>
        <item x="716"/>
        <item x="384"/>
        <item x="1166"/>
        <item x="1535"/>
        <item x="1710"/>
        <item x="397"/>
        <item x="148"/>
        <item x="1085"/>
        <item x="758"/>
        <item x="733"/>
        <item x="1615"/>
        <item x="908"/>
        <item x="1075"/>
        <item x="1801"/>
        <item x="971"/>
        <item x="442"/>
        <item x="1952"/>
        <item x="162"/>
        <item x="651"/>
        <item x="1866"/>
        <item x="1068"/>
        <item x="1727"/>
        <item x="825"/>
        <item x="2"/>
        <item x="1366"/>
        <item x="1396"/>
        <item x="447"/>
        <item x="1742"/>
        <item x="1783"/>
        <item x="829"/>
        <item x="993"/>
        <item x="1636"/>
        <item x="1215"/>
        <item x="1723"/>
        <item x="937"/>
        <item x="1769"/>
        <item x="25"/>
        <item x="1406"/>
        <item x="1687"/>
        <item x="1847"/>
        <item x="1861"/>
        <item x="328"/>
        <item x="838"/>
        <item x="737"/>
        <item x="1822"/>
        <item x="524"/>
        <item x="1725"/>
        <item x="704"/>
        <item x="729"/>
        <item x="781"/>
        <item x="1743"/>
        <item x="867"/>
        <item x="1841"/>
        <item x="303"/>
        <item x="1765"/>
        <item x="684"/>
        <item x="1030"/>
        <item x="682"/>
        <item x="221"/>
        <item x="1113"/>
        <item x="1637"/>
        <item x="1939"/>
        <item x="1444"/>
        <item x="1497"/>
        <item x="47"/>
        <item x="1686"/>
        <item x="1711"/>
        <item x="1549"/>
        <item x="466"/>
        <item x="1187"/>
        <item x="22"/>
        <item x="241"/>
        <item x="1460"/>
        <item x="141"/>
        <item x="1034"/>
        <item x="1216"/>
        <item x="591"/>
        <item x="1949"/>
        <item x="1006"/>
        <item x="1214"/>
        <item x="1301"/>
        <item x="621"/>
        <item x="865"/>
        <item x="613"/>
        <item x="1061"/>
        <item x="10"/>
        <item x="1096"/>
        <item x="1488"/>
        <item x="217"/>
        <item x="1681"/>
        <item x="469"/>
        <item x="1229"/>
        <item x="1942"/>
        <item x="1225"/>
        <item x="337"/>
        <item x="1429"/>
        <item x="1269"/>
        <item x="877"/>
        <item x="657"/>
        <item x="519"/>
        <item x="275"/>
        <item x="21"/>
        <item x="1374"/>
        <item t="default"/>
      </items>
    </pivotField>
    <pivotField showAll="0"/>
    <pivotField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Average of Sales" fld="3" subtotal="average" baseField="2" baseItem="0"/>
  </dataFields>
  <formats count="4">
    <format dxfId="27">
      <pivotArea grandRow="1" outline="0" collapsedLevelsAreSubtotals="1"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DF3B65-E847-4CAD-A2F1-4BEE9DE9081F}"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2:E18" firstHeaderRow="1" firstDataRow="1" firstDataCol="1"/>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dataField="1" showAll="0"/>
    <pivotField showAll="0"/>
    <pivotField showAll="0"/>
    <pivotField showAll="0">
      <items count="6">
        <item x="4"/>
        <item x="2"/>
        <item x="3"/>
        <item x="1"/>
        <item x="0"/>
        <item t="default"/>
      </items>
    </pivotField>
    <pivotField axis="axisRow" showAll="0">
      <items count="16">
        <item x="6"/>
        <item x="10"/>
        <item x="5"/>
        <item x="3"/>
        <item x="8"/>
        <item x="12"/>
        <item x="7"/>
        <item x="9"/>
        <item x="13"/>
        <item x="11"/>
        <item x="1"/>
        <item x="0"/>
        <item x="2"/>
        <item x="4"/>
        <item x="14"/>
        <item t="default"/>
      </items>
    </pivotField>
    <pivotField showAll="0">
      <items count="7">
        <item x="3"/>
        <item x="2"/>
        <item x="0"/>
        <item x="4"/>
        <item x="1"/>
        <item x="5"/>
        <item t="default"/>
      </items>
    </pivotField>
  </pivotFields>
  <rowFields count="1">
    <field x="7"/>
  </rowFields>
  <rowItems count="16">
    <i>
      <x/>
    </i>
    <i>
      <x v="1"/>
    </i>
    <i>
      <x v="2"/>
    </i>
    <i>
      <x v="3"/>
    </i>
    <i>
      <x v="4"/>
    </i>
    <i>
      <x v="5"/>
    </i>
    <i>
      <x v="6"/>
    </i>
    <i>
      <x v="7"/>
    </i>
    <i>
      <x v="8"/>
    </i>
    <i>
      <x v="9"/>
    </i>
    <i>
      <x v="10"/>
    </i>
    <i>
      <x v="11"/>
    </i>
    <i>
      <x v="12"/>
    </i>
    <i>
      <x v="13"/>
    </i>
    <i>
      <x v="14"/>
    </i>
    <i t="grand">
      <x/>
    </i>
  </rowItems>
  <colItems count="1">
    <i/>
  </colItems>
  <dataFields count="1">
    <dataField name="Sum of Sales" fld="3" baseField="0" baseItem="0" numFmtId="164"/>
  </dataFields>
  <formats count="9">
    <format dxfId="36">
      <pivotArea collapsedLevelsAreSubtotals="1" fieldPosition="0">
        <references count="1">
          <reference field="7" count="1">
            <x v="11"/>
          </reference>
        </references>
      </pivotArea>
    </format>
    <format dxfId="35">
      <pivotArea dataOnly="0" labelOnly="1" fieldPosition="0">
        <references count="1">
          <reference field="7" count="1">
            <x v="11"/>
          </reference>
        </references>
      </pivotArea>
    </format>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fieldPosition="0">
        <references count="1">
          <reference field="7" count="0"/>
        </references>
      </pivotArea>
    </format>
    <format dxfId="30">
      <pivotArea dataOnly="0" labelOnly="1" grandRow="1" outline="0" fieldPosition="0"/>
    </format>
    <format dxfId="29">
      <pivotArea dataOnly="0" labelOnly="1" outline="0" axis="axisValues"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8481F0-5587-4143-88E0-BBB2ECC0D8F4}"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8" firstHeaderRow="1" firstDataRow="1" firstDataCol="1"/>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axis="axisRow" showAll="0">
      <items count="6">
        <item x="2"/>
        <item x="0"/>
        <item x="4"/>
        <item x="3"/>
        <item x="1"/>
        <item t="default"/>
      </items>
    </pivotField>
    <pivotField showAll="0">
      <items count="8">
        <item x="2"/>
        <item x="5"/>
        <item x="3"/>
        <item x="1"/>
        <item x="4"/>
        <item x="6"/>
        <item x="0"/>
        <item t="default"/>
      </items>
    </pivotField>
    <pivotField dataField="1" showAll="0"/>
    <pivotField showAll="0"/>
    <pivotField showAll="0"/>
    <pivotField showAll="0">
      <items count="6">
        <item x="4"/>
        <item x="2"/>
        <item x="3"/>
        <item x="1"/>
        <item x="0"/>
        <item t="default"/>
      </items>
    </pivotField>
    <pivotField showAll="0"/>
    <pivotField showAll="0">
      <items count="7">
        <item x="3"/>
        <item x="2"/>
        <item x="0"/>
        <item x="4"/>
        <item x="1"/>
        <item x="5"/>
        <item t="default"/>
      </items>
    </pivotField>
  </pivotFields>
  <rowFields count="1">
    <field x="1"/>
  </rowFields>
  <rowItems count="6">
    <i>
      <x/>
    </i>
    <i>
      <x v="1"/>
    </i>
    <i>
      <x v="2"/>
    </i>
    <i>
      <x v="3"/>
    </i>
    <i>
      <x v="4"/>
    </i>
    <i t="grand">
      <x/>
    </i>
  </rowItems>
  <colItems count="1">
    <i/>
  </colItems>
  <dataFields count="1">
    <dataField name="Sum of Sales" fld="3" baseField="0" baseItem="0" numFmtId="164"/>
  </dataFields>
  <formats count="12">
    <format dxfId="48">
      <pivotArea collapsedLevelsAreSubtotals="1" fieldPosition="0">
        <references count="1">
          <reference field="1" count="1">
            <x v="2"/>
          </reference>
        </references>
      </pivotArea>
    </format>
    <format dxfId="47">
      <pivotArea dataOnly="0" labelOnly="1" fieldPosition="0">
        <references count="1">
          <reference field="1" count="1">
            <x v="2"/>
          </reference>
        </references>
      </pivotArea>
    </format>
    <format dxfId="46">
      <pivotArea collapsedLevelsAreSubtotals="1" fieldPosition="0">
        <references count="1">
          <reference field="1" count="2">
            <x v="0"/>
            <x v="1"/>
          </reference>
        </references>
      </pivotArea>
    </format>
    <format dxfId="45">
      <pivotArea field="1" type="button" dataOnly="0" labelOnly="1" outline="0" axis="axisRow" fieldPosition="0"/>
    </format>
    <format dxfId="44">
      <pivotArea dataOnly="0" labelOnly="1" fieldPosition="0">
        <references count="1">
          <reference field="1" count="2">
            <x v="0"/>
            <x v="1"/>
          </reference>
        </references>
      </pivotArea>
    </format>
    <format dxfId="43">
      <pivotArea dataOnly="0" labelOnly="1" outline="0" axis="axisValues" fieldPosition="0"/>
    </format>
    <format dxfId="42">
      <pivotArea collapsedLevelsAreSubtotals="1" fieldPosition="0">
        <references count="1">
          <reference field="1" count="4">
            <x v="1"/>
            <x v="2"/>
            <x v="3"/>
            <x v="4"/>
          </reference>
        </references>
      </pivotArea>
    </format>
    <format dxfId="41">
      <pivotArea grandRow="1" outline="0" collapsedLevelsAreSubtotals="1" fieldPosition="0"/>
    </format>
    <format dxfId="40">
      <pivotArea dataOnly="0" labelOnly="1" fieldPosition="0">
        <references count="1">
          <reference field="1" count="4">
            <x v="1"/>
            <x v="2"/>
            <x v="3"/>
            <x v="4"/>
          </reference>
        </references>
      </pivotArea>
    </format>
    <format dxfId="39">
      <pivotArea dataOnly="0" labelOnly="1" grandRow="1" outline="0" fieldPosition="0"/>
    </format>
    <format dxfId="38">
      <pivotArea outline="0" collapsedLevelsAreSubtotals="1" fieldPosition="0"/>
    </format>
    <format dxfId="3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88F6A0-C7B7-46E2-B6CC-B26240877054}"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1:E28" firstHeaderRow="1" firstDataRow="1" firstDataCol="1"/>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showAll="0"/>
    <pivotField showAll="0"/>
    <pivotField showAll="0"/>
    <pivotField showAll="0">
      <items count="6">
        <item x="4"/>
        <item x="2"/>
        <item x="3"/>
        <item x="1"/>
        <item x="0"/>
        <item t="default"/>
      </items>
    </pivotField>
    <pivotField showAll="0"/>
    <pivotField axis="axisRow" dataField="1" showAll="0" includeNewItemsInFilter="1" countASubtotal="1">
      <items count="7">
        <item x="3"/>
        <item x="2"/>
        <item x="0"/>
        <item x="4"/>
        <item x="1"/>
        <item x="5"/>
        <item t="countA"/>
      </items>
    </pivotField>
  </pivotFields>
  <rowFields count="1">
    <field x="8"/>
  </rowFields>
  <rowItems count="7">
    <i>
      <x/>
    </i>
    <i>
      <x v="1"/>
    </i>
    <i>
      <x v="2"/>
    </i>
    <i>
      <x v="3"/>
    </i>
    <i>
      <x v="4"/>
    </i>
    <i>
      <x v="5"/>
    </i>
    <i t="grand">
      <x/>
    </i>
  </rowItems>
  <colItems count="1">
    <i/>
  </colItems>
  <dataFields count="1">
    <dataField name="Count of Payment_Method" fld="8" subtotal="count" baseField="0" baseItem="0"/>
  </dataFields>
  <formats count="8">
    <format dxfId="56">
      <pivotArea collapsedLevelsAreSubtotals="1" fieldPosition="0">
        <references count="1">
          <reference field="8" count="1">
            <x v="1"/>
          </reference>
        </references>
      </pivotArea>
    </format>
    <format dxfId="55">
      <pivotArea dataOnly="0" labelOnly="1" fieldPosition="0">
        <references count="1">
          <reference field="8" count="1">
            <x v="1"/>
          </reference>
        </references>
      </pivotArea>
    </format>
    <format dxfId="54">
      <pivotArea type="all" dataOnly="0" outline="0" fieldPosition="0"/>
    </format>
    <format dxfId="53">
      <pivotArea outline="0" collapsedLevelsAreSubtotals="1" fieldPosition="0"/>
    </format>
    <format dxfId="52">
      <pivotArea field="8" type="button" dataOnly="0" labelOnly="1" outline="0" axis="axisRow" fieldPosition="0"/>
    </format>
    <format dxfId="51">
      <pivotArea dataOnly="0" labelOnly="1" fieldPosition="0">
        <references count="1">
          <reference field="8" count="0"/>
        </references>
      </pivotArea>
    </format>
    <format dxfId="50">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C1712-1E62-4937-8128-6E6896EA09F4}"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9:G20"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showAll="0"/>
    <pivotField showAll="0"/>
    <pivotField dataField="1"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Average of Profit" fld="5" subtotal="average" baseField="0" baseItem="725715251" numFmtId="1"/>
  </dataFields>
  <formats count="5">
    <format dxfId="61">
      <pivotArea outline="0" collapsedLevelsAreSubtotals="1" fieldPosition="0"/>
    </format>
    <format dxfId="60">
      <pivotArea outline="0" collapsedLevelsAreSubtotals="1" fieldPosition="0"/>
    </format>
    <format dxfId="59">
      <pivotArea dataOnly="0" labelOnly="1" outline="0" axis="axisValues" fieldPosition="0"/>
    </format>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3213D5-806A-4256-BCDE-0E7A80A6735B}"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12:K13" firstHeaderRow="1" firstDataRow="1" firstDataCol="0"/>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showAll="0"/>
    <pivotField dataField="1" showAll="0"/>
    <pivotField showAll="0"/>
    <pivotField showAll="0">
      <items count="6">
        <item x="4"/>
        <item x="2"/>
        <item x="3"/>
        <item x="1"/>
        <item x="0"/>
        <item t="default"/>
      </items>
    </pivotField>
    <pivotField showAll="0"/>
    <pivotField showAll="0">
      <items count="7">
        <item x="3"/>
        <item x="2"/>
        <item x="0"/>
        <item x="4"/>
        <item x="1"/>
        <item x="5"/>
        <item t="default"/>
      </items>
    </pivotField>
  </pivotFields>
  <rowItems count="1">
    <i/>
  </rowItems>
  <colItems count="1">
    <i/>
  </colItems>
  <dataFields count="1">
    <dataField name="Average of Cost" fld="4" subtotal="average" baseField="0" baseItem="725715251"/>
  </dataFields>
  <formats count="4">
    <format dxfId="65">
      <pivotArea outline="0" collapsedLevelsAreSubtotals="1" fieldPosition="0"/>
    </format>
    <format dxfId="64">
      <pivotArea outline="0" collapsedLevelsAreSubtotals="1" fieldPosition="0"/>
    </format>
    <format dxfId="63">
      <pivotArea dataOnly="0" labelOnly="1" outline="0" axis="axisValues" fieldPosition="0"/>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42FFB9-C175-424A-822B-27867636F8DB}"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J8" firstHeaderRow="1" firstDataRow="1" firstDataCol="1"/>
  <pivotFields count="9">
    <pivotField numFmtId="14" showAll="0">
      <items count="9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t="default"/>
      </items>
    </pivotField>
    <pivotField showAll="0">
      <items count="6">
        <item x="2"/>
        <item x="0"/>
        <item x="4"/>
        <item x="3"/>
        <item x="1"/>
        <item t="default"/>
      </items>
    </pivotField>
    <pivotField showAll="0">
      <items count="8">
        <item x="2"/>
        <item x="5"/>
        <item x="3"/>
        <item x="1"/>
        <item x="4"/>
        <item x="6"/>
        <item x="0"/>
        <item t="default"/>
      </items>
    </pivotField>
    <pivotField dataField="1" showAll="0"/>
    <pivotField showAll="0"/>
    <pivotField showAll="0"/>
    <pivotField axis="axisRow" showAll="0">
      <items count="6">
        <item x="4"/>
        <item x="2"/>
        <item x="3"/>
        <item x="1"/>
        <item x="0"/>
        <item t="default"/>
      </items>
    </pivotField>
    <pivotField showAll="0"/>
    <pivotField showAll="0">
      <items count="7">
        <item x="3"/>
        <item x="2"/>
        <item x="0"/>
        <item x="4"/>
        <item x="1"/>
        <item x="5"/>
        <item t="default"/>
      </items>
    </pivotField>
  </pivotFields>
  <rowFields count="1">
    <field x="6"/>
  </rowFields>
  <rowItems count="6">
    <i>
      <x/>
    </i>
    <i>
      <x v="1"/>
    </i>
    <i>
      <x v="2"/>
    </i>
    <i>
      <x v="3"/>
    </i>
    <i>
      <x v="4"/>
    </i>
    <i t="grand">
      <x/>
    </i>
  </rowItems>
  <colItems count="1">
    <i/>
  </colItems>
  <dataFields count="1">
    <dataField name="Sum of Sales" fld="3" baseField="6" baseItem="0" numFmtId="44"/>
  </dataFields>
  <formats count="9">
    <format dxfId="74">
      <pivotArea dataOnly="0" fieldPosition="0">
        <references count="1">
          <reference field="6" count="1">
            <x v="4"/>
          </reference>
        </references>
      </pivotArea>
    </format>
    <format dxfId="73">
      <pivotArea type="all" dataOnly="0" outline="0" fieldPosition="0"/>
    </format>
    <format dxfId="72">
      <pivotArea outline="0" collapsedLevelsAreSubtotals="1" fieldPosition="0"/>
    </format>
    <format dxfId="71">
      <pivotArea field="6" type="button" dataOnly="0" labelOnly="1" outline="0" axis="axisRow" fieldPosition="0"/>
    </format>
    <format dxfId="70">
      <pivotArea dataOnly="0" labelOnly="1" fieldPosition="0">
        <references count="1">
          <reference field="6" count="0"/>
        </references>
      </pivotArea>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3BDB37A-4D6E-4352-8F9F-2E07DDA6338F}" sourceName="Order_Date">
  <pivotTables>
    <pivotTable tabId="2" name="PivotTable17"/>
    <pivotTable tabId="2" name="PivotTable12"/>
    <pivotTable tabId="2" name="PivotTable13"/>
    <pivotTable tabId="2" name="PivotTable14"/>
    <pivotTable tabId="2" name="PivotTable15"/>
    <pivotTable tabId="2" name="PivotTable16"/>
    <pivotTable tabId="2" name="PivotTable19"/>
    <pivotTable tabId="2" name="PivotTable20"/>
    <pivotTable tabId="2" name="PivotTable21"/>
    <pivotTable tabId="2" name="PivotTable23"/>
    <pivotTable tabId="2" name="PivotTable24"/>
  </pivotTables>
  <data>
    <tabular pivotCacheId="1665890230">
      <items count="92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2E485A5-2D7E-44EC-AB62-CBA9567F0FCB}" sourceName="Payment_Method">
  <pivotTables>
    <pivotTable tabId="2" name="PivotTable17"/>
    <pivotTable tabId="2" name="PivotTable12"/>
    <pivotTable tabId="2" name="PivotTable15"/>
    <pivotTable tabId="2" name="PivotTable16"/>
    <pivotTable tabId="2" name="PivotTable13"/>
    <pivotTable tabId="2" name="PivotTable19"/>
    <pivotTable tabId="2" name="PivotTable20"/>
    <pivotTable tabId="2" name="PivotTable21"/>
    <pivotTable tabId="2" name="PivotTable23"/>
    <pivotTable tabId="2" name="PivotTable24"/>
  </pivotTables>
  <data>
    <tabular pivotCacheId="1665890230">
      <items count="6">
        <i x="3" s="1"/>
        <i x="2" s="1"/>
        <i x="0" s="1"/>
        <i x="4"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5059241-1502-469F-B137-E2801E68931F}" sourceName="Customer_Segment">
  <pivotTables>
    <pivotTable tabId="2" name="PivotTable17"/>
    <pivotTable tabId="2" name="PivotTable12"/>
    <pivotTable tabId="2" name="PivotTable13"/>
    <pivotTable tabId="2" name="PivotTable14"/>
    <pivotTable tabId="2" name="PivotTable15"/>
    <pivotTable tabId="2" name="PivotTable16"/>
    <pivotTable tabId="2" name="PivotTable19"/>
    <pivotTable tabId="2" name="PivotTable20"/>
    <pivotTable tabId="2" name="PivotTable21"/>
    <pivotTable tabId="2" name="PivotTable23"/>
    <pivotTable tabId="2" name="PivotTable24"/>
  </pivotTables>
  <data>
    <tabular pivotCacheId="1665890230">
      <items count="5">
        <i x="4" s="1"/>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A4823D-23D1-42FB-A923-F579CE6AAD19}" sourceName="Product_Category">
  <pivotTables>
    <pivotTable tabId="2" name="PivotTable17"/>
    <pivotTable tabId="2" name="PivotTable12"/>
    <pivotTable tabId="2" name="PivotTable13"/>
    <pivotTable tabId="2" name="PivotTable14"/>
    <pivotTable tabId="2" name="PivotTable15"/>
    <pivotTable tabId="2" name="PivotTable16"/>
    <pivotTable tabId="2" name="PivotTable19"/>
    <pivotTable tabId="2" name="PivotTable20"/>
    <pivotTable tabId="2" name="PivotTable21"/>
    <pivotTable tabId="2" name="PivotTable23"/>
    <pivotTable tabId="2" name="PivotTable24"/>
  </pivotTables>
  <data>
    <tabular pivotCacheId="1665890230">
      <items count="7">
        <i x="2" s="1"/>
        <i x="5" s="1"/>
        <i x="3" s="1"/>
        <i x="1" s="1"/>
        <i x="4"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F2957-1E92-4048-A382-1895F1702412}" sourceName="Region">
  <pivotTables>
    <pivotTable tabId="2" name="PivotTable15"/>
    <pivotTable tabId="2" name="PivotTable12"/>
    <pivotTable tabId="2" name="PivotTable13"/>
    <pivotTable tabId="2" name="PivotTable14"/>
    <pivotTable tabId="2" name="PivotTable16"/>
    <pivotTable tabId="2" name="PivotTable17"/>
    <pivotTable tabId="2" name="PivotTable19"/>
    <pivotTable tabId="2" name="PivotTable20"/>
    <pivotTable tabId="2" name="PivotTable21"/>
    <pivotTable tabId="2" name="PivotTable23"/>
    <pivotTable tabId="2" name="PivotTable24"/>
  </pivotTables>
  <data>
    <tabular pivotCacheId="1665890230">
      <items count="5">
        <i x="2"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E8C2BD07-71EE-4E1C-A46F-74AE01B113A9}" cache="Slicer_Order_Date" caption="Order_Date" startItem="14" rowHeight="234950"/>
  <slicer name="Payment_Method" xr10:uid="{916AB2E0-1902-48D1-92C4-6B3441FC122C}" cache="Slicer_Payment_Method" caption="Payment_Method" rowHeight="234950"/>
  <slicer name="Customer_Segment" xr10:uid="{CD642116-BDA4-4D31-8115-9CC7337BA410}" cache="Slicer_Customer_Segment" caption="Customer_Segment" rowHeight="234950"/>
  <slicer name="Product_Category" xr10:uid="{CE2A4D01-34FB-417C-A45F-FA35143ABFA5}" cache="Slicer_Product_Category" caption="Product_Category" rowHeight="234950"/>
  <slicer name="Region" xr10:uid="{4658F9AB-E663-4C52-830D-A47E239D494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F47549-FB36-4525-91BF-13B2D9CB03BF}" name="Table1" displayName="Table1" ref="A1:N2001" totalsRowShown="0" headerRowDxfId="92" headerRowBorderDxfId="91" tableBorderDxfId="90" totalsRowBorderDxfId="89">
  <autoFilter ref="A1:N2001" xr:uid="{AF3CDC14-9CF0-4747-81A1-6DCBBEB06FB3}"/>
  <tableColumns count="14">
    <tableColumn id="1" xr3:uid="{E6A0DD3E-2771-4185-9D1E-AC383C23438E}" name="Order_Date" dataDxfId="88"/>
    <tableColumn id="2" xr3:uid="{310C4865-2B06-4F1A-99C9-7C5CDA37CD67}" name="Region" dataDxfId="87"/>
    <tableColumn id="3" xr3:uid="{FA55F9E8-0DFC-4BCD-BB04-F5A82E3F92B5}" name="Product_Category" dataDxfId="86"/>
    <tableColumn id="4" xr3:uid="{0D4B67E4-5D48-432F-97B4-41544E989482}" name="Sales" dataDxfId="85"/>
    <tableColumn id="5" xr3:uid="{E5471967-1882-42E8-B6C0-CD36B2A37961}" name="Cost" dataDxfId="84"/>
    <tableColumn id="6" xr3:uid="{D16A7393-D8F7-4EC8-9A2C-838381A12DB0}" name="Profit" dataDxfId="83"/>
    <tableColumn id="7" xr3:uid="{0F8FB97F-9CB9-4224-A3BF-1B1170968028}" name="Customer_Segment" dataDxfId="82"/>
    <tableColumn id="8" xr3:uid="{0EA63A92-4605-4F40-B02F-8E832CC568B8}" name="Salesperson" dataDxfId="81"/>
    <tableColumn id="9" xr3:uid="{06E05762-B3EC-44E8-830C-DD40274FB072}" name="Payment_Method" dataDxfId="80"/>
    <tableColumn id="10" xr3:uid="{2CC9ACBD-DD59-409C-B5AA-F7A95C65932F}" name="Profit Margin" dataDxfId="79">
      <calculatedColumnFormula>Table1[[#This Row],[Profit]]/Table1[[#This Row],[Sales]]</calculatedColumnFormula>
    </tableColumn>
    <tableColumn id="11" xr3:uid="{9EA79809-48D3-494B-9155-A08D15CF5980}" name="Sales Category" dataDxfId="78">
      <calculatedColumnFormula>IF(D2&gt;=2000,"High",IF(D2&gt;=1500,"Medium","Low"))</calculatedColumnFormula>
    </tableColumn>
    <tableColumn id="12" xr3:uid="{1B155355-CD25-4F0B-AC79-FF3E75B5573B}" name="Order Month" dataDxfId="77">
      <calculatedColumnFormula>TEXT(Table1[[#This Row],[Order_Date]],"MMM")</calculatedColumnFormula>
    </tableColumn>
    <tableColumn id="13" xr3:uid="{EAAB1C71-2B79-4576-AF59-A5431F4A1322}" name="Profit Status" dataDxfId="76">
      <calculatedColumnFormula>IF(Table1[[#This Row],[Profit]]&gt;=1000,"Excellent",IF(Table1[[#This Row],[Profit]]&gt;=500,"Good", IF(Table1[[#This Row],[Profit]]&lt;500,"Low")))</calculatedColumnFormula>
    </tableColumn>
    <tableColumn id="14" xr3:uid="{BBE2E873-9CC5-4B92-BC89-75605AB70776}" name="Year" dataDxfId="75">
      <calculatedColumnFormula>TEXT(Table1[[#This Row],[Order_Date]],"YYY")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0D3F8-94F9-48B9-82EA-4608A96D8082}">
  <dimension ref="A1:N2001"/>
  <sheetViews>
    <sheetView tabSelected="1" topLeftCell="A1974" workbookViewId="0">
      <selection activeCell="A2" sqref="A2:I2001"/>
    </sheetView>
  </sheetViews>
  <sheetFormatPr defaultRowHeight="14.4" x14ac:dyDescent="0.3"/>
  <cols>
    <col min="1" max="1" width="12.88671875" bestFit="1" customWidth="1"/>
    <col min="2" max="2" width="17.6640625" bestFit="1" customWidth="1"/>
    <col min="3" max="3" width="18.5546875" bestFit="1" customWidth="1"/>
    <col min="4" max="6" width="9.44140625" style="25" bestFit="1" customWidth="1"/>
    <col min="7" max="7" width="20" bestFit="1" customWidth="1"/>
    <col min="8" max="8" width="14.6640625" bestFit="1" customWidth="1"/>
    <col min="9" max="9" width="18.6640625" bestFit="1" customWidth="1"/>
    <col min="10" max="10" width="14.33203125" bestFit="1" customWidth="1"/>
    <col min="11" max="11" width="15.5546875" bestFit="1" customWidth="1"/>
    <col min="12" max="12" width="14.21875" bestFit="1" customWidth="1"/>
    <col min="13" max="13" width="13.5546875" bestFit="1" customWidth="1"/>
    <col min="14" max="14" width="6.88671875" bestFit="1" customWidth="1"/>
  </cols>
  <sheetData>
    <row r="1" spans="1:14" x14ac:dyDescent="0.3">
      <c r="A1" s="1" t="s">
        <v>38</v>
      </c>
      <c r="B1" s="2" t="s">
        <v>39</v>
      </c>
      <c r="C1" s="2" t="s">
        <v>40</v>
      </c>
      <c r="D1" s="22" t="s">
        <v>41</v>
      </c>
      <c r="E1" s="22" t="s">
        <v>42</v>
      </c>
      <c r="F1" s="22" t="s">
        <v>43</v>
      </c>
      <c r="G1" s="2" t="s">
        <v>44</v>
      </c>
      <c r="H1" s="2" t="s">
        <v>45</v>
      </c>
      <c r="I1" s="2" t="s">
        <v>46</v>
      </c>
      <c r="J1" s="2" t="s">
        <v>47</v>
      </c>
      <c r="K1" s="2" t="s">
        <v>48</v>
      </c>
      <c r="L1" s="2" t="s">
        <v>49</v>
      </c>
      <c r="M1" s="2" t="s">
        <v>50</v>
      </c>
      <c r="N1" s="3" t="s">
        <v>51</v>
      </c>
    </row>
    <row r="2" spans="1:14" x14ac:dyDescent="0.3">
      <c r="A2" s="4">
        <v>45114</v>
      </c>
      <c r="B2" s="5" t="s">
        <v>0</v>
      </c>
      <c r="C2" s="5" t="s">
        <v>1</v>
      </c>
      <c r="D2" s="23">
        <v>266.36</v>
      </c>
      <c r="E2" s="23">
        <v>151.08000000000001</v>
      </c>
      <c r="F2" s="23">
        <v>115.28</v>
      </c>
      <c r="G2" s="5" t="s">
        <v>2</v>
      </c>
      <c r="H2" s="5" t="s">
        <v>3</v>
      </c>
      <c r="I2" s="5" t="s">
        <v>4</v>
      </c>
      <c r="J2" s="6">
        <f>Table1[[#This Row],[Profit]]/Table1[[#This Row],[Sales]]</f>
        <v>0.43279771737498118</v>
      </c>
      <c r="K2" s="5" t="str">
        <f t="shared" ref="K2:K65" si="0">IF(D2&gt;=2000,"High",IF(D2&gt;=1500,"Medium","Low"))</f>
        <v>Low</v>
      </c>
      <c r="L2" s="5" t="str">
        <f>TEXT(Table1[[#This Row],[Order_Date]],"MMM")</f>
        <v>Jul</v>
      </c>
      <c r="M2" s="5" t="str">
        <f>IF(Table1[[#This Row],[Profit]]&gt;=1000,"Excellent",IF(Table1[[#This Row],[Profit]]&gt;=500,"Good", IF(Table1[[#This Row],[Profit]]&lt;500,"Low")))</f>
        <v>Low</v>
      </c>
      <c r="N2" s="7" t="str">
        <f>TEXT(Table1[[#This Row],[Order_Date]],"YYY")</f>
        <v>2023</v>
      </c>
    </row>
    <row r="3" spans="1:14" x14ac:dyDescent="0.3">
      <c r="A3" s="4">
        <v>45114</v>
      </c>
      <c r="B3" s="5" t="s">
        <v>0</v>
      </c>
      <c r="C3" s="5" t="s">
        <v>5</v>
      </c>
      <c r="D3" s="23">
        <v>210.8</v>
      </c>
      <c r="E3" s="23">
        <v>65.53</v>
      </c>
      <c r="F3" s="23">
        <v>145.27000000000001</v>
      </c>
      <c r="G3" s="5" t="s">
        <v>6</v>
      </c>
      <c r="H3" s="5" t="s">
        <v>7</v>
      </c>
      <c r="I3" s="5" t="s">
        <v>4</v>
      </c>
      <c r="J3" s="6">
        <f>Table1[[#This Row],[Profit]]/Table1[[#This Row],[Sales]]</f>
        <v>0.68913662239089191</v>
      </c>
      <c r="K3" s="5" t="str">
        <f>IF(D3&gt;=2000,"High",IF(D3&gt;=1500,"Medium","Low"))</f>
        <v>Low</v>
      </c>
      <c r="L3" s="5" t="str">
        <f>TEXT(Table1[[#This Row],[Order_Date]],"MMM")</f>
        <v>Jul</v>
      </c>
      <c r="M3" s="5" t="str">
        <f>IF(Table1[[#This Row],[Profit]]&gt;=1000,"Excellent",IF(Table1[[#This Row],[Profit]]&gt;=500,"Good", IF(Table1[[#This Row],[Profit]]&lt;500,"Low")))</f>
        <v>Low</v>
      </c>
      <c r="N3" s="7" t="str">
        <f>TEXT(Table1[[#This Row],[Order_Date]],"YYY")</f>
        <v>2023</v>
      </c>
    </row>
    <row r="4" spans="1:14" x14ac:dyDescent="0.3">
      <c r="A4" s="4">
        <v>45114</v>
      </c>
      <c r="B4" s="5" t="s">
        <v>8</v>
      </c>
      <c r="C4" s="5" t="s">
        <v>5</v>
      </c>
      <c r="D4" s="23">
        <v>1800.02</v>
      </c>
      <c r="E4" s="23">
        <v>659.48</v>
      </c>
      <c r="F4" s="23">
        <v>1140.54</v>
      </c>
      <c r="G4" s="5" t="s">
        <v>9</v>
      </c>
      <c r="H4" s="5" t="s">
        <v>10</v>
      </c>
      <c r="I4" s="5" t="s">
        <v>11</v>
      </c>
      <c r="J4" s="6">
        <f>Table1[[#This Row],[Profit]]/Table1[[#This Row],[Sales]]</f>
        <v>0.63362629304118845</v>
      </c>
      <c r="K4" s="5" t="str">
        <f t="shared" si="0"/>
        <v>Medium</v>
      </c>
      <c r="L4" s="5" t="str">
        <f>TEXT(Table1[[#This Row],[Order_Date]],"MMM")</f>
        <v>Jul</v>
      </c>
      <c r="M4" s="5" t="str">
        <f>IF(Table1[[#This Row],[Profit]]&gt;=1000,"Excellent",IF(Table1[[#This Row],[Profit]]&gt;=500,"Good", IF(Table1[[#This Row],[Profit]]&lt;500,"Low")))</f>
        <v>Excellent</v>
      </c>
      <c r="N4" s="7" t="str">
        <f>TEXT(Table1[[#This Row],[Order_Date]],"YYY")</f>
        <v>2023</v>
      </c>
    </row>
    <row r="5" spans="1:14" x14ac:dyDescent="0.3">
      <c r="A5" s="4">
        <v>45115</v>
      </c>
      <c r="B5" s="5" t="s">
        <v>8</v>
      </c>
      <c r="C5" s="5" t="s">
        <v>1</v>
      </c>
      <c r="D5" s="23">
        <v>1129.8900000000001</v>
      </c>
      <c r="E5" s="23">
        <v>731.05</v>
      </c>
      <c r="F5" s="23">
        <v>398.84</v>
      </c>
      <c r="G5" s="5" t="s">
        <v>2</v>
      </c>
      <c r="H5" s="5" t="s">
        <v>12</v>
      </c>
      <c r="I5" s="5" t="s">
        <v>4</v>
      </c>
      <c r="J5" s="6">
        <f>Table1[[#This Row],[Profit]]/Table1[[#This Row],[Sales]]</f>
        <v>0.35299011408190173</v>
      </c>
      <c r="K5" s="5" t="str">
        <f t="shared" si="0"/>
        <v>Low</v>
      </c>
      <c r="L5" s="5" t="str">
        <f>TEXT(Table1[[#This Row],[Order_Date]],"MMM")</f>
        <v>Jul</v>
      </c>
      <c r="M5" s="5" t="str">
        <f>IF(Table1[[#This Row],[Profit]]&gt;=1000,"Excellent",IF(Table1[[#This Row],[Profit]]&gt;=500,"Good", IF(Table1[[#This Row],[Profit]]&lt;500,"Low")))</f>
        <v>Low</v>
      </c>
      <c r="N5" s="7" t="str">
        <f>TEXT(Table1[[#This Row],[Order_Date]],"YYY")</f>
        <v>2023</v>
      </c>
    </row>
    <row r="6" spans="1:14" x14ac:dyDescent="0.3">
      <c r="A6" s="4">
        <v>45115</v>
      </c>
      <c r="B6" s="5" t="s">
        <v>13</v>
      </c>
      <c r="C6" s="5" t="s">
        <v>14</v>
      </c>
      <c r="D6" s="23">
        <v>198.41</v>
      </c>
      <c r="E6" s="23">
        <v>64.34</v>
      </c>
      <c r="F6" s="23">
        <v>134.07</v>
      </c>
      <c r="G6" s="5" t="s">
        <v>9</v>
      </c>
      <c r="H6" s="5" t="s">
        <v>15</v>
      </c>
      <c r="I6" s="5" t="s">
        <v>11</v>
      </c>
      <c r="J6" s="6">
        <f>Table1[[#This Row],[Profit]]/Table1[[#This Row],[Sales]]</f>
        <v>0.67572198981906151</v>
      </c>
      <c r="K6" s="5" t="str">
        <f t="shared" si="0"/>
        <v>Low</v>
      </c>
      <c r="L6" s="5" t="str">
        <f>TEXT(Table1[[#This Row],[Order_Date]],"MMM")</f>
        <v>Jul</v>
      </c>
      <c r="M6" s="5" t="str">
        <f>IF(Table1[[#This Row],[Profit]]&gt;=1000,"Excellent",IF(Table1[[#This Row],[Profit]]&gt;=500,"Good", IF(Table1[[#This Row],[Profit]]&lt;500,"Low")))</f>
        <v>Low</v>
      </c>
      <c r="N6" s="7" t="str">
        <f>TEXT(Table1[[#This Row],[Order_Date]],"YYY")</f>
        <v>2023</v>
      </c>
    </row>
    <row r="7" spans="1:14" x14ac:dyDescent="0.3">
      <c r="A7" s="4">
        <v>45116</v>
      </c>
      <c r="B7" s="5" t="s">
        <v>16</v>
      </c>
      <c r="C7" s="5" t="s">
        <v>14</v>
      </c>
      <c r="D7" s="23">
        <v>177.03</v>
      </c>
      <c r="E7" s="23">
        <v>89.06</v>
      </c>
      <c r="F7" s="23">
        <v>87.97</v>
      </c>
      <c r="G7" s="5" t="s">
        <v>6</v>
      </c>
      <c r="H7" s="5" t="s">
        <v>3</v>
      </c>
      <c r="I7" s="5" t="s">
        <v>17</v>
      </c>
      <c r="J7" s="6">
        <f>Table1[[#This Row],[Profit]]/Table1[[#This Row],[Sales]]</f>
        <v>0.49692142574704851</v>
      </c>
      <c r="K7" s="5" t="str">
        <f t="shared" si="0"/>
        <v>Low</v>
      </c>
      <c r="L7" s="5" t="str">
        <f>TEXT(Table1[[#This Row],[Order_Date]],"MMM")</f>
        <v>Jul</v>
      </c>
      <c r="M7" s="5" t="str">
        <f>IF(Table1[[#This Row],[Profit]]&gt;=1000,"Excellent",IF(Table1[[#This Row],[Profit]]&gt;=500,"Good", IF(Table1[[#This Row],[Profit]]&lt;500,"Low")))</f>
        <v>Low</v>
      </c>
      <c r="N7" s="7" t="str">
        <f>TEXT(Table1[[#This Row],[Order_Date]],"YYY")</f>
        <v>2023</v>
      </c>
    </row>
    <row r="8" spans="1:14" x14ac:dyDescent="0.3">
      <c r="A8" s="4">
        <v>45116</v>
      </c>
      <c r="B8" s="5" t="s">
        <v>18</v>
      </c>
      <c r="C8" s="5" t="s">
        <v>19</v>
      </c>
      <c r="D8" s="23">
        <v>66</v>
      </c>
      <c r="E8" s="23">
        <v>16.420000000000002</v>
      </c>
      <c r="F8" s="23">
        <v>49.58</v>
      </c>
      <c r="G8" s="5" t="s">
        <v>20</v>
      </c>
      <c r="H8" s="5" t="s">
        <v>21</v>
      </c>
      <c r="I8" s="5" t="s">
        <v>22</v>
      </c>
      <c r="J8" s="6">
        <f>Table1[[#This Row],[Profit]]/Table1[[#This Row],[Sales]]</f>
        <v>0.75121212121212122</v>
      </c>
      <c r="K8" s="5" t="str">
        <f t="shared" si="0"/>
        <v>Low</v>
      </c>
      <c r="L8" s="5" t="str">
        <f>TEXT(Table1[[#This Row],[Order_Date]],"MMM")</f>
        <v>Jul</v>
      </c>
      <c r="M8" s="5" t="str">
        <f>IF(Table1[[#This Row],[Profit]]&gt;=1000,"Excellent",IF(Table1[[#This Row],[Profit]]&gt;=500,"Good", IF(Table1[[#This Row],[Profit]]&lt;500,"Low")))</f>
        <v>Low</v>
      </c>
      <c r="N8" s="7" t="str">
        <f>TEXT(Table1[[#This Row],[Order_Date]],"YYY")</f>
        <v>2023</v>
      </c>
    </row>
    <row r="9" spans="1:14" x14ac:dyDescent="0.3">
      <c r="A9" s="4">
        <v>45116</v>
      </c>
      <c r="B9" s="5" t="s">
        <v>18</v>
      </c>
      <c r="C9" s="5" t="s">
        <v>23</v>
      </c>
      <c r="D9" s="23">
        <v>570.04</v>
      </c>
      <c r="E9" s="23">
        <v>203.12</v>
      </c>
      <c r="F9" s="23">
        <v>366.92</v>
      </c>
      <c r="G9" s="5" t="s">
        <v>9</v>
      </c>
      <c r="H9" s="5" t="s">
        <v>24</v>
      </c>
      <c r="I9" s="5" t="s">
        <v>25</v>
      </c>
      <c r="J9" s="6">
        <f>Table1[[#This Row],[Profit]]/Table1[[#This Row],[Sales]]</f>
        <v>0.64367412813135927</v>
      </c>
      <c r="K9" s="5" t="str">
        <f t="shared" si="0"/>
        <v>Low</v>
      </c>
      <c r="L9" s="5" t="str">
        <f>TEXT(Table1[[#This Row],[Order_Date]],"MMM")</f>
        <v>Jul</v>
      </c>
      <c r="M9" s="5" t="str">
        <f>IF(Table1[[#This Row],[Profit]]&gt;=1000,"Excellent",IF(Table1[[#This Row],[Profit]]&gt;=500,"Good", IF(Table1[[#This Row],[Profit]]&lt;500,"Low")))</f>
        <v>Low</v>
      </c>
      <c r="N9" s="7" t="str">
        <f>TEXT(Table1[[#This Row],[Order_Date]],"YYY")</f>
        <v>2023</v>
      </c>
    </row>
    <row r="10" spans="1:14" x14ac:dyDescent="0.3">
      <c r="A10" s="4">
        <v>45117</v>
      </c>
      <c r="B10" s="5" t="s">
        <v>16</v>
      </c>
      <c r="C10" s="5" t="s">
        <v>14</v>
      </c>
      <c r="D10" s="23">
        <v>343.29</v>
      </c>
      <c r="E10" s="23">
        <v>122.65</v>
      </c>
      <c r="F10" s="23">
        <v>220.64</v>
      </c>
      <c r="G10" s="5" t="s">
        <v>20</v>
      </c>
      <c r="H10" s="5" t="s">
        <v>24</v>
      </c>
      <c r="I10" s="5" t="s">
        <v>22</v>
      </c>
      <c r="J10" s="6">
        <f>Table1[[#This Row],[Profit]]/Table1[[#This Row],[Sales]]</f>
        <v>0.6427218969384485</v>
      </c>
      <c r="K10" s="5" t="str">
        <f t="shared" si="0"/>
        <v>Low</v>
      </c>
      <c r="L10" s="5" t="str">
        <f>TEXT(Table1[[#This Row],[Order_Date]],"MMM")</f>
        <v>Jul</v>
      </c>
      <c r="M10" s="5" t="str">
        <f>IF(Table1[[#This Row],[Profit]]&gt;=1000,"Excellent",IF(Table1[[#This Row],[Profit]]&gt;=500,"Good", IF(Table1[[#This Row],[Profit]]&lt;500,"Low")))</f>
        <v>Low</v>
      </c>
      <c r="N10" s="7" t="str">
        <f>TEXT(Table1[[#This Row],[Order_Date]],"YYY")</f>
        <v>2023</v>
      </c>
    </row>
    <row r="11" spans="1:14" x14ac:dyDescent="0.3">
      <c r="A11" s="4">
        <v>45117</v>
      </c>
      <c r="B11" s="5" t="s">
        <v>13</v>
      </c>
      <c r="C11" s="5" t="s">
        <v>26</v>
      </c>
      <c r="D11" s="23">
        <v>769.56</v>
      </c>
      <c r="E11" s="23">
        <v>317.08</v>
      </c>
      <c r="F11" s="23">
        <v>452.48</v>
      </c>
      <c r="G11" s="5" t="s">
        <v>2</v>
      </c>
      <c r="H11" s="5" t="s">
        <v>21</v>
      </c>
      <c r="I11" s="5" t="s">
        <v>27</v>
      </c>
      <c r="J11" s="6">
        <f>Table1[[#This Row],[Profit]]/Table1[[#This Row],[Sales]]</f>
        <v>0.58797234783512664</v>
      </c>
      <c r="K11" s="5" t="str">
        <f t="shared" si="0"/>
        <v>Low</v>
      </c>
      <c r="L11" s="5" t="str">
        <f>TEXT(Table1[[#This Row],[Order_Date]],"MMM")</f>
        <v>Jul</v>
      </c>
      <c r="M11" s="5" t="str">
        <f>IF(Table1[[#This Row],[Profit]]&gt;=1000,"Excellent",IF(Table1[[#This Row],[Profit]]&gt;=500,"Good", IF(Table1[[#This Row],[Profit]]&lt;500,"Low")))</f>
        <v>Low</v>
      </c>
      <c r="N11" s="7" t="str">
        <f>TEXT(Table1[[#This Row],[Order_Date]],"YYY")</f>
        <v>2023</v>
      </c>
    </row>
    <row r="12" spans="1:14" x14ac:dyDescent="0.3">
      <c r="A12" s="4">
        <v>45118</v>
      </c>
      <c r="B12" s="5" t="s">
        <v>18</v>
      </c>
      <c r="C12" s="5" t="s">
        <v>5</v>
      </c>
      <c r="D12" s="23">
        <v>2323.64</v>
      </c>
      <c r="E12" s="23">
        <v>796.95</v>
      </c>
      <c r="F12" s="23">
        <v>1526.69</v>
      </c>
      <c r="G12" s="5" t="s">
        <v>6</v>
      </c>
      <c r="H12" s="5" t="s">
        <v>21</v>
      </c>
      <c r="I12" s="5" t="s">
        <v>11</v>
      </c>
      <c r="J12" s="6">
        <f>Table1[[#This Row],[Profit]]/Table1[[#This Row],[Sales]]</f>
        <v>0.65702518462412429</v>
      </c>
      <c r="K12" s="5" t="str">
        <f t="shared" si="0"/>
        <v>High</v>
      </c>
      <c r="L12" s="5" t="str">
        <f>TEXT(Table1[[#This Row],[Order_Date]],"MMM")</f>
        <v>Jul</v>
      </c>
      <c r="M12" s="5" t="str">
        <f>IF(Table1[[#This Row],[Profit]]&gt;=1000,"Excellent",IF(Table1[[#This Row],[Profit]]&gt;=500,"Good", IF(Table1[[#This Row],[Profit]]&lt;500,"Low")))</f>
        <v>Excellent</v>
      </c>
      <c r="N12" s="7" t="str">
        <f>TEXT(Table1[[#This Row],[Order_Date]],"YYY")</f>
        <v>2023</v>
      </c>
    </row>
    <row r="13" spans="1:14" x14ac:dyDescent="0.3">
      <c r="A13" s="4">
        <v>45118</v>
      </c>
      <c r="B13" s="5" t="s">
        <v>18</v>
      </c>
      <c r="C13" s="5" t="s">
        <v>1</v>
      </c>
      <c r="D13" s="23">
        <v>1025.99</v>
      </c>
      <c r="E13" s="23">
        <v>551.46</v>
      </c>
      <c r="F13" s="23">
        <v>474.53</v>
      </c>
      <c r="G13" s="5" t="s">
        <v>6</v>
      </c>
      <c r="H13" s="5" t="s">
        <v>21</v>
      </c>
      <c r="I13" s="5" t="s">
        <v>17</v>
      </c>
      <c r="J13" s="6">
        <f>Table1[[#This Row],[Profit]]/Table1[[#This Row],[Sales]]</f>
        <v>0.46250938118305246</v>
      </c>
      <c r="K13" s="5" t="str">
        <f t="shared" si="0"/>
        <v>Low</v>
      </c>
      <c r="L13" s="5" t="str">
        <f>TEXT(Table1[[#This Row],[Order_Date]],"MMM")</f>
        <v>Jul</v>
      </c>
      <c r="M13" s="5" t="str">
        <f>IF(Table1[[#This Row],[Profit]]&gt;=1000,"Excellent",IF(Table1[[#This Row],[Profit]]&gt;=500,"Good", IF(Table1[[#This Row],[Profit]]&lt;500,"Low")))</f>
        <v>Low</v>
      </c>
      <c r="N13" s="7" t="str">
        <f>TEXT(Table1[[#This Row],[Order_Date]],"YYY")</f>
        <v>2023</v>
      </c>
    </row>
    <row r="14" spans="1:14" x14ac:dyDescent="0.3">
      <c r="A14" s="4">
        <v>45119</v>
      </c>
      <c r="B14" s="5" t="s">
        <v>8</v>
      </c>
      <c r="C14" s="5" t="s">
        <v>1</v>
      </c>
      <c r="D14" s="23">
        <v>179.05</v>
      </c>
      <c r="E14" s="23">
        <v>120.39</v>
      </c>
      <c r="F14" s="23">
        <v>58.66</v>
      </c>
      <c r="G14" s="5" t="s">
        <v>20</v>
      </c>
      <c r="H14" s="5" t="s">
        <v>7</v>
      </c>
      <c r="I14" s="5" t="s">
        <v>17</v>
      </c>
      <c r="J14" s="6">
        <f>Table1[[#This Row],[Profit]]/Table1[[#This Row],[Sales]]</f>
        <v>0.32761798380340684</v>
      </c>
      <c r="K14" s="5" t="str">
        <f t="shared" si="0"/>
        <v>Low</v>
      </c>
      <c r="L14" s="5" t="str">
        <f>TEXT(Table1[[#This Row],[Order_Date]],"MMM")</f>
        <v>Jul</v>
      </c>
      <c r="M14" s="5" t="str">
        <f>IF(Table1[[#This Row],[Profit]]&gt;=1000,"Excellent",IF(Table1[[#This Row],[Profit]]&gt;=500,"Good", IF(Table1[[#This Row],[Profit]]&lt;500,"Low")))</f>
        <v>Low</v>
      </c>
      <c r="N14" s="7" t="str">
        <f>TEXT(Table1[[#This Row],[Order_Date]],"YYY")</f>
        <v>2023</v>
      </c>
    </row>
    <row r="15" spans="1:14" x14ac:dyDescent="0.3">
      <c r="A15" s="4">
        <v>45120</v>
      </c>
      <c r="B15" s="5" t="s">
        <v>13</v>
      </c>
      <c r="C15" s="5" t="s">
        <v>5</v>
      </c>
      <c r="D15" s="23">
        <v>1445.34</v>
      </c>
      <c r="E15" s="23">
        <v>688.64</v>
      </c>
      <c r="F15" s="23">
        <v>756.7</v>
      </c>
      <c r="G15" s="5" t="s">
        <v>2</v>
      </c>
      <c r="H15" s="5" t="s">
        <v>3</v>
      </c>
      <c r="I15" s="5" t="s">
        <v>11</v>
      </c>
      <c r="J15" s="6">
        <f>Table1[[#This Row],[Profit]]/Table1[[#This Row],[Sales]]</f>
        <v>0.52354463309671084</v>
      </c>
      <c r="K15" s="5" t="str">
        <f t="shared" si="0"/>
        <v>Low</v>
      </c>
      <c r="L15" s="5" t="str">
        <f>TEXT(Table1[[#This Row],[Order_Date]],"MMM")</f>
        <v>Jul</v>
      </c>
      <c r="M15" s="5" t="str">
        <f>IF(Table1[[#This Row],[Profit]]&gt;=1000,"Excellent",IF(Table1[[#This Row],[Profit]]&gt;=500,"Good", IF(Table1[[#This Row],[Profit]]&lt;500,"Low")))</f>
        <v>Good</v>
      </c>
      <c r="N15" s="7" t="str">
        <f>TEXT(Table1[[#This Row],[Order_Date]],"YYY")</f>
        <v>2023</v>
      </c>
    </row>
    <row r="16" spans="1:14" x14ac:dyDescent="0.3">
      <c r="A16" s="4">
        <v>45121</v>
      </c>
      <c r="B16" s="5" t="s">
        <v>8</v>
      </c>
      <c r="C16" s="5" t="s">
        <v>5</v>
      </c>
      <c r="D16" s="23">
        <v>1211.21</v>
      </c>
      <c r="E16" s="23">
        <v>431.41</v>
      </c>
      <c r="F16" s="23">
        <v>779.8</v>
      </c>
      <c r="G16" s="5" t="s">
        <v>2</v>
      </c>
      <c r="H16" s="5" t="s">
        <v>28</v>
      </c>
      <c r="I16" s="5" t="s">
        <v>17</v>
      </c>
      <c r="J16" s="6">
        <f>Table1[[#This Row],[Profit]]/Table1[[#This Row],[Sales]]</f>
        <v>0.64381899092642891</v>
      </c>
      <c r="K16" s="5" t="str">
        <f t="shared" si="0"/>
        <v>Low</v>
      </c>
      <c r="L16" s="5" t="str">
        <f>TEXT(Table1[[#This Row],[Order_Date]],"MMM")</f>
        <v>Jul</v>
      </c>
      <c r="M16" s="5" t="str">
        <f>IF(Table1[[#This Row],[Profit]]&gt;=1000,"Excellent",IF(Table1[[#This Row],[Profit]]&gt;=500,"Good", IF(Table1[[#This Row],[Profit]]&lt;500,"Low")))</f>
        <v>Good</v>
      </c>
      <c r="N16" s="7" t="str">
        <f>TEXT(Table1[[#This Row],[Order_Date]],"YYY")</f>
        <v>2023</v>
      </c>
    </row>
    <row r="17" spans="1:14" x14ac:dyDescent="0.3">
      <c r="A17" s="4">
        <v>45121</v>
      </c>
      <c r="B17" s="5" t="s">
        <v>16</v>
      </c>
      <c r="C17" s="5" t="s">
        <v>1</v>
      </c>
      <c r="D17" s="23">
        <v>1412.87</v>
      </c>
      <c r="E17" s="23">
        <v>815.69</v>
      </c>
      <c r="F17" s="23">
        <v>597.17999999999995</v>
      </c>
      <c r="G17" s="5" t="s">
        <v>2</v>
      </c>
      <c r="H17" s="5" t="s">
        <v>21</v>
      </c>
      <c r="I17" s="5" t="s">
        <v>11</v>
      </c>
      <c r="J17" s="6">
        <f>Table1[[#This Row],[Profit]]/Table1[[#This Row],[Sales]]</f>
        <v>0.42267158337285099</v>
      </c>
      <c r="K17" s="5" t="str">
        <f t="shared" si="0"/>
        <v>Low</v>
      </c>
      <c r="L17" s="5" t="str">
        <f>TEXT(Table1[[#This Row],[Order_Date]],"MMM")</f>
        <v>Jul</v>
      </c>
      <c r="M17" s="5" t="str">
        <f>IF(Table1[[#This Row],[Profit]]&gt;=1000,"Excellent",IF(Table1[[#This Row],[Profit]]&gt;=500,"Good", IF(Table1[[#This Row],[Profit]]&lt;500,"Low")))</f>
        <v>Good</v>
      </c>
      <c r="N17" s="7" t="str">
        <f>TEXT(Table1[[#This Row],[Order_Date]],"YYY")</f>
        <v>2023</v>
      </c>
    </row>
    <row r="18" spans="1:14" x14ac:dyDescent="0.3">
      <c r="A18" s="4">
        <v>45121</v>
      </c>
      <c r="B18" s="5" t="s">
        <v>0</v>
      </c>
      <c r="C18" s="5" t="s">
        <v>19</v>
      </c>
      <c r="D18" s="23">
        <v>36.58</v>
      </c>
      <c r="E18" s="23">
        <v>10.6</v>
      </c>
      <c r="F18" s="23">
        <v>25.98</v>
      </c>
      <c r="G18" s="5" t="s">
        <v>20</v>
      </c>
      <c r="H18" s="5" t="s">
        <v>29</v>
      </c>
      <c r="I18" s="5" t="s">
        <v>4</v>
      </c>
      <c r="J18" s="6">
        <f>Table1[[#This Row],[Profit]]/Table1[[#This Row],[Sales]]</f>
        <v>0.71022416621104434</v>
      </c>
      <c r="K18" s="5" t="str">
        <f t="shared" si="0"/>
        <v>Low</v>
      </c>
      <c r="L18" s="5" t="str">
        <f>TEXT(Table1[[#This Row],[Order_Date]],"MMM")</f>
        <v>Jul</v>
      </c>
      <c r="M18" s="5" t="str">
        <f>IF(Table1[[#This Row],[Profit]]&gt;=1000,"Excellent",IF(Table1[[#This Row],[Profit]]&gt;=500,"Good", IF(Table1[[#This Row],[Profit]]&lt;500,"Low")))</f>
        <v>Low</v>
      </c>
      <c r="N18" s="7" t="str">
        <f>TEXT(Table1[[#This Row],[Order_Date]],"YYY")</f>
        <v>2023</v>
      </c>
    </row>
    <row r="19" spans="1:14" x14ac:dyDescent="0.3">
      <c r="A19" s="4">
        <v>45121</v>
      </c>
      <c r="B19" s="5" t="s">
        <v>18</v>
      </c>
      <c r="C19" s="5" t="s">
        <v>23</v>
      </c>
      <c r="D19" s="23">
        <v>775.82</v>
      </c>
      <c r="E19" s="23">
        <v>279.64999999999998</v>
      </c>
      <c r="F19" s="23">
        <v>496.17</v>
      </c>
      <c r="G19" s="5" t="s">
        <v>20</v>
      </c>
      <c r="H19" s="5" t="s">
        <v>30</v>
      </c>
      <c r="I19" s="5" t="s">
        <v>25</v>
      </c>
      <c r="J19" s="6">
        <f>Table1[[#This Row],[Profit]]/Table1[[#This Row],[Sales]]</f>
        <v>0.6395426774251759</v>
      </c>
      <c r="K19" s="5" t="str">
        <f t="shared" si="0"/>
        <v>Low</v>
      </c>
      <c r="L19" s="5" t="str">
        <f>TEXT(Table1[[#This Row],[Order_Date]],"MMM")</f>
        <v>Jul</v>
      </c>
      <c r="M19" s="5" t="str">
        <f>IF(Table1[[#This Row],[Profit]]&gt;=1000,"Excellent",IF(Table1[[#This Row],[Profit]]&gt;=500,"Good", IF(Table1[[#This Row],[Profit]]&lt;500,"Low")))</f>
        <v>Low</v>
      </c>
      <c r="N19" s="7" t="str">
        <f>TEXT(Table1[[#This Row],[Order_Date]],"YYY")</f>
        <v>2023</v>
      </c>
    </row>
    <row r="20" spans="1:14" x14ac:dyDescent="0.3">
      <c r="A20" s="4">
        <v>45123</v>
      </c>
      <c r="B20" s="5" t="s">
        <v>16</v>
      </c>
      <c r="C20" s="5" t="s">
        <v>31</v>
      </c>
      <c r="D20" s="23">
        <v>65.650000000000006</v>
      </c>
      <c r="E20" s="23">
        <v>13.31</v>
      </c>
      <c r="F20" s="23">
        <v>52.34</v>
      </c>
      <c r="G20" s="5" t="s">
        <v>32</v>
      </c>
      <c r="H20" s="5" t="s">
        <v>3</v>
      </c>
      <c r="I20" s="5" t="s">
        <v>27</v>
      </c>
      <c r="J20" s="6">
        <f>Table1[[#This Row],[Profit]]/Table1[[#This Row],[Sales]]</f>
        <v>0.79725818735719722</v>
      </c>
      <c r="K20" s="5" t="str">
        <f t="shared" si="0"/>
        <v>Low</v>
      </c>
      <c r="L20" s="5" t="str">
        <f>TEXT(Table1[[#This Row],[Order_Date]],"MMM")</f>
        <v>Jul</v>
      </c>
      <c r="M20" s="5" t="str">
        <f>IF(Table1[[#This Row],[Profit]]&gt;=1000,"Excellent",IF(Table1[[#This Row],[Profit]]&gt;=500,"Good", IF(Table1[[#This Row],[Profit]]&lt;500,"Low")))</f>
        <v>Low</v>
      </c>
      <c r="N20" s="7" t="str">
        <f>TEXT(Table1[[#This Row],[Order_Date]],"YYY")</f>
        <v>2023</v>
      </c>
    </row>
    <row r="21" spans="1:14" x14ac:dyDescent="0.3">
      <c r="A21" s="4">
        <v>45124</v>
      </c>
      <c r="B21" s="5" t="s">
        <v>8</v>
      </c>
      <c r="C21" s="5" t="s">
        <v>26</v>
      </c>
      <c r="D21" s="23">
        <v>418.72</v>
      </c>
      <c r="E21" s="23">
        <v>118.5</v>
      </c>
      <c r="F21" s="23">
        <v>300.22000000000003</v>
      </c>
      <c r="G21" s="5" t="s">
        <v>20</v>
      </c>
      <c r="H21" s="5" t="s">
        <v>33</v>
      </c>
      <c r="I21" s="5" t="s">
        <v>4</v>
      </c>
      <c r="J21" s="6">
        <f>Table1[[#This Row],[Profit]]/Table1[[#This Row],[Sales]]</f>
        <v>0.71699465036301113</v>
      </c>
      <c r="K21" s="5" t="str">
        <f t="shared" si="0"/>
        <v>Low</v>
      </c>
      <c r="L21" s="5" t="str">
        <f>TEXT(Table1[[#This Row],[Order_Date]],"MMM")</f>
        <v>Jul</v>
      </c>
      <c r="M21" s="5" t="str">
        <f>IF(Table1[[#This Row],[Profit]]&gt;=1000,"Excellent",IF(Table1[[#This Row],[Profit]]&gt;=500,"Good", IF(Table1[[#This Row],[Profit]]&lt;500,"Low")))</f>
        <v>Low</v>
      </c>
      <c r="N21" s="7" t="str">
        <f>TEXT(Table1[[#This Row],[Order_Date]],"YYY")</f>
        <v>2023</v>
      </c>
    </row>
    <row r="22" spans="1:14" x14ac:dyDescent="0.3">
      <c r="A22" s="4">
        <v>45124</v>
      </c>
      <c r="B22" s="5" t="s">
        <v>18</v>
      </c>
      <c r="C22" s="5" t="s">
        <v>26</v>
      </c>
      <c r="D22" s="23">
        <v>192.06</v>
      </c>
      <c r="E22" s="23">
        <v>68.349999999999994</v>
      </c>
      <c r="F22" s="23">
        <v>123.71</v>
      </c>
      <c r="G22" s="5" t="s">
        <v>20</v>
      </c>
      <c r="H22" s="5" t="s">
        <v>24</v>
      </c>
      <c r="I22" s="5" t="s">
        <v>17</v>
      </c>
      <c r="J22" s="6">
        <f>Table1[[#This Row],[Profit]]/Table1[[#This Row],[Sales]]</f>
        <v>0.64412162865771105</v>
      </c>
      <c r="K22" s="5" t="str">
        <f t="shared" si="0"/>
        <v>Low</v>
      </c>
      <c r="L22" s="5" t="str">
        <f>TEXT(Table1[[#This Row],[Order_Date]],"MMM")</f>
        <v>Jul</v>
      </c>
      <c r="M22" s="5" t="str">
        <f>IF(Table1[[#This Row],[Profit]]&gt;=1000,"Excellent",IF(Table1[[#This Row],[Profit]]&gt;=500,"Good", IF(Table1[[#This Row],[Profit]]&lt;500,"Low")))</f>
        <v>Low</v>
      </c>
      <c r="N22" s="7" t="str">
        <f>TEXT(Table1[[#This Row],[Order_Date]],"YYY")</f>
        <v>2023</v>
      </c>
    </row>
    <row r="23" spans="1:14" x14ac:dyDescent="0.3">
      <c r="A23" s="4">
        <v>45124</v>
      </c>
      <c r="B23" s="5" t="s">
        <v>18</v>
      </c>
      <c r="C23" s="5" t="s">
        <v>5</v>
      </c>
      <c r="D23" s="23">
        <v>2459.08</v>
      </c>
      <c r="E23" s="23">
        <v>833.44</v>
      </c>
      <c r="F23" s="23">
        <v>1625.64</v>
      </c>
      <c r="G23" s="5" t="s">
        <v>20</v>
      </c>
      <c r="H23" s="5" t="s">
        <v>3</v>
      </c>
      <c r="I23" s="5" t="s">
        <v>11</v>
      </c>
      <c r="J23" s="6">
        <f>Table1[[#This Row],[Profit]]/Table1[[#This Row],[Sales]]</f>
        <v>0.66107650015452935</v>
      </c>
      <c r="K23" s="5" t="str">
        <f t="shared" si="0"/>
        <v>High</v>
      </c>
      <c r="L23" s="5" t="str">
        <f>TEXT(Table1[[#This Row],[Order_Date]],"MMM")</f>
        <v>Jul</v>
      </c>
      <c r="M23" s="5" t="str">
        <f>IF(Table1[[#This Row],[Profit]]&gt;=1000,"Excellent",IF(Table1[[#This Row],[Profit]]&gt;=500,"Good", IF(Table1[[#This Row],[Profit]]&lt;500,"Low")))</f>
        <v>Excellent</v>
      </c>
      <c r="N23" s="7" t="str">
        <f>TEXT(Table1[[#This Row],[Order_Date]],"YYY")</f>
        <v>2023</v>
      </c>
    </row>
    <row r="24" spans="1:14" x14ac:dyDescent="0.3">
      <c r="A24" s="4">
        <v>45124</v>
      </c>
      <c r="B24" s="5" t="s">
        <v>8</v>
      </c>
      <c r="C24" s="5" t="s">
        <v>5</v>
      </c>
      <c r="D24" s="23">
        <v>2219.9699999999998</v>
      </c>
      <c r="E24" s="23">
        <v>1090.8599999999999</v>
      </c>
      <c r="F24" s="23">
        <v>1129.1099999999999</v>
      </c>
      <c r="G24" s="5" t="s">
        <v>32</v>
      </c>
      <c r="H24" s="5" t="s">
        <v>12</v>
      </c>
      <c r="I24" s="5" t="s">
        <v>25</v>
      </c>
      <c r="J24" s="6">
        <f>Table1[[#This Row],[Profit]]/Table1[[#This Row],[Sales]]</f>
        <v>0.50861498128353089</v>
      </c>
      <c r="K24" s="5" t="str">
        <f t="shared" si="0"/>
        <v>High</v>
      </c>
      <c r="L24" s="5" t="str">
        <f>TEXT(Table1[[#This Row],[Order_Date]],"MMM")</f>
        <v>Jul</v>
      </c>
      <c r="M24" s="5" t="str">
        <f>IF(Table1[[#This Row],[Profit]]&gt;=1000,"Excellent",IF(Table1[[#This Row],[Profit]]&gt;=500,"Good", IF(Table1[[#This Row],[Profit]]&lt;500,"Low")))</f>
        <v>Excellent</v>
      </c>
      <c r="N24" s="7" t="str">
        <f>TEXT(Table1[[#This Row],[Order_Date]],"YYY")</f>
        <v>2023</v>
      </c>
    </row>
    <row r="25" spans="1:14" x14ac:dyDescent="0.3">
      <c r="A25" s="4">
        <v>45125</v>
      </c>
      <c r="B25" s="5" t="s">
        <v>13</v>
      </c>
      <c r="C25" s="5" t="s">
        <v>26</v>
      </c>
      <c r="D25" s="23">
        <v>838.98</v>
      </c>
      <c r="E25" s="23">
        <v>217.98</v>
      </c>
      <c r="F25" s="23">
        <v>621</v>
      </c>
      <c r="G25" s="5" t="s">
        <v>6</v>
      </c>
      <c r="H25" s="5" t="s">
        <v>33</v>
      </c>
      <c r="I25" s="5" t="s">
        <v>11</v>
      </c>
      <c r="J25" s="6">
        <f>Table1[[#This Row],[Profit]]/Table1[[#This Row],[Sales]]</f>
        <v>0.74018450976185368</v>
      </c>
      <c r="K25" s="5" t="str">
        <f t="shared" si="0"/>
        <v>Low</v>
      </c>
      <c r="L25" s="5" t="str">
        <f>TEXT(Table1[[#This Row],[Order_Date]],"MMM")</f>
        <v>Jul</v>
      </c>
      <c r="M25" s="5" t="str">
        <f>IF(Table1[[#This Row],[Profit]]&gt;=1000,"Excellent",IF(Table1[[#This Row],[Profit]]&gt;=500,"Good", IF(Table1[[#This Row],[Profit]]&lt;500,"Low")))</f>
        <v>Good</v>
      </c>
      <c r="N25" s="7" t="str">
        <f>TEXT(Table1[[#This Row],[Order_Date]],"YYY")</f>
        <v>2023</v>
      </c>
    </row>
    <row r="26" spans="1:14" x14ac:dyDescent="0.3">
      <c r="A26" s="4">
        <v>45125</v>
      </c>
      <c r="B26" s="5" t="s">
        <v>13</v>
      </c>
      <c r="C26" s="5" t="s">
        <v>23</v>
      </c>
      <c r="D26" s="23">
        <v>647.02</v>
      </c>
      <c r="E26" s="23">
        <v>307.76</v>
      </c>
      <c r="F26" s="23">
        <v>339.26</v>
      </c>
      <c r="G26" s="5" t="s">
        <v>6</v>
      </c>
      <c r="H26" s="5" t="s">
        <v>24</v>
      </c>
      <c r="I26" s="5" t="s">
        <v>22</v>
      </c>
      <c r="J26" s="6">
        <f>Table1[[#This Row],[Profit]]/Table1[[#This Row],[Sales]]</f>
        <v>0.52434236963308711</v>
      </c>
      <c r="K26" s="5" t="str">
        <f t="shared" si="0"/>
        <v>Low</v>
      </c>
      <c r="L26" s="5" t="str">
        <f>TEXT(Table1[[#This Row],[Order_Date]],"MMM")</f>
        <v>Jul</v>
      </c>
      <c r="M26" s="5" t="str">
        <f>IF(Table1[[#This Row],[Profit]]&gt;=1000,"Excellent",IF(Table1[[#This Row],[Profit]]&gt;=500,"Good", IF(Table1[[#This Row],[Profit]]&lt;500,"Low")))</f>
        <v>Low</v>
      </c>
      <c r="N26" s="7" t="str">
        <f>TEXT(Table1[[#This Row],[Order_Date]],"YYY")</f>
        <v>2023</v>
      </c>
    </row>
    <row r="27" spans="1:14" x14ac:dyDescent="0.3">
      <c r="A27" s="4">
        <v>45126</v>
      </c>
      <c r="B27" s="5" t="s">
        <v>13</v>
      </c>
      <c r="C27" s="5" t="s">
        <v>5</v>
      </c>
      <c r="D27" s="23">
        <v>1908.34</v>
      </c>
      <c r="E27" s="23">
        <v>628.44000000000005</v>
      </c>
      <c r="F27" s="23">
        <v>1279.9000000000001</v>
      </c>
      <c r="G27" s="5" t="s">
        <v>2</v>
      </c>
      <c r="H27" s="5" t="s">
        <v>28</v>
      </c>
      <c r="I27" s="5" t="s">
        <v>11</v>
      </c>
      <c r="J27" s="6">
        <f>Table1[[#This Row],[Profit]]/Table1[[#This Row],[Sales]]</f>
        <v>0.67068761331838145</v>
      </c>
      <c r="K27" s="5" t="str">
        <f t="shared" si="0"/>
        <v>Medium</v>
      </c>
      <c r="L27" s="5" t="str">
        <f>TEXT(Table1[[#This Row],[Order_Date]],"MMM")</f>
        <v>Jul</v>
      </c>
      <c r="M27" s="5" t="str">
        <f>IF(Table1[[#This Row],[Profit]]&gt;=1000,"Excellent",IF(Table1[[#This Row],[Profit]]&gt;=500,"Good", IF(Table1[[#This Row],[Profit]]&lt;500,"Low")))</f>
        <v>Excellent</v>
      </c>
      <c r="N27" s="7" t="str">
        <f>TEXT(Table1[[#This Row],[Order_Date]],"YYY")</f>
        <v>2023</v>
      </c>
    </row>
    <row r="28" spans="1:14" x14ac:dyDescent="0.3">
      <c r="A28" s="4">
        <v>45126</v>
      </c>
      <c r="B28" s="5" t="s">
        <v>8</v>
      </c>
      <c r="C28" s="5" t="s">
        <v>1</v>
      </c>
      <c r="D28" s="23">
        <v>533.26</v>
      </c>
      <c r="E28" s="23">
        <v>320.48</v>
      </c>
      <c r="F28" s="23">
        <v>212.78</v>
      </c>
      <c r="G28" s="5" t="s">
        <v>20</v>
      </c>
      <c r="H28" s="5" t="s">
        <v>3</v>
      </c>
      <c r="I28" s="5" t="s">
        <v>25</v>
      </c>
      <c r="J28" s="6">
        <f>Table1[[#This Row],[Profit]]/Table1[[#This Row],[Sales]]</f>
        <v>0.39901736488767209</v>
      </c>
      <c r="K28" s="5" t="str">
        <f t="shared" si="0"/>
        <v>Low</v>
      </c>
      <c r="L28" s="5" t="str">
        <f>TEXT(Table1[[#This Row],[Order_Date]],"MMM")</f>
        <v>Jul</v>
      </c>
      <c r="M28" s="5" t="str">
        <f>IF(Table1[[#This Row],[Profit]]&gt;=1000,"Excellent",IF(Table1[[#This Row],[Profit]]&gt;=500,"Good", IF(Table1[[#This Row],[Profit]]&lt;500,"Low")))</f>
        <v>Low</v>
      </c>
      <c r="N28" s="7" t="str">
        <f>TEXT(Table1[[#This Row],[Order_Date]],"YYY")</f>
        <v>2023</v>
      </c>
    </row>
    <row r="29" spans="1:14" x14ac:dyDescent="0.3">
      <c r="A29" s="4">
        <v>45130</v>
      </c>
      <c r="B29" s="5" t="s">
        <v>18</v>
      </c>
      <c r="C29" s="5" t="s">
        <v>14</v>
      </c>
      <c r="D29" s="23">
        <v>130</v>
      </c>
      <c r="E29" s="23">
        <v>55.71</v>
      </c>
      <c r="F29" s="23">
        <v>74.290000000000006</v>
      </c>
      <c r="G29" s="5" t="s">
        <v>2</v>
      </c>
      <c r="H29" s="5" t="s">
        <v>34</v>
      </c>
      <c r="I29" s="5" t="s">
        <v>4</v>
      </c>
      <c r="J29" s="6">
        <f>Table1[[#This Row],[Profit]]/Table1[[#This Row],[Sales]]</f>
        <v>0.57146153846153847</v>
      </c>
      <c r="K29" s="5" t="str">
        <f t="shared" si="0"/>
        <v>Low</v>
      </c>
      <c r="L29" s="5" t="str">
        <f>TEXT(Table1[[#This Row],[Order_Date]],"MMM")</f>
        <v>Jul</v>
      </c>
      <c r="M29" s="5" t="str">
        <f>IF(Table1[[#This Row],[Profit]]&gt;=1000,"Excellent",IF(Table1[[#This Row],[Profit]]&gt;=500,"Good", IF(Table1[[#This Row],[Profit]]&lt;500,"Low")))</f>
        <v>Low</v>
      </c>
      <c r="N29" s="7" t="str">
        <f>TEXT(Table1[[#This Row],[Order_Date]],"YYY")</f>
        <v>2023</v>
      </c>
    </row>
    <row r="30" spans="1:14" x14ac:dyDescent="0.3">
      <c r="A30" s="4">
        <v>45131</v>
      </c>
      <c r="B30" s="5" t="s">
        <v>8</v>
      </c>
      <c r="C30" s="5" t="s">
        <v>14</v>
      </c>
      <c r="D30" s="23">
        <v>270.94</v>
      </c>
      <c r="E30" s="23">
        <v>104.11</v>
      </c>
      <c r="F30" s="23">
        <v>166.83</v>
      </c>
      <c r="G30" s="5" t="s">
        <v>6</v>
      </c>
      <c r="H30" s="5" t="s">
        <v>35</v>
      </c>
      <c r="I30" s="5" t="s">
        <v>25</v>
      </c>
      <c r="J30" s="6">
        <f>Table1[[#This Row],[Profit]]/Table1[[#This Row],[Sales]]</f>
        <v>0.61574518343544704</v>
      </c>
      <c r="K30" s="5" t="str">
        <f t="shared" si="0"/>
        <v>Low</v>
      </c>
      <c r="L30" s="5" t="str">
        <f>TEXT(Table1[[#This Row],[Order_Date]],"MMM")</f>
        <v>Jul</v>
      </c>
      <c r="M30" s="5" t="str">
        <f>IF(Table1[[#This Row],[Profit]]&gt;=1000,"Excellent",IF(Table1[[#This Row],[Profit]]&gt;=500,"Good", IF(Table1[[#This Row],[Profit]]&lt;500,"Low")))</f>
        <v>Low</v>
      </c>
      <c r="N30" s="7" t="str">
        <f>TEXT(Table1[[#This Row],[Order_Date]],"YYY")</f>
        <v>2023</v>
      </c>
    </row>
    <row r="31" spans="1:14" x14ac:dyDescent="0.3">
      <c r="A31" s="4">
        <v>45131</v>
      </c>
      <c r="B31" s="5" t="s">
        <v>8</v>
      </c>
      <c r="C31" s="5" t="s">
        <v>26</v>
      </c>
      <c r="D31" s="23">
        <v>581.80999999999995</v>
      </c>
      <c r="E31" s="23">
        <v>200.69</v>
      </c>
      <c r="F31" s="23">
        <v>381.12</v>
      </c>
      <c r="G31" s="5" t="s">
        <v>2</v>
      </c>
      <c r="H31" s="5" t="s">
        <v>15</v>
      </c>
      <c r="I31" s="5" t="s">
        <v>22</v>
      </c>
      <c r="J31" s="6">
        <f>Table1[[#This Row],[Profit]]/Table1[[#This Row],[Sales]]</f>
        <v>0.65505921177016557</v>
      </c>
      <c r="K31" s="5" t="str">
        <f t="shared" si="0"/>
        <v>Low</v>
      </c>
      <c r="L31" s="5" t="str">
        <f>TEXT(Table1[[#This Row],[Order_Date]],"MMM")</f>
        <v>Jul</v>
      </c>
      <c r="M31" s="5" t="str">
        <f>IF(Table1[[#This Row],[Profit]]&gt;=1000,"Excellent",IF(Table1[[#This Row],[Profit]]&gt;=500,"Good", IF(Table1[[#This Row],[Profit]]&lt;500,"Low")))</f>
        <v>Low</v>
      </c>
      <c r="N31" s="7" t="str">
        <f>TEXT(Table1[[#This Row],[Order_Date]],"YYY")</f>
        <v>2023</v>
      </c>
    </row>
    <row r="32" spans="1:14" x14ac:dyDescent="0.3">
      <c r="A32" s="4">
        <v>45131</v>
      </c>
      <c r="B32" s="5" t="s">
        <v>18</v>
      </c>
      <c r="C32" s="5" t="s">
        <v>1</v>
      </c>
      <c r="D32" s="23">
        <v>263.33999999999997</v>
      </c>
      <c r="E32" s="23">
        <v>139.51</v>
      </c>
      <c r="F32" s="23">
        <v>123.83</v>
      </c>
      <c r="G32" s="5" t="s">
        <v>20</v>
      </c>
      <c r="H32" s="5" t="s">
        <v>12</v>
      </c>
      <c r="I32" s="5" t="s">
        <v>4</v>
      </c>
      <c r="J32" s="6">
        <f>Table1[[#This Row],[Profit]]/Table1[[#This Row],[Sales]]</f>
        <v>0.47022860180754922</v>
      </c>
      <c r="K32" s="5" t="str">
        <f t="shared" si="0"/>
        <v>Low</v>
      </c>
      <c r="L32" s="5" t="str">
        <f>TEXT(Table1[[#This Row],[Order_Date]],"MMM")</f>
        <v>Jul</v>
      </c>
      <c r="M32" s="5" t="str">
        <f>IF(Table1[[#This Row],[Profit]]&gt;=1000,"Excellent",IF(Table1[[#This Row],[Profit]]&gt;=500,"Good", IF(Table1[[#This Row],[Profit]]&lt;500,"Low")))</f>
        <v>Low</v>
      </c>
      <c r="N32" s="7" t="str">
        <f>TEXT(Table1[[#This Row],[Order_Date]],"YYY")</f>
        <v>2023</v>
      </c>
    </row>
    <row r="33" spans="1:14" x14ac:dyDescent="0.3">
      <c r="A33" s="4">
        <v>45132</v>
      </c>
      <c r="B33" s="5" t="s">
        <v>8</v>
      </c>
      <c r="C33" s="5" t="s">
        <v>14</v>
      </c>
      <c r="D33" s="23">
        <v>206.98</v>
      </c>
      <c r="E33" s="23">
        <v>109.45</v>
      </c>
      <c r="F33" s="23">
        <v>97.53</v>
      </c>
      <c r="G33" s="5" t="s">
        <v>20</v>
      </c>
      <c r="H33" s="5" t="s">
        <v>10</v>
      </c>
      <c r="I33" s="5" t="s">
        <v>22</v>
      </c>
      <c r="J33" s="6">
        <f>Table1[[#This Row],[Profit]]/Table1[[#This Row],[Sales]]</f>
        <v>0.47120494733790708</v>
      </c>
      <c r="K33" s="5" t="str">
        <f t="shared" si="0"/>
        <v>Low</v>
      </c>
      <c r="L33" s="5" t="str">
        <f>TEXT(Table1[[#This Row],[Order_Date]],"MMM")</f>
        <v>Jul</v>
      </c>
      <c r="M33" s="5" t="str">
        <f>IF(Table1[[#This Row],[Profit]]&gt;=1000,"Excellent",IF(Table1[[#This Row],[Profit]]&gt;=500,"Good", IF(Table1[[#This Row],[Profit]]&lt;500,"Low")))</f>
        <v>Low</v>
      </c>
      <c r="N33" s="7" t="str">
        <f>TEXT(Table1[[#This Row],[Order_Date]],"YYY")</f>
        <v>2023</v>
      </c>
    </row>
    <row r="34" spans="1:14" x14ac:dyDescent="0.3">
      <c r="A34" s="4">
        <v>45133</v>
      </c>
      <c r="B34" s="5" t="s">
        <v>18</v>
      </c>
      <c r="C34" s="5" t="s">
        <v>31</v>
      </c>
      <c r="D34" s="23">
        <v>66.59</v>
      </c>
      <c r="E34" s="23">
        <v>21.52</v>
      </c>
      <c r="F34" s="23">
        <v>45.07</v>
      </c>
      <c r="G34" s="5" t="s">
        <v>20</v>
      </c>
      <c r="H34" s="5" t="s">
        <v>28</v>
      </c>
      <c r="I34" s="5" t="s">
        <v>11</v>
      </c>
      <c r="J34" s="6">
        <f>Table1[[#This Row],[Profit]]/Table1[[#This Row],[Sales]]</f>
        <v>0.67682835260549634</v>
      </c>
      <c r="K34" s="5" t="str">
        <f t="shared" si="0"/>
        <v>Low</v>
      </c>
      <c r="L34" s="5" t="str">
        <f>TEXT(Table1[[#This Row],[Order_Date]],"MMM")</f>
        <v>Jul</v>
      </c>
      <c r="M34" s="5" t="str">
        <f>IF(Table1[[#This Row],[Profit]]&gt;=1000,"Excellent",IF(Table1[[#This Row],[Profit]]&gt;=500,"Good", IF(Table1[[#This Row],[Profit]]&lt;500,"Low")))</f>
        <v>Low</v>
      </c>
      <c r="N34" s="7" t="str">
        <f>TEXT(Table1[[#This Row],[Order_Date]],"YYY")</f>
        <v>2023</v>
      </c>
    </row>
    <row r="35" spans="1:14" x14ac:dyDescent="0.3">
      <c r="A35" s="4">
        <v>45133</v>
      </c>
      <c r="B35" s="5" t="s">
        <v>13</v>
      </c>
      <c r="C35" s="5" t="s">
        <v>26</v>
      </c>
      <c r="D35" s="23">
        <v>946.88</v>
      </c>
      <c r="E35" s="23">
        <v>354.84</v>
      </c>
      <c r="F35" s="23">
        <v>592.04</v>
      </c>
      <c r="G35" s="5" t="s">
        <v>6</v>
      </c>
      <c r="H35" s="5" t="s">
        <v>30</v>
      </c>
      <c r="I35" s="5" t="s">
        <v>22</v>
      </c>
      <c r="J35" s="6">
        <f>Table1[[#This Row],[Profit]]/Table1[[#This Row],[Sales]]</f>
        <v>0.62525346400811077</v>
      </c>
      <c r="K35" s="5" t="str">
        <f t="shared" si="0"/>
        <v>Low</v>
      </c>
      <c r="L35" s="5" t="str">
        <f>TEXT(Table1[[#This Row],[Order_Date]],"MMM")</f>
        <v>Jul</v>
      </c>
      <c r="M35" s="5" t="str">
        <f>IF(Table1[[#This Row],[Profit]]&gt;=1000,"Excellent",IF(Table1[[#This Row],[Profit]]&gt;=500,"Good", IF(Table1[[#This Row],[Profit]]&lt;500,"Low")))</f>
        <v>Good</v>
      </c>
      <c r="N35" s="7" t="str">
        <f>TEXT(Table1[[#This Row],[Order_Date]],"YYY")</f>
        <v>2023</v>
      </c>
    </row>
    <row r="36" spans="1:14" x14ac:dyDescent="0.3">
      <c r="A36" s="4">
        <v>45133</v>
      </c>
      <c r="B36" s="5" t="s">
        <v>0</v>
      </c>
      <c r="C36" s="5" t="s">
        <v>1</v>
      </c>
      <c r="D36" s="23">
        <v>988.44</v>
      </c>
      <c r="E36" s="23">
        <v>610.69000000000005</v>
      </c>
      <c r="F36" s="23">
        <v>377.75</v>
      </c>
      <c r="G36" s="5" t="s">
        <v>2</v>
      </c>
      <c r="H36" s="5" t="s">
        <v>3</v>
      </c>
      <c r="I36" s="5" t="s">
        <v>27</v>
      </c>
      <c r="J36" s="6">
        <f>Table1[[#This Row],[Profit]]/Table1[[#This Row],[Sales]]</f>
        <v>0.38216786046699847</v>
      </c>
      <c r="K36" s="5" t="str">
        <f t="shared" si="0"/>
        <v>Low</v>
      </c>
      <c r="L36" s="5" t="str">
        <f>TEXT(Table1[[#This Row],[Order_Date]],"MMM")</f>
        <v>Jul</v>
      </c>
      <c r="M36" s="5" t="str">
        <f>IF(Table1[[#This Row],[Profit]]&gt;=1000,"Excellent",IF(Table1[[#This Row],[Profit]]&gt;=500,"Good", IF(Table1[[#This Row],[Profit]]&lt;500,"Low")))</f>
        <v>Low</v>
      </c>
      <c r="N36" s="7" t="str">
        <f>TEXT(Table1[[#This Row],[Order_Date]],"YYY")</f>
        <v>2023</v>
      </c>
    </row>
    <row r="37" spans="1:14" x14ac:dyDescent="0.3">
      <c r="A37" s="4">
        <v>45133</v>
      </c>
      <c r="B37" s="5" t="s">
        <v>0</v>
      </c>
      <c r="C37" s="5" t="s">
        <v>14</v>
      </c>
      <c r="D37" s="23">
        <v>231.2</v>
      </c>
      <c r="E37" s="23">
        <v>86.9</v>
      </c>
      <c r="F37" s="23">
        <v>144.30000000000001</v>
      </c>
      <c r="G37" s="5" t="s">
        <v>2</v>
      </c>
      <c r="H37" s="5" t="s">
        <v>36</v>
      </c>
      <c r="I37" s="5" t="s">
        <v>17</v>
      </c>
      <c r="J37" s="6">
        <f>Table1[[#This Row],[Profit]]/Table1[[#This Row],[Sales]]</f>
        <v>0.62413494809688586</v>
      </c>
      <c r="K37" s="5" t="str">
        <f t="shared" si="0"/>
        <v>Low</v>
      </c>
      <c r="L37" s="5" t="str">
        <f>TEXT(Table1[[#This Row],[Order_Date]],"MMM")</f>
        <v>Jul</v>
      </c>
      <c r="M37" s="5" t="str">
        <f>IF(Table1[[#This Row],[Profit]]&gt;=1000,"Excellent",IF(Table1[[#This Row],[Profit]]&gt;=500,"Good", IF(Table1[[#This Row],[Profit]]&lt;500,"Low")))</f>
        <v>Low</v>
      </c>
      <c r="N37" s="7" t="str">
        <f>TEXT(Table1[[#This Row],[Order_Date]],"YYY")</f>
        <v>2023</v>
      </c>
    </row>
    <row r="38" spans="1:14" x14ac:dyDescent="0.3">
      <c r="A38" s="4">
        <v>45134</v>
      </c>
      <c r="B38" s="5" t="s">
        <v>0</v>
      </c>
      <c r="C38" s="5" t="s">
        <v>1</v>
      </c>
      <c r="D38" s="23">
        <v>872.58</v>
      </c>
      <c r="E38" s="23">
        <v>478.47</v>
      </c>
      <c r="F38" s="23">
        <v>394.11</v>
      </c>
      <c r="G38" s="5" t="s">
        <v>32</v>
      </c>
      <c r="H38" s="5" t="s">
        <v>30</v>
      </c>
      <c r="I38" s="5" t="s">
        <v>27</v>
      </c>
      <c r="J38" s="6">
        <f>Table1[[#This Row],[Profit]]/Table1[[#This Row],[Sales]]</f>
        <v>0.45166059272502235</v>
      </c>
      <c r="K38" s="5" t="str">
        <f t="shared" si="0"/>
        <v>Low</v>
      </c>
      <c r="L38" s="5" t="str">
        <f>TEXT(Table1[[#This Row],[Order_Date]],"MMM")</f>
        <v>Jul</v>
      </c>
      <c r="M38" s="5" t="str">
        <f>IF(Table1[[#This Row],[Profit]]&gt;=1000,"Excellent",IF(Table1[[#This Row],[Profit]]&gt;=500,"Good", IF(Table1[[#This Row],[Profit]]&lt;500,"Low")))</f>
        <v>Low</v>
      </c>
      <c r="N38" s="7" t="str">
        <f>TEXT(Table1[[#This Row],[Order_Date]],"YYY")</f>
        <v>2023</v>
      </c>
    </row>
    <row r="39" spans="1:14" x14ac:dyDescent="0.3">
      <c r="A39" s="4">
        <v>45135</v>
      </c>
      <c r="B39" s="5" t="s">
        <v>18</v>
      </c>
      <c r="C39" s="5" t="s">
        <v>1</v>
      </c>
      <c r="D39" s="23">
        <v>787.59</v>
      </c>
      <c r="E39" s="23">
        <v>407.42</v>
      </c>
      <c r="F39" s="23">
        <v>380.17</v>
      </c>
      <c r="G39" s="5" t="s">
        <v>2</v>
      </c>
      <c r="H39" s="5" t="s">
        <v>29</v>
      </c>
      <c r="I39" s="5" t="s">
        <v>4</v>
      </c>
      <c r="J39" s="6">
        <f>Table1[[#This Row],[Profit]]/Table1[[#This Row],[Sales]]</f>
        <v>0.48270038979672164</v>
      </c>
      <c r="K39" s="5" t="str">
        <f t="shared" si="0"/>
        <v>Low</v>
      </c>
      <c r="L39" s="5" t="str">
        <f>TEXT(Table1[[#This Row],[Order_Date]],"MMM")</f>
        <v>Jul</v>
      </c>
      <c r="M39" s="5" t="str">
        <f>IF(Table1[[#This Row],[Profit]]&gt;=1000,"Excellent",IF(Table1[[#This Row],[Profit]]&gt;=500,"Good", IF(Table1[[#This Row],[Profit]]&lt;500,"Low")))</f>
        <v>Low</v>
      </c>
      <c r="N39" s="7" t="str">
        <f>TEXT(Table1[[#This Row],[Order_Date]],"YYY")</f>
        <v>2023</v>
      </c>
    </row>
    <row r="40" spans="1:14" x14ac:dyDescent="0.3">
      <c r="A40" s="4">
        <v>45137</v>
      </c>
      <c r="B40" s="5" t="s">
        <v>8</v>
      </c>
      <c r="C40" s="5" t="s">
        <v>1</v>
      </c>
      <c r="D40" s="23">
        <v>1332.94</v>
      </c>
      <c r="E40" s="23">
        <v>682.84</v>
      </c>
      <c r="F40" s="23">
        <v>650.1</v>
      </c>
      <c r="G40" s="5" t="s">
        <v>6</v>
      </c>
      <c r="H40" s="5" t="s">
        <v>30</v>
      </c>
      <c r="I40" s="5" t="s">
        <v>27</v>
      </c>
      <c r="J40" s="6">
        <f>Table1[[#This Row],[Profit]]/Table1[[#This Row],[Sales]]</f>
        <v>0.48771887706873529</v>
      </c>
      <c r="K40" s="5" t="str">
        <f t="shared" si="0"/>
        <v>Low</v>
      </c>
      <c r="L40" s="5" t="str">
        <f>TEXT(Table1[[#This Row],[Order_Date]],"MMM")</f>
        <v>Jul</v>
      </c>
      <c r="M40" s="5" t="str">
        <f>IF(Table1[[#This Row],[Profit]]&gt;=1000,"Excellent",IF(Table1[[#This Row],[Profit]]&gt;=500,"Good", IF(Table1[[#This Row],[Profit]]&lt;500,"Low")))</f>
        <v>Good</v>
      </c>
      <c r="N40" s="7" t="str">
        <f>TEXT(Table1[[#This Row],[Order_Date]],"YYY")</f>
        <v>2023</v>
      </c>
    </row>
    <row r="41" spans="1:14" x14ac:dyDescent="0.3">
      <c r="A41" s="4">
        <v>45137</v>
      </c>
      <c r="B41" s="5" t="s">
        <v>18</v>
      </c>
      <c r="C41" s="5" t="s">
        <v>26</v>
      </c>
      <c r="D41" s="23">
        <v>470.02</v>
      </c>
      <c r="E41" s="23">
        <v>207.64</v>
      </c>
      <c r="F41" s="23">
        <v>262.38</v>
      </c>
      <c r="G41" s="5" t="s">
        <v>20</v>
      </c>
      <c r="H41" s="5" t="s">
        <v>3</v>
      </c>
      <c r="I41" s="5" t="s">
        <v>22</v>
      </c>
      <c r="J41" s="6">
        <f>Table1[[#This Row],[Profit]]/Table1[[#This Row],[Sales]]</f>
        <v>0.5582315646142717</v>
      </c>
      <c r="K41" s="5" t="str">
        <f t="shared" si="0"/>
        <v>Low</v>
      </c>
      <c r="L41" s="5" t="str">
        <f>TEXT(Table1[[#This Row],[Order_Date]],"MMM")</f>
        <v>Jul</v>
      </c>
      <c r="M41" s="5" t="str">
        <f>IF(Table1[[#This Row],[Profit]]&gt;=1000,"Excellent",IF(Table1[[#This Row],[Profit]]&gt;=500,"Good", IF(Table1[[#This Row],[Profit]]&lt;500,"Low")))</f>
        <v>Low</v>
      </c>
      <c r="N41" s="7" t="str">
        <f>TEXT(Table1[[#This Row],[Order_Date]],"YYY")</f>
        <v>2023</v>
      </c>
    </row>
    <row r="42" spans="1:14" x14ac:dyDescent="0.3">
      <c r="A42" s="4">
        <v>45139</v>
      </c>
      <c r="B42" s="5" t="s">
        <v>8</v>
      </c>
      <c r="C42" s="5" t="s">
        <v>23</v>
      </c>
      <c r="D42" s="23">
        <v>651.77</v>
      </c>
      <c r="E42" s="23">
        <v>270.70999999999998</v>
      </c>
      <c r="F42" s="23">
        <v>381.06</v>
      </c>
      <c r="G42" s="5" t="s">
        <v>2</v>
      </c>
      <c r="H42" s="5" t="s">
        <v>34</v>
      </c>
      <c r="I42" s="5" t="s">
        <v>11</v>
      </c>
      <c r="J42" s="6">
        <f>Table1[[#This Row],[Profit]]/Table1[[#This Row],[Sales]]</f>
        <v>0.58465409576998018</v>
      </c>
      <c r="K42" s="5" t="str">
        <f t="shared" si="0"/>
        <v>Low</v>
      </c>
      <c r="L42" s="5" t="str">
        <f>TEXT(Table1[[#This Row],[Order_Date]],"MMM")</f>
        <v>Aug</v>
      </c>
      <c r="M42" s="5" t="str">
        <f>IF(Table1[[#This Row],[Profit]]&gt;=1000,"Excellent",IF(Table1[[#This Row],[Profit]]&gt;=500,"Good", IF(Table1[[#This Row],[Profit]]&lt;500,"Low")))</f>
        <v>Low</v>
      </c>
      <c r="N42" s="7" t="str">
        <f>TEXT(Table1[[#This Row],[Order_Date]],"YYY")</f>
        <v>2023</v>
      </c>
    </row>
    <row r="43" spans="1:14" x14ac:dyDescent="0.3">
      <c r="A43" s="4">
        <v>45139</v>
      </c>
      <c r="B43" s="5" t="s">
        <v>0</v>
      </c>
      <c r="C43" s="5" t="s">
        <v>5</v>
      </c>
      <c r="D43" s="23">
        <v>408.97</v>
      </c>
      <c r="E43" s="23">
        <v>163.02000000000001</v>
      </c>
      <c r="F43" s="23">
        <v>245.95</v>
      </c>
      <c r="G43" s="5" t="s">
        <v>2</v>
      </c>
      <c r="H43" s="5" t="s">
        <v>24</v>
      </c>
      <c r="I43" s="5" t="s">
        <v>17</v>
      </c>
      <c r="J43" s="6">
        <f>Table1[[#This Row],[Profit]]/Table1[[#This Row],[Sales]]</f>
        <v>0.60138885492823424</v>
      </c>
      <c r="K43" s="5" t="str">
        <f t="shared" si="0"/>
        <v>Low</v>
      </c>
      <c r="L43" s="5" t="str">
        <f>TEXT(Table1[[#This Row],[Order_Date]],"MMM")</f>
        <v>Aug</v>
      </c>
      <c r="M43" s="5" t="str">
        <f>IF(Table1[[#This Row],[Profit]]&gt;=1000,"Excellent",IF(Table1[[#This Row],[Profit]]&gt;=500,"Good", IF(Table1[[#This Row],[Profit]]&lt;500,"Low")))</f>
        <v>Low</v>
      </c>
      <c r="N43" s="7" t="str">
        <f>TEXT(Table1[[#This Row],[Order_Date]],"YYY")</f>
        <v>2023</v>
      </c>
    </row>
    <row r="44" spans="1:14" x14ac:dyDescent="0.3">
      <c r="A44" s="4">
        <v>45140</v>
      </c>
      <c r="B44" s="5" t="s">
        <v>16</v>
      </c>
      <c r="C44" s="5" t="s">
        <v>26</v>
      </c>
      <c r="D44" s="23">
        <v>176.54</v>
      </c>
      <c r="E44" s="23">
        <v>74.31</v>
      </c>
      <c r="F44" s="23">
        <v>102.23</v>
      </c>
      <c r="G44" s="5" t="s">
        <v>32</v>
      </c>
      <c r="H44" s="5" t="s">
        <v>34</v>
      </c>
      <c r="I44" s="5" t="s">
        <v>27</v>
      </c>
      <c r="J44" s="6">
        <f>Table1[[#This Row],[Profit]]/Table1[[#This Row],[Sales]]</f>
        <v>0.57907556361164614</v>
      </c>
      <c r="K44" s="5" t="str">
        <f t="shared" si="0"/>
        <v>Low</v>
      </c>
      <c r="L44" s="5" t="str">
        <f>TEXT(Table1[[#This Row],[Order_Date]],"MMM")</f>
        <v>Aug</v>
      </c>
      <c r="M44" s="5" t="str">
        <f>IF(Table1[[#This Row],[Profit]]&gt;=1000,"Excellent",IF(Table1[[#This Row],[Profit]]&gt;=500,"Good", IF(Table1[[#This Row],[Profit]]&lt;500,"Low")))</f>
        <v>Low</v>
      </c>
      <c r="N44" s="7" t="str">
        <f>TEXT(Table1[[#This Row],[Order_Date]],"YYY")</f>
        <v>2023</v>
      </c>
    </row>
    <row r="45" spans="1:14" x14ac:dyDescent="0.3">
      <c r="A45" s="4">
        <v>45140</v>
      </c>
      <c r="B45" s="5" t="s">
        <v>13</v>
      </c>
      <c r="C45" s="5" t="s">
        <v>31</v>
      </c>
      <c r="D45" s="23">
        <v>189.96</v>
      </c>
      <c r="E45" s="23">
        <v>46.32</v>
      </c>
      <c r="F45" s="23">
        <v>143.63999999999999</v>
      </c>
      <c r="G45" s="5" t="s">
        <v>2</v>
      </c>
      <c r="H45" s="5" t="s">
        <v>35</v>
      </c>
      <c r="I45" s="5" t="s">
        <v>22</v>
      </c>
      <c r="J45" s="6">
        <f>Table1[[#This Row],[Profit]]/Table1[[#This Row],[Sales]]</f>
        <v>0.75615919140871757</v>
      </c>
      <c r="K45" s="5" t="str">
        <f t="shared" si="0"/>
        <v>Low</v>
      </c>
      <c r="L45" s="5" t="str">
        <f>TEXT(Table1[[#This Row],[Order_Date]],"MMM")</f>
        <v>Aug</v>
      </c>
      <c r="M45" s="5" t="str">
        <f>IF(Table1[[#This Row],[Profit]]&gt;=1000,"Excellent",IF(Table1[[#This Row],[Profit]]&gt;=500,"Good", IF(Table1[[#This Row],[Profit]]&lt;500,"Low")))</f>
        <v>Low</v>
      </c>
      <c r="N45" s="7" t="str">
        <f>TEXT(Table1[[#This Row],[Order_Date]],"YYY")</f>
        <v>2023</v>
      </c>
    </row>
    <row r="46" spans="1:14" x14ac:dyDescent="0.3">
      <c r="A46" s="4">
        <v>45140</v>
      </c>
      <c r="B46" s="5" t="s">
        <v>8</v>
      </c>
      <c r="C46" s="5" t="s">
        <v>1</v>
      </c>
      <c r="D46" s="23">
        <v>1218.69</v>
      </c>
      <c r="E46" s="23">
        <v>779.13</v>
      </c>
      <c r="F46" s="23">
        <v>439.56</v>
      </c>
      <c r="G46" s="5" t="s">
        <v>2</v>
      </c>
      <c r="H46" s="5" t="s">
        <v>34</v>
      </c>
      <c r="I46" s="5" t="s">
        <v>4</v>
      </c>
      <c r="J46" s="6">
        <f>Table1[[#This Row],[Profit]]/Table1[[#This Row],[Sales]]</f>
        <v>0.36068237205523962</v>
      </c>
      <c r="K46" s="5" t="str">
        <f t="shared" si="0"/>
        <v>Low</v>
      </c>
      <c r="L46" s="5" t="str">
        <f>TEXT(Table1[[#This Row],[Order_Date]],"MMM")</f>
        <v>Aug</v>
      </c>
      <c r="M46" s="5" t="str">
        <f>IF(Table1[[#This Row],[Profit]]&gt;=1000,"Excellent",IF(Table1[[#This Row],[Profit]]&gt;=500,"Good", IF(Table1[[#This Row],[Profit]]&lt;500,"Low")))</f>
        <v>Low</v>
      </c>
      <c r="N46" s="7" t="str">
        <f>TEXT(Table1[[#This Row],[Order_Date]],"YYY")</f>
        <v>2023</v>
      </c>
    </row>
    <row r="47" spans="1:14" x14ac:dyDescent="0.3">
      <c r="A47" s="4">
        <v>45142</v>
      </c>
      <c r="B47" s="5" t="s">
        <v>13</v>
      </c>
      <c r="C47" s="5" t="s">
        <v>1</v>
      </c>
      <c r="D47" s="23">
        <v>1216.21</v>
      </c>
      <c r="E47" s="23">
        <v>758.58</v>
      </c>
      <c r="F47" s="23">
        <v>457.63</v>
      </c>
      <c r="G47" s="5" t="s">
        <v>2</v>
      </c>
      <c r="H47" s="5" t="s">
        <v>24</v>
      </c>
      <c r="I47" s="5" t="s">
        <v>27</v>
      </c>
      <c r="J47" s="6">
        <f>Table1[[#This Row],[Profit]]/Table1[[#This Row],[Sales]]</f>
        <v>0.37627547874133577</v>
      </c>
      <c r="K47" s="5" t="str">
        <f t="shared" si="0"/>
        <v>Low</v>
      </c>
      <c r="L47" s="5" t="str">
        <f>TEXT(Table1[[#This Row],[Order_Date]],"MMM")</f>
        <v>Aug</v>
      </c>
      <c r="M47" s="5" t="str">
        <f>IF(Table1[[#This Row],[Profit]]&gt;=1000,"Excellent",IF(Table1[[#This Row],[Profit]]&gt;=500,"Good", IF(Table1[[#This Row],[Profit]]&lt;500,"Low")))</f>
        <v>Low</v>
      </c>
      <c r="N47" s="7" t="str">
        <f>TEXT(Table1[[#This Row],[Order_Date]],"YYY")</f>
        <v>2023</v>
      </c>
    </row>
    <row r="48" spans="1:14" x14ac:dyDescent="0.3">
      <c r="A48" s="4">
        <v>45143</v>
      </c>
      <c r="B48" s="5" t="s">
        <v>8</v>
      </c>
      <c r="C48" s="5" t="s">
        <v>5</v>
      </c>
      <c r="D48" s="23">
        <v>639.58000000000004</v>
      </c>
      <c r="E48" s="23">
        <v>293.38</v>
      </c>
      <c r="F48" s="23">
        <v>346.2</v>
      </c>
      <c r="G48" s="5" t="s">
        <v>9</v>
      </c>
      <c r="H48" s="5" t="s">
        <v>12</v>
      </c>
      <c r="I48" s="5" t="s">
        <v>4</v>
      </c>
      <c r="J48" s="6">
        <f>Table1[[#This Row],[Profit]]/Table1[[#This Row],[Sales]]</f>
        <v>0.54129272334969813</v>
      </c>
      <c r="K48" s="5" t="str">
        <f t="shared" si="0"/>
        <v>Low</v>
      </c>
      <c r="L48" s="5" t="str">
        <f>TEXT(Table1[[#This Row],[Order_Date]],"MMM")</f>
        <v>Aug</v>
      </c>
      <c r="M48" s="5" t="str">
        <f>IF(Table1[[#This Row],[Profit]]&gt;=1000,"Excellent",IF(Table1[[#This Row],[Profit]]&gt;=500,"Good", IF(Table1[[#This Row],[Profit]]&lt;500,"Low")))</f>
        <v>Low</v>
      </c>
      <c r="N48" s="7" t="str">
        <f>TEXT(Table1[[#This Row],[Order_Date]],"YYY")</f>
        <v>2023</v>
      </c>
    </row>
    <row r="49" spans="1:14" x14ac:dyDescent="0.3">
      <c r="A49" s="4">
        <v>45143</v>
      </c>
      <c r="B49" s="5" t="s">
        <v>0</v>
      </c>
      <c r="C49" s="5" t="s">
        <v>5</v>
      </c>
      <c r="D49" s="23">
        <v>2162.77</v>
      </c>
      <c r="E49" s="23">
        <v>972.9</v>
      </c>
      <c r="F49" s="23">
        <v>1189.8699999999999</v>
      </c>
      <c r="G49" s="5" t="s">
        <v>9</v>
      </c>
      <c r="H49" s="5" t="s">
        <v>15</v>
      </c>
      <c r="I49" s="5" t="s">
        <v>17</v>
      </c>
      <c r="J49" s="6">
        <f>Table1[[#This Row],[Profit]]/Table1[[#This Row],[Sales]]</f>
        <v>0.55016021121062342</v>
      </c>
      <c r="K49" s="5" t="str">
        <f t="shared" si="0"/>
        <v>High</v>
      </c>
      <c r="L49" s="5" t="str">
        <f>TEXT(Table1[[#This Row],[Order_Date]],"MMM")</f>
        <v>Aug</v>
      </c>
      <c r="M49" s="5" t="str">
        <f>IF(Table1[[#This Row],[Profit]]&gt;=1000,"Excellent",IF(Table1[[#This Row],[Profit]]&gt;=500,"Good", IF(Table1[[#This Row],[Profit]]&lt;500,"Low")))</f>
        <v>Excellent</v>
      </c>
      <c r="N49" s="7" t="str">
        <f>TEXT(Table1[[#This Row],[Order_Date]],"YYY")</f>
        <v>2023</v>
      </c>
    </row>
    <row r="50" spans="1:14" x14ac:dyDescent="0.3">
      <c r="A50" s="4">
        <v>45146</v>
      </c>
      <c r="B50" s="5" t="s">
        <v>13</v>
      </c>
      <c r="C50" s="5" t="s">
        <v>1</v>
      </c>
      <c r="D50" s="23">
        <v>988.67</v>
      </c>
      <c r="E50" s="23">
        <v>612.16999999999996</v>
      </c>
      <c r="F50" s="23">
        <v>376.5</v>
      </c>
      <c r="G50" s="5" t="s">
        <v>9</v>
      </c>
      <c r="H50" s="5" t="s">
        <v>35</v>
      </c>
      <c r="I50" s="5" t="s">
        <v>22</v>
      </c>
      <c r="J50" s="6">
        <f>Table1[[#This Row],[Profit]]/Table1[[#This Row],[Sales]]</f>
        <v>0.38081462975512559</v>
      </c>
      <c r="K50" s="5" t="str">
        <f t="shared" si="0"/>
        <v>Low</v>
      </c>
      <c r="L50" s="5" t="str">
        <f>TEXT(Table1[[#This Row],[Order_Date]],"MMM")</f>
        <v>Aug</v>
      </c>
      <c r="M50" s="5" t="str">
        <f>IF(Table1[[#This Row],[Profit]]&gt;=1000,"Excellent",IF(Table1[[#This Row],[Profit]]&gt;=500,"Good", IF(Table1[[#This Row],[Profit]]&lt;500,"Low")))</f>
        <v>Low</v>
      </c>
      <c r="N50" s="7" t="str">
        <f>TEXT(Table1[[#This Row],[Order_Date]],"YYY")</f>
        <v>2023</v>
      </c>
    </row>
    <row r="51" spans="1:14" x14ac:dyDescent="0.3">
      <c r="A51" s="4">
        <v>45147</v>
      </c>
      <c r="B51" s="5" t="s">
        <v>16</v>
      </c>
      <c r="C51" s="5" t="s">
        <v>19</v>
      </c>
      <c r="D51" s="23">
        <v>40.08</v>
      </c>
      <c r="E51" s="23">
        <v>16.71</v>
      </c>
      <c r="F51" s="23">
        <v>23.37</v>
      </c>
      <c r="G51" s="5" t="s">
        <v>2</v>
      </c>
      <c r="H51" s="5" t="s">
        <v>24</v>
      </c>
      <c r="I51" s="5" t="s">
        <v>4</v>
      </c>
      <c r="J51" s="6">
        <f>Table1[[#This Row],[Profit]]/Table1[[#This Row],[Sales]]</f>
        <v>0.58308383233532934</v>
      </c>
      <c r="K51" s="5" t="str">
        <f t="shared" si="0"/>
        <v>Low</v>
      </c>
      <c r="L51" s="5" t="str">
        <f>TEXT(Table1[[#This Row],[Order_Date]],"MMM")</f>
        <v>Aug</v>
      </c>
      <c r="M51" s="5" t="str">
        <f>IF(Table1[[#This Row],[Profit]]&gt;=1000,"Excellent",IF(Table1[[#This Row],[Profit]]&gt;=500,"Good", IF(Table1[[#This Row],[Profit]]&lt;500,"Low")))</f>
        <v>Low</v>
      </c>
      <c r="N51" s="7" t="str">
        <f>TEXT(Table1[[#This Row],[Order_Date]],"YYY")</f>
        <v>2023</v>
      </c>
    </row>
    <row r="52" spans="1:14" x14ac:dyDescent="0.3">
      <c r="A52" s="4">
        <v>45147</v>
      </c>
      <c r="B52" s="5" t="s">
        <v>13</v>
      </c>
      <c r="C52" s="5" t="s">
        <v>19</v>
      </c>
      <c r="D52" s="23">
        <v>140.54</v>
      </c>
      <c r="E52" s="23">
        <v>44.52</v>
      </c>
      <c r="F52" s="23">
        <v>96.02</v>
      </c>
      <c r="G52" s="5" t="s">
        <v>2</v>
      </c>
      <c r="H52" s="5" t="s">
        <v>12</v>
      </c>
      <c r="I52" s="5" t="s">
        <v>22</v>
      </c>
      <c r="J52" s="6">
        <f>Table1[[#This Row],[Profit]]/Table1[[#This Row],[Sales]]</f>
        <v>0.68322185854560979</v>
      </c>
      <c r="K52" s="5" t="str">
        <f t="shared" si="0"/>
        <v>Low</v>
      </c>
      <c r="L52" s="5" t="str">
        <f>TEXT(Table1[[#This Row],[Order_Date]],"MMM")</f>
        <v>Aug</v>
      </c>
      <c r="M52" s="5" t="str">
        <f>IF(Table1[[#This Row],[Profit]]&gt;=1000,"Excellent",IF(Table1[[#This Row],[Profit]]&gt;=500,"Good", IF(Table1[[#This Row],[Profit]]&lt;500,"Low")))</f>
        <v>Low</v>
      </c>
      <c r="N52" s="7" t="str">
        <f>TEXT(Table1[[#This Row],[Order_Date]],"YYY")</f>
        <v>2023</v>
      </c>
    </row>
    <row r="53" spans="1:14" x14ac:dyDescent="0.3">
      <c r="A53" s="4">
        <v>45147</v>
      </c>
      <c r="B53" s="5" t="s">
        <v>16</v>
      </c>
      <c r="C53" s="5" t="s">
        <v>31</v>
      </c>
      <c r="D53" s="23">
        <v>298.08999999999997</v>
      </c>
      <c r="E53" s="23">
        <v>101.24</v>
      </c>
      <c r="F53" s="23">
        <v>196.85</v>
      </c>
      <c r="G53" s="5" t="s">
        <v>6</v>
      </c>
      <c r="H53" s="5" t="s">
        <v>34</v>
      </c>
      <c r="I53" s="5" t="s">
        <v>22</v>
      </c>
      <c r="J53" s="6">
        <f>Table1[[#This Row],[Profit]]/Table1[[#This Row],[Sales]]</f>
        <v>0.66037102888389421</v>
      </c>
      <c r="K53" s="5" t="str">
        <f t="shared" si="0"/>
        <v>Low</v>
      </c>
      <c r="L53" s="5" t="str">
        <f>TEXT(Table1[[#This Row],[Order_Date]],"MMM")</f>
        <v>Aug</v>
      </c>
      <c r="M53" s="5" t="str">
        <f>IF(Table1[[#This Row],[Profit]]&gt;=1000,"Excellent",IF(Table1[[#This Row],[Profit]]&gt;=500,"Good", IF(Table1[[#This Row],[Profit]]&lt;500,"Low")))</f>
        <v>Low</v>
      </c>
      <c r="N53" s="7" t="str">
        <f>TEXT(Table1[[#This Row],[Order_Date]],"YYY")</f>
        <v>2023</v>
      </c>
    </row>
    <row r="54" spans="1:14" x14ac:dyDescent="0.3">
      <c r="A54" s="4">
        <v>45147</v>
      </c>
      <c r="B54" s="5" t="s">
        <v>13</v>
      </c>
      <c r="C54" s="5" t="s">
        <v>5</v>
      </c>
      <c r="D54" s="23">
        <v>1305</v>
      </c>
      <c r="E54" s="23">
        <v>426.02</v>
      </c>
      <c r="F54" s="23">
        <v>878.98</v>
      </c>
      <c r="G54" s="5" t="s">
        <v>2</v>
      </c>
      <c r="H54" s="5" t="s">
        <v>7</v>
      </c>
      <c r="I54" s="5" t="s">
        <v>17</v>
      </c>
      <c r="J54" s="6">
        <f>Table1[[#This Row],[Profit]]/Table1[[#This Row],[Sales]]</f>
        <v>0.67354789272030657</v>
      </c>
      <c r="K54" s="5" t="str">
        <f t="shared" si="0"/>
        <v>Low</v>
      </c>
      <c r="L54" s="5" t="str">
        <f>TEXT(Table1[[#This Row],[Order_Date]],"MMM")</f>
        <v>Aug</v>
      </c>
      <c r="M54" s="5" t="str">
        <f>IF(Table1[[#This Row],[Profit]]&gt;=1000,"Excellent",IF(Table1[[#This Row],[Profit]]&gt;=500,"Good", IF(Table1[[#This Row],[Profit]]&lt;500,"Low")))</f>
        <v>Good</v>
      </c>
      <c r="N54" s="7" t="str">
        <f>TEXT(Table1[[#This Row],[Order_Date]],"YYY")</f>
        <v>2023</v>
      </c>
    </row>
    <row r="55" spans="1:14" x14ac:dyDescent="0.3">
      <c r="A55" s="4">
        <v>45150</v>
      </c>
      <c r="B55" s="5" t="s">
        <v>8</v>
      </c>
      <c r="C55" s="5" t="s">
        <v>14</v>
      </c>
      <c r="D55" s="23">
        <v>176.69</v>
      </c>
      <c r="E55" s="23">
        <v>72.569999999999993</v>
      </c>
      <c r="F55" s="23">
        <v>104.12</v>
      </c>
      <c r="G55" s="5" t="s">
        <v>32</v>
      </c>
      <c r="H55" s="5" t="s">
        <v>35</v>
      </c>
      <c r="I55" s="5" t="s">
        <v>25</v>
      </c>
      <c r="J55" s="6">
        <f>Table1[[#This Row],[Profit]]/Table1[[#This Row],[Sales]]</f>
        <v>0.58928066104476773</v>
      </c>
      <c r="K55" s="5" t="str">
        <f t="shared" si="0"/>
        <v>Low</v>
      </c>
      <c r="L55" s="5" t="str">
        <f>TEXT(Table1[[#This Row],[Order_Date]],"MMM")</f>
        <v>Aug</v>
      </c>
      <c r="M55" s="5" t="str">
        <f>IF(Table1[[#This Row],[Profit]]&gt;=1000,"Excellent",IF(Table1[[#This Row],[Profit]]&gt;=500,"Good", IF(Table1[[#This Row],[Profit]]&lt;500,"Low")))</f>
        <v>Low</v>
      </c>
      <c r="N55" s="7" t="str">
        <f>TEXT(Table1[[#This Row],[Order_Date]],"YYY")</f>
        <v>2023</v>
      </c>
    </row>
    <row r="56" spans="1:14" x14ac:dyDescent="0.3">
      <c r="A56" s="4">
        <v>45152</v>
      </c>
      <c r="B56" s="5" t="s">
        <v>13</v>
      </c>
      <c r="C56" s="5" t="s">
        <v>26</v>
      </c>
      <c r="D56" s="23">
        <v>377.42</v>
      </c>
      <c r="E56" s="23">
        <v>124.06</v>
      </c>
      <c r="F56" s="23">
        <v>253.36</v>
      </c>
      <c r="G56" s="5" t="s">
        <v>2</v>
      </c>
      <c r="H56" s="5" t="s">
        <v>35</v>
      </c>
      <c r="I56" s="5" t="s">
        <v>17</v>
      </c>
      <c r="J56" s="6">
        <f>Table1[[#This Row],[Profit]]/Table1[[#This Row],[Sales]]</f>
        <v>0.67129457898362566</v>
      </c>
      <c r="K56" s="5" t="str">
        <f t="shared" si="0"/>
        <v>Low</v>
      </c>
      <c r="L56" s="5" t="str">
        <f>TEXT(Table1[[#This Row],[Order_Date]],"MMM")</f>
        <v>Aug</v>
      </c>
      <c r="M56" s="5" t="str">
        <f>IF(Table1[[#This Row],[Profit]]&gt;=1000,"Excellent",IF(Table1[[#This Row],[Profit]]&gt;=500,"Good", IF(Table1[[#This Row],[Profit]]&lt;500,"Low")))</f>
        <v>Low</v>
      </c>
      <c r="N56" s="7" t="str">
        <f>TEXT(Table1[[#This Row],[Order_Date]],"YYY")</f>
        <v>2023</v>
      </c>
    </row>
    <row r="57" spans="1:14" x14ac:dyDescent="0.3">
      <c r="A57" s="4">
        <v>45153</v>
      </c>
      <c r="B57" s="5" t="s">
        <v>18</v>
      </c>
      <c r="C57" s="5" t="s">
        <v>23</v>
      </c>
      <c r="D57" s="23">
        <v>650.63</v>
      </c>
      <c r="E57" s="23">
        <v>256.64999999999998</v>
      </c>
      <c r="F57" s="23">
        <v>393.98</v>
      </c>
      <c r="G57" s="5" t="s">
        <v>2</v>
      </c>
      <c r="H57" s="5" t="s">
        <v>15</v>
      </c>
      <c r="I57" s="5" t="s">
        <v>4</v>
      </c>
      <c r="J57" s="6">
        <f>Table1[[#This Row],[Profit]]/Table1[[#This Row],[Sales]]</f>
        <v>0.60553617263267911</v>
      </c>
      <c r="K57" s="5" t="str">
        <f t="shared" si="0"/>
        <v>Low</v>
      </c>
      <c r="L57" s="5" t="str">
        <f>TEXT(Table1[[#This Row],[Order_Date]],"MMM")</f>
        <v>Aug</v>
      </c>
      <c r="M57" s="5" t="str">
        <f>IF(Table1[[#This Row],[Profit]]&gt;=1000,"Excellent",IF(Table1[[#This Row],[Profit]]&gt;=500,"Good", IF(Table1[[#This Row],[Profit]]&lt;500,"Low")))</f>
        <v>Low</v>
      </c>
      <c r="N57" s="7" t="str">
        <f>TEXT(Table1[[#This Row],[Order_Date]],"YYY")</f>
        <v>2023</v>
      </c>
    </row>
    <row r="58" spans="1:14" x14ac:dyDescent="0.3">
      <c r="A58" s="4">
        <v>45153</v>
      </c>
      <c r="B58" s="5" t="s">
        <v>13</v>
      </c>
      <c r="C58" s="5" t="s">
        <v>23</v>
      </c>
      <c r="D58" s="23">
        <v>798.56</v>
      </c>
      <c r="E58" s="23">
        <v>331.37</v>
      </c>
      <c r="F58" s="23">
        <v>467.19</v>
      </c>
      <c r="G58" s="5" t="s">
        <v>2</v>
      </c>
      <c r="H58" s="5" t="s">
        <v>28</v>
      </c>
      <c r="I58" s="5" t="s">
        <v>11</v>
      </c>
      <c r="J58" s="6">
        <f>Table1[[#This Row],[Profit]]/Table1[[#This Row],[Sales]]</f>
        <v>0.58504057303145662</v>
      </c>
      <c r="K58" s="5" t="str">
        <f t="shared" si="0"/>
        <v>Low</v>
      </c>
      <c r="L58" s="5" t="str">
        <f>TEXT(Table1[[#This Row],[Order_Date]],"MMM")</f>
        <v>Aug</v>
      </c>
      <c r="M58" s="5" t="str">
        <f>IF(Table1[[#This Row],[Profit]]&gt;=1000,"Excellent",IF(Table1[[#This Row],[Profit]]&gt;=500,"Good", IF(Table1[[#This Row],[Profit]]&lt;500,"Low")))</f>
        <v>Low</v>
      </c>
      <c r="N58" s="7" t="str">
        <f>TEXT(Table1[[#This Row],[Order_Date]],"YYY")</f>
        <v>2023</v>
      </c>
    </row>
    <row r="59" spans="1:14" x14ac:dyDescent="0.3">
      <c r="A59" s="4">
        <v>45154</v>
      </c>
      <c r="B59" s="5" t="s">
        <v>8</v>
      </c>
      <c r="C59" s="5" t="s">
        <v>23</v>
      </c>
      <c r="D59" s="23">
        <v>809.96</v>
      </c>
      <c r="E59" s="23">
        <v>349.04</v>
      </c>
      <c r="F59" s="23">
        <v>460.92</v>
      </c>
      <c r="G59" s="5" t="s">
        <v>6</v>
      </c>
      <c r="H59" s="5" t="s">
        <v>35</v>
      </c>
      <c r="I59" s="5" t="s">
        <v>25</v>
      </c>
      <c r="J59" s="6">
        <f>Table1[[#This Row],[Profit]]/Table1[[#This Row],[Sales]]</f>
        <v>0.56906513901921085</v>
      </c>
      <c r="K59" s="5" t="str">
        <f t="shared" si="0"/>
        <v>Low</v>
      </c>
      <c r="L59" s="5" t="str">
        <f>TEXT(Table1[[#This Row],[Order_Date]],"MMM")</f>
        <v>Aug</v>
      </c>
      <c r="M59" s="5" t="str">
        <f>IF(Table1[[#This Row],[Profit]]&gt;=1000,"Excellent",IF(Table1[[#This Row],[Profit]]&gt;=500,"Good", IF(Table1[[#This Row],[Profit]]&lt;500,"Low")))</f>
        <v>Low</v>
      </c>
      <c r="N59" s="7" t="str">
        <f>TEXT(Table1[[#This Row],[Order_Date]],"YYY")</f>
        <v>2023</v>
      </c>
    </row>
    <row r="60" spans="1:14" x14ac:dyDescent="0.3">
      <c r="A60" s="4">
        <v>45154</v>
      </c>
      <c r="B60" s="5" t="s">
        <v>18</v>
      </c>
      <c r="C60" s="5" t="s">
        <v>19</v>
      </c>
      <c r="D60" s="23">
        <v>123.53</v>
      </c>
      <c r="E60" s="23">
        <v>33.33</v>
      </c>
      <c r="F60" s="23">
        <v>90.2</v>
      </c>
      <c r="G60" s="5" t="s">
        <v>20</v>
      </c>
      <c r="H60" s="5" t="s">
        <v>29</v>
      </c>
      <c r="I60" s="5" t="s">
        <v>25</v>
      </c>
      <c r="J60" s="6">
        <f>Table1[[#This Row],[Profit]]/Table1[[#This Row],[Sales]]</f>
        <v>0.73018699910952811</v>
      </c>
      <c r="K60" s="5" t="str">
        <f t="shared" si="0"/>
        <v>Low</v>
      </c>
      <c r="L60" s="5" t="str">
        <f>TEXT(Table1[[#This Row],[Order_Date]],"MMM")</f>
        <v>Aug</v>
      </c>
      <c r="M60" s="5" t="str">
        <f>IF(Table1[[#This Row],[Profit]]&gt;=1000,"Excellent",IF(Table1[[#This Row],[Profit]]&gt;=500,"Good", IF(Table1[[#This Row],[Profit]]&lt;500,"Low")))</f>
        <v>Low</v>
      </c>
      <c r="N60" s="7" t="str">
        <f>TEXT(Table1[[#This Row],[Order_Date]],"YYY")</f>
        <v>2023</v>
      </c>
    </row>
    <row r="61" spans="1:14" x14ac:dyDescent="0.3">
      <c r="A61" s="4">
        <v>45155</v>
      </c>
      <c r="B61" s="5" t="s">
        <v>16</v>
      </c>
      <c r="C61" s="5" t="s">
        <v>31</v>
      </c>
      <c r="D61" s="23">
        <v>79.180000000000007</v>
      </c>
      <c r="E61" s="23">
        <v>24.17</v>
      </c>
      <c r="F61" s="23">
        <v>55.01</v>
      </c>
      <c r="G61" s="5" t="s">
        <v>32</v>
      </c>
      <c r="H61" s="5" t="s">
        <v>3</v>
      </c>
      <c r="I61" s="5" t="s">
        <v>22</v>
      </c>
      <c r="J61" s="6">
        <f>Table1[[#This Row],[Profit]]/Table1[[#This Row],[Sales]]</f>
        <v>0.69474614801717594</v>
      </c>
      <c r="K61" s="5" t="str">
        <f t="shared" si="0"/>
        <v>Low</v>
      </c>
      <c r="L61" s="5" t="str">
        <f>TEXT(Table1[[#This Row],[Order_Date]],"MMM")</f>
        <v>Aug</v>
      </c>
      <c r="M61" s="5" t="str">
        <f>IF(Table1[[#This Row],[Profit]]&gt;=1000,"Excellent",IF(Table1[[#This Row],[Profit]]&gt;=500,"Good", IF(Table1[[#This Row],[Profit]]&lt;500,"Low")))</f>
        <v>Low</v>
      </c>
      <c r="N61" s="7" t="str">
        <f>TEXT(Table1[[#This Row],[Order_Date]],"YYY")</f>
        <v>2023</v>
      </c>
    </row>
    <row r="62" spans="1:14" x14ac:dyDescent="0.3">
      <c r="A62" s="4">
        <v>45156</v>
      </c>
      <c r="B62" s="5" t="s">
        <v>8</v>
      </c>
      <c r="C62" s="5" t="s">
        <v>23</v>
      </c>
      <c r="D62" s="23">
        <v>41.79</v>
      </c>
      <c r="E62" s="23">
        <v>13.26</v>
      </c>
      <c r="F62" s="23">
        <v>28.53</v>
      </c>
      <c r="G62" s="5" t="s">
        <v>32</v>
      </c>
      <c r="H62" s="5" t="s">
        <v>37</v>
      </c>
      <c r="I62" s="5" t="s">
        <v>22</v>
      </c>
      <c r="J62" s="6">
        <f>Table1[[#This Row],[Profit]]/Table1[[#This Row],[Sales]]</f>
        <v>0.68269921033740133</v>
      </c>
      <c r="K62" s="5" t="str">
        <f t="shared" si="0"/>
        <v>Low</v>
      </c>
      <c r="L62" s="5" t="str">
        <f>TEXT(Table1[[#This Row],[Order_Date]],"MMM")</f>
        <v>Aug</v>
      </c>
      <c r="M62" s="5" t="str">
        <f>IF(Table1[[#This Row],[Profit]]&gt;=1000,"Excellent",IF(Table1[[#This Row],[Profit]]&gt;=500,"Good", IF(Table1[[#This Row],[Profit]]&lt;500,"Low")))</f>
        <v>Low</v>
      </c>
      <c r="N62" s="7" t="str">
        <f>TEXT(Table1[[#This Row],[Order_Date]],"YYY")</f>
        <v>2023</v>
      </c>
    </row>
    <row r="63" spans="1:14" x14ac:dyDescent="0.3">
      <c r="A63" s="4">
        <v>45157</v>
      </c>
      <c r="B63" s="5" t="s">
        <v>13</v>
      </c>
      <c r="C63" s="5" t="s">
        <v>31</v>
      </c>
      <c r="D63" s="23">
        <v>266.72000000000003</v>
      </c>
      <c r="E63" s="23">
        <v>63.08</v>
      </c>
      <c r="F63" s="23">
        <v>203.64</v>
      </c>
      <c r="G63" s="5" t="s">
        <v>20</v>
      </c>
      <c r="H63" s="5" t="s">
        <v>34</v>
      </c>
      <c r="I63" s="5" t="s">
        <v>25</v>
      </c>
      <c r="J63" s="6">
        <f>Table1[[#This Row],[Profit]]/Table1[[#This Row],[Sales]]</f>
        <v>0.76349730053989184</v>
      </c>
      <c r="K63" s="5" t="str">
        <f t="shared" si="0"/>
        <v>Low</v>
      </c>
      <c r="L63" s="5" t="str">
        <f>TEXT(Table1[[#This Row],[Order_Date]],"MMM")</f>
        <v>Aug</v>
      </c>
      <c r="M63" s="5" t="str">
        <f>IF(Table1[[#This Row],[Profit]]&gt;=1000,"Excellent",IF(Table1[[#This Row],[Profit]]&gt;=500,"Good", IF(Table1[[#This Row],[Profit]]&lt;500,"Low")))</f>
        <v>Low</v>
      </c>
      <c r="N63" s="7" t="str">
        <f>TEXT(Table1[[#This Row],[Order_Date]],"YYY")</f>
        <v>2023</v>
      </c>
    </row>
    <row r="64" spans="1:14" x14ac:dyDescent="0.3">
      <c r="A64" s="4">
        <v>45158</v>
      </c>
      <c r="B64" s="5" t="s">
        <v>0</v>
      </c>
      <c r="C64" s="5" t="s">
        <v>31</v>
      </c>
      <c r="D64" s="23">
        <v>247.38</v>
      </c>
      <c r="E64" s="23">
        <v>66.42</v>
      </c>
      <c r="F64" s="23">
        <v>180.96</v>
      </c>
      <c r="G64" s="5" t="s">
        <v>9</v>
      </c>
      <c r="H64" s="5" t="s">
        <v>28</v>
      </c>
      <c r="I64" s="5" t="s">
        <v>11</v>
      </c>
      <c r="J64" s="6">
        <f>Table1[[#This Row],[Profit]]/Table1[[#This Row],[Sales]]</f>
        <v>0.73150618481688101</v>
      </c>
      <c r="K64" s="5" t="str">
        <f t="shared" si="0"/>
        <v>Low</v>
      </c>
      <c r="L64" s="5" t="str">
        <f>TEXT(Table1[[#This Row],[Order_Date]],"MMM")</f>
        <v>Aug</v>
      </c>
      <c r="M64" s="5" t="str">
        <f>IF(Table1[[#This Row],[Profit]]&gt;=1000,"Excellent",IF(Table1[[#This Row],[Profit]]&gt;=500,"Good", IF(Table1[[#This Row],[Profit]]&lt;500,"Low")))</f>
        <v>Low</v>
      </c>
      <c r="N64" s="7" t="str">
        <f>TEXT(Table1[[#This Row],[Order_Date]],"YYY")</f>
        <v>2023</v>
      </c>
    </row>
    <row r="65" spans="1:14" x14ac:dyDescent="0.3">
      <c r="A65" s="4">
        <v>45159</v>
      </c>
      <c r="B65" s="5" t="s">
        <v>0</v>
      </c>
      <c r="C65" s="5" t="s">
        <v>26</v>
      </c>
      <c r="D65" s="23">
        <v>284.27999999999997</v>
      </c>
      <c r="E65" s="23">
        <v>94.25</v>
      </c>
      <c r="F65" s="23">
        <v>190.03</v>
      </c>
      <c r="G65" s="5" t="s">
        <v>9</v>
      </c>
      <c r="H65" s="5" t="s">
        <v>7</v>
      </c>
      <c r="I65" s="5" t="s">
        <v>4</v>
      </c>
      <c r="J65" s="6">
        <f>Table1[[#This Row],[Profit]]/Table1[[#This Row],[Sales]]</f>
        <v>0.66846067257633324</v>
      </c>
      <c r="K65" s="5" t="str">
        <f t="shared" si="0"/>
        <v>Low</v>
      </c>
      <c r="L65" s="5" t="str">
        <f>TEXT(Table1[[#This Row],[Order_Date]],"MMM")</f>
        <v>Aug</v>
      </c>
      <c r="M65" s="5" t="str">
        <f>IF(Table1[[#This Row],[Profit]]&gt;=1000,"Excellent",IF(Table1[[#This Row],[Profit]]&gt;=500,"Good", IF(Table1[[#This Row],[Profit]]&lt;500,"Low")))</f>
        <v>Low</v>
      </c>
      <c r="N65" s="7" t="str">
        <f>TEXT(Table1[[#This Row],[Order_Date]],"YYY")</f>
        <v>2023</v>
      </c>
    </row>
    <row r="66" spans="1:14" x14ac:dyDescent="0.3">
      <c r="A66" s="4">
        <v>45160</v>
      </c>
      <c r="B66" s="5" t="s">
        <v>13</v>
      </c>
      <c r="C66" s="5" t="s">
        <v>14</v>
      </c>
      <c r="D66" s="23">
        <v>388.44</v>
      </c>
      <c r="E66" s="23">
        <v>161.06</v>
      </c>
      <c r="F66" s="23">
        <v>227.38</v>
      </c>
      <c r="G66" s="5" t="s">
        <v>9</v>
      </c>
      <c r="H66" s="5" t="s">
        <v>29</v>
      </c>
      <c r="I66" s="5" t="s">
        <v>27</v>
      </c>
      <c r="J66" s="6">
        <f>Table1[[#This Row],[Profit]]/Table1[[#This Row],[Sales]]</f>
        <v>0.58536710946349502</v>
      </c>
      <c r="K66" s="5" t="str">
        <f t="shared" ref="K66:K129" si="1">IF(D66&gt;=2000,"High",IF(D66&gt;=1500,"Medium","Low"))</f>
        <v>Low</v>
      </c>
      <c r="L66" s="5" t="str">
        <f>TEXT(Table1[[#This Row],[Order_Date]],"MMM")</f>
        <v>Aug</v>
      </c>
      <c r="M66" s="5" t="str">
        <f>IF(Table1[[#This Row],[Profit]]&gt;=1000,"Excellent",IF(Table1[[#This Row],[Profit]]&gt;=500,"Good", IF(Table1[[#This Row],[Profit]]&lt;500,"Low")))</f>
        <v>Low</v>
      </c>
      <c r="N66" s="7" t="str">
        <f>TEXT(Table1[[#This Row],[Order_Date]],"YYY")</f>
        <v>2023</v>
      </c>
    </row>
    <row r="67" spans="1:14" x14ac:dyDescent="0.3">
      <c r="A67" s="4">
        <v>45161</v>
      </c>
      <c r="B67" s="5" t="s">
        <v>16</v>
      </c>
      <c r="C67" s="5" t="s">
        <v>23</v>
      </c>
      <c r="D67" s="23">
        <v>58.02</v>
      </c>
      <c r="E67" s="23">
        <v>27.23</v>
      </c>
      <c r="F67" s="23">
        <v>30.79</v>
      </c>
      <c r="G67" s="5" t="s">
        <v>6</v>
      </c>
      <c r="H67" s="5" t="s">
        <v>3</v>
      </c>
      <c r="I67" s="5" t="s">
        <v>11</v>
      </c>
      <c r="J67" s="6">
        <f>Table1[[#This Row],[Profit]]/Table1[[#This Row],[Sales]]</f>
        <v>0.53067907618062737</v>
      </c>
      <c r="K67" s="5" t="str">
        <f t="shared" si="1"/>
        <v>Low</v>
      </c>
      <c r="L67" s="5" t="str">
        <f>TEXT(Table1[[#This Row],[Order_Date]],"MMM")</f>
        <v>Aug</v>
      </c>
      <c r="M67" s="5" t="str">
        <f>IF(Table1[[#This Row],[Profit]]&gt;=1000,"Excellent",IF(Table1[[#This Row],[Profit]]&gt;=500,"Good", IF(Table1[[#This Row],[Profit]]&lt;500,"Low")))</f>
        <v>Low</v>
      </c>
      <c r="N67" s="7" t="str">
        <f>TEXT(Table1[[#This Row],[Order_Date]],"YYY")</f>
        <v>2023</v>
      </c>
    </row>
    <row r="68" spans="1:14" x14ac:dyDescent="0.3">
      <c r="A68" s="4">
        <v>45161</v>
      </c>
      <c r="B68" s="5" t="s">
        <v>0</v>
      </c>
      <c r="C68" s="5" t="s">
        <v>26</v>
      </c>
      <c r="D68" s="23">
        <v>824.35</v>
      </c>
      <c r="E68" s="23">
        <v>300.5</v>
      </c>
      <c r="F68" s="23">
        <v>523.85</v>
      </c>
      <c r="G68" s="5" t="s">
        <v>2</v>
      </c>
      <c r="H68" s="5" t="s">
        <v>36</v>
      </c>
      <c r="I68" s="5" t="s">
        <v>25</v>
      </c>
      <c r="J68" s="6">
        <f>Table1[[#This Row],[Profit]]/Table1[[#This Row],[Sales]]</f>
        <v>0.63547037059501421</v>
      </c>
      <c r="K68" s="5" t="str">
        <f t="shared" si="1"/>
        <v>Low</v>
      </c>
      <c r="L68" s="5" t="str">
        <f>TEXT(Table1[[#This Row],[Order_Date]],"MMM")</f>
        <v>Aug</v>
      </c>
      <c r="M68" s="5" t="str">
        <f>IF(Table1[[#This Row],[Profit]]&gt;=1000,"Excellent",IF(Table1[[#This Row],[Profit]]&gt;=500,"Good", IF(Table1[[#This Row],[Profit]]&lt;500,"Low")))</f>
        <v>Good</v>
      </c>
      <c r="N68" s="7" t="str">
        <f>TEXT(Table1[[#This Row],[Order_Date]],"YYY")</f>
        <v>2023</v>
      </c>
    </row>
    <row r="69" spans="1:14" x14ac:dyDescent="0.3">
      <c r="A69" s="4">
        <v>45162</v>
      </c>
      <c r="B69" s="5" t="s">
        <v>16</v>
      </c>
      <c r="C69" s="5" t="s">
        <v>23</v>
      </c>
      <c r="D69" s="23">
        <v>362.44</v>
      </c>
      <c r="E69" s="23">
        <v>134.47</v>
      </c>
      <c r="F69" s="23">
        <v>227.97</v>
      </c>
      <c r="G69" s="5" t="s">
        <v>32</v>
      </c>
      <c r="H69" s="5" t="s">
        <v>12</v>
      </c>
      <c r="I69" s="5" t="s">
        <v>22</v>
      </c>
      <c r="J69" s="6">
        <f>Table1[[#This Row],[Profit]]/Table1[[#This Row],[Sales]]</f>
        <v>0.62898686679174487</v>
      </c>
      <c r="K69" s="5" t="str">
        <f t="shared" si="1"/>
        <v>Low</v>
      </c>
      <c r="L69" s="5" t="str">
        <f>TEXT(Table1[[#This Row],[Order_Date]],"MMM")</f>
        <v>Aug</v>
      </c>
      <c r="M69" s="5" t="str">
        <f>IF(Table1[[#This Row],[Profit]]&gt;=1000,"Excellent",IF(Table1[[#This Row],[Profit]]&gt;=500,"Good", IF(Table1[[#This Row],[Profit]]&lt;500,"Low")))</f>
        <v>Low</v>
      </c>
      <c r="N69" s="7" t="str">
        <f>TEXT(Table1[[#This Row],[Order_Date]],"YYY")</f>
        <v>2023</v>
      </c>
    </row>
    <row r="70" spans="1:14" x14ac:dyDescent="0.3">
      <c r="A70" s="4">
        <v>45162</v>
      </c>
      <c r="B70" s="5" t="s">
        <v>18</v>
      </c>
      <c r="C70" s="5" t="s">
        <v>14</v>
      </c>
      <c r="D70" s="23">
        <v>334.55</v>
      </c>
      <c r="E70" s="23">
        <v>179</v>
      </c>
      <c r="F70" s="23">
        <v>155.55000000000001</v>
      </c>
      <c r="G70" s="5" t="s">
        <v>2</v>
      </c>
      <c r="H70" s="5" t="s">
        <v>35</v>
      </c>
      <c r="I70" s="5" t="s">
        <v>11</v>
      </c>
      <c r="J70" s="6">
        <f>Table1[[#This Row],[Profit]]/Table1[[#This Row],[Sales]]</f>
        <v>0.46495292183530118</v>
      </c>
      <c r="K70" s="5" t="str">
        <f t="shared" si="1"/>
        <v>Low</v>
      </c>
      <c r="L70" s="5" t="str">
        <f>TEXT(Table1[[#This Row],[Order_Date]],"MMM")</f>
        <v>Aug</v>
      </c>
      <c r="M70" s="5" t="str">
        <f>IF(Table1[[#This Row],[Profit]]&gt;=1000,"Excellent",IF(Table1[[#This Row],[Profit]]&gt;=500,"Good", IF(Table1[[#This Row],[Profit]]&lt;500,"Low")))</f>
        <v>Low</v>
      </c>
      <c r="N70" s="7" t="str">
        <f>TEXT(Table1[[#This Row],[Order_Date]],"YYY")</f>
        <v>2023</v>
      </c>
    </row>
    <row r="71" spans="1:14" x14ac:dyDescent="0.3">
      <c r="A71" s="4">
        <v>45164</v>
      </c>
      <c r="B71" s="5" t="s">
        <v>0</v>
      </c>
      <c r="C71" s="5" t="s">
        <v>1</v>
      </c>
      <c r="D71" s="23">
        <v>1390.51</v>
      </c>
      <c r="E71" s="23">
        <v>701.38</v>
      </c>
      <c r="F71" s="23">
        <v>689.13</v>
      </c>
      <c r="G71" s="5" t="s">
        <v>2</v>
      </c>
      <c r="H71" s="5" t="s">
        <v>36</v>
      </c>
      <c r="I71" s="5" t="s">
        <v>11</v>
      </c>
      <c r="J71" s="6">
        <f>Table1[[#This Row],[Profit]]/Table1[[#This Row],[Sales]]</f>
        <v>0.49559514135101512</v>
      </c>
      <c r="K71" s="5" t="str">
        <f t="shared" si="1"/>
        <v>Low</v>
      </c>
      <c r="L71" s="5" t="str">
        <f>TEXT(Table1[[#This Row],[Order_Date]],"MMM")</f>
        <v>Aug</v>
      </c>
      <c r="M71" s="5" t="str">
        <f>IF(Table1[[#This Row],[Profit]]&gt;=1000,"Excellent",IF(Table1[[#This Row],[Profit]]&gt;=500,"Good", IF(Table1[[#This Row],[Profit]]&lt;500,"Low")))</f>
        <v>Good</v>
      </c>
      <c r="N71" s="7" t="str">
        <f>TEXT(Table1[[#This Row],[Order_Date]],"YYY")</f>
        <v>2023</v>
      </c>
    </row>
    <row r="72" spans="1:14" x14ac:dyDescent="0.3">
      <c r="A72" s="4">
        <v>45164</v>
      </c>
      <c r="B72" s="5" t="s">
        <v>16</v>
      </c>
      <c r="C72" s="5" t="s">
        <v>23</v>
      </c>
      <c r="D72" s="23">
        <v>700.33</v>
      </c>
      <c r="E72" s="23">
        <v>270.92</v>
      </c>
      <c r="F72" s="23">
        <v>429.41</v>
      </c>
      <c r="G72" s="5" t="s">
        <v>20</v>
      </c>
      <c r="H72" s="5" t="s">
        <v>29</v>
      </c>
      <c r="I72" s="5" t="s">
        <v>17</v>
      </c>
      <c r="J72" s="6">
        <f>Table1[[#This Row],[Profit]]/Table1[[#This Row],[Sales]]</f>
        <v>0.61315379892336475</v>
      </c>
      <c r="K72" s="5" t="str">
        <f t="shared" si="1"/>
        <v>Low</v>
      </c>
      <c r="L72" s="5" t="str">
        <f>TEXT(Table1[[#This Row],[Order_Date]],"MMM")</f>
        <v>Aug</v>
      </c>
      <c r="M72" s="5" t="str">
        <f>IF(Table1[[#This Row],[Profit]]&gt;=1000,"Excellent",IF(Table1[[#This Row],[Profit]]&gt;=500,"Good", IF(Table1[[#This Row],[Profit]]&lt;500,"Low")))</f>
        <v>Low</v>
      </c>
      <c r="N72" s="7" t="str">
        <f>TEXT(Table1[[#This Row],[Order_Date]],"YYY")</f>
        <v>2023</v>
      </c>
    </row>
    <row r="73" spans="1:14" x14ac:dyDescent="0.3">
      <c r="A73" s="4">
        <v>45164</v>
      </c>
      <c r="B73" s="5" t="s">
        <v>18</v>
      </c>
      <c r="C73" s="5" t="s">
        <v>23</v>
      </c>
      <c r="D73" s="23">
        <v>231.94</v>
      </c>
      <c r="E73" s="23">
        <v>97.1</v>
      </c>
      <c r="F73" s="23">
        <v>134.84</v>
      </c>
      <c r="G73" s="5" t="s">
        <v>20</v>
      </c>
      <c r="H73" s="5" t="s">
        <v>30</v>
      </c>
      <c r="I73" s="5" t="s">
        <v>11</v>
      </c>
      <c r="J73" s="6">
        <f>Table1[[#This Row],[Profit]]/Table1[[#This Row],[Sales]]</f>
        <v>0.58135724756402518</v>
      </c>
      <c r="K73" s="5" t="str">
        <f t="shared" si="1"/>
        <v>Low</v>
      </c>
      <c r="L73" s="5" t="str">
        <f>TEXT(Table1[[#This Row],[Order_Date]],"MMM")</f>
        <v>Aug</v>
      </c>
      <c r="M73" s="5" t="str">
        <f>IF(Table1[[#This Row],[Profit]]&gt;=1000,"Excellent",IF(Table1[[#This Row],[Profit]]&gt;=500,"Good", IF(Table1[[#This Row],[Profit]]&lt;500,"Low")))</f>
        <v>Low</v>
      </c>
      <c r="N73" s="7" t="str">
        <f>TEXT(Table1[[#This Row],[Order_Date]],"YYY")</f>
        <v>2023</v>
      </c>
    </row>
    <row r="74" spans="1:14" x14ac:dyDescent="0.3">
      <c r="A74" s="4">
        <v>45165</v>
      </c>
      <c r="B74" s="5" t="s">
        <v>18</v>
      </c>
      <c r="C74" s="5" t="s">
        <v>14</v>
      </c>
      <c r="D74" s="23">
        <v>312.04000000000002</v>
      </c>
      <c r="E74" s="23">
        <v>97.68</v>
      </c>
      <c r="F74" s="23">
        <v>214.36</v>
      </c>
      <c r="G74" s="5" t="s">
        <v>6</v>
      </c>
      <c r="H74" s="5" t="s">
        <v>37</v>
      </c>
      <c r="I74" s="5" t="s">
        <v>25</v>
      </c>
      <c r="J74" s="6">
        <f>Table1[[#This Row],[Profit]]/Table1[[#This Row],[Sales]]</f>
        <v>0.68696320984489168</v>
      </c>
      <c r="K74" s="5" t="str">
        <f t="shared" si="1"/>
        <v>Low</v>
      </c>
      <c r="L74" s="5" t="str">
        <f>TEXT(Table1[[#This Row],[Order_Date]],"MMM")</f>
        <v>Aug</v>
      </c>
      <c r="M74" s="5" t="str">
        <f>IF(Table1[[#This Row],[Profit]]&gt;=1000,"Excellent",IF(Table1[[#This Row],[Profit]]&gt;=500,"Good", IF(Table1[[#This Row],[Profit]]&lt;500,"Low")))</f>
        <v>Low</v>
      </c>
      <c r="N74" s="7" t="str">
        <f>TEXT(Table1[[#This Row],[Order_Date]],"YYY")</f>
        <v>2023</v>
      </c>
    </row>
    <row r="75" spans="1:14" x14ac:dyDescent="0.3">
      <c r="A75" s="4">
        <v>45165</v>
      </c>
      <c r="B75" s="5" t="s">
        <v>0</v>
      </c>
      <c r="C75" s="5" t="s">
        <v>14</v>
      </c>
      <c r="D75" s="23">
        <v>261.10000000000002</v>
      </c>
      <c r="E75" s="23">
        <v>92.85</v>
      </c>
      <c r="F75" s="23">
        <v>168.25</v>
      </c>
      <c r="G75" s="5" t="s">
        <v>9</v>
      </c>
      <c r="H75" s="5" t="s">
        <v>34</v>
      </c>
      <c r="I75" s="5" t="s">
        <v>11</v>
      </c>
      <c r="J75" s="6">
        <f>Table1[[#This Row],[Profit]]/Table1[[#This Row],[Sales]]</f>
        <v>0.64438912294140172</v>
      </c>
      <c r="K75" s="5" t="str">
        <f t="shared" si="1"/>
        <v>Low</v>
      </c>
      <c r="L75" s="5" t="str">
        <f>TEXT(Table1[[#This Row],[Order_Date]],"MMM")</f>
        <v>Aug</v>
      </c>
      <c r="M75" s="5" t="str">
        <f>IF(Table1[[#This Row],[Profit]]&gt;=1000,"Excellent",IF(Table1[[#This Row],[Profit]]&gt;=500,"Good", IF(Table1[[#This Row],[Profit]]&lt;500,"Low")))</f>
        <v>Low</v>
      </c>
      <c r="N75" s="7" t="str">
        <f>TEXT(Table1[[#This Row],[Order_Date]],"YYY")</f>
        <v>2023</v>
      </c>
    </row>
    <row r="76" spans="1:14" x14ac:dyDescent="0.3">
      <c r="A76" s="4">
        <v>45166</v>
      </c>
      <c r="B76" s="5" t="s">
        <v>8</v>
      </c>
      <c r="C76" s="5" t="s">
        <v>31</v>
      </c>
      <c r="D76" s="23">
        <v>288.95</v>
      </c>
      <c r="E76" s="23">
        <v>67.27</v>
      </c>
      <c r="F76" s="23">
        <v>221.68</v>
      </c>
      <c r="G76" s="5" t="s">
        <v>20</v>
      </c>
      <c r="H76" s="5" t="s">
        <v>3</v>
      </c>
      <c r="I76" s="5" t="s">
        <v>25</v>
      </c>
      <c r="J76" s="6">
        <f>Table1[[#This Row],[Profit]]/Table1[[#This Row],[Sales]]</f>
        <v>0.76719155563246244</v>
      </c>
      <c r="K76" s="5" t="str">
        <f t="shared" si="1"/>
        <v>Low</v>
      </c>
      <c r="L76" s="5" t="str">
        <f>TEXT(Table1[[#This Row],[Order_Date]],"MMM")</f>
        <v>Aug</v>
      </c>
      <c r="M76" s="5" t="str">
        <f>IF(Table1[[#This Row],[Profit]]&gt;=1000,"Excellent",IF(Table1[[#This Row],[Profit]]&gt;=500,"Good", IF(Table1[[#This Row],[Profit]]&lt;500,"Low")))</f>
        <v>Low</v>
      </c>
      <c r="N76" s="7" t="str">
        <f>TEXT(Table1[[#This Row],[Order_Date]],"YYY")</f>
        <v>2023</v>
      </c>
    </row>
    <row r="77" spans="1:14" x14ac:dyDescent="0.3">
      <c r="A77" s="4">
        <v>45166</v>
      </c>
      <c r="B77" s="5" t="s">
        <v>8</v>
      </c>
      <c r="C77" s="5" t="s">
        <v>19</v>
      </c>
      <c r="D77" s="23">
        <v>35.659999999999997</v>
      </c>
      <c r="E77" s="23">
        <v>13.48</v>
      </c>
      <c r="F77" s="23">
        <v>22.18</v>
      </c>
      <c r="G77" s="5" t="s">
        <v>20</v>
      </c>
      <c r="H77" s="5" t="s">
        <v>36</v>
      </c>
      <c r="I77" s="5" t="s">
        <v>4</v>
      </c>
      <c r="J77" s="6">
        <f>Table1[[#This Row],[Profit]]/Table1[[#This Row],[Sales]]</f>
        <v>0.62198541783510941</v>
      </c>
      <c r="K77" s="5" t="str">
        <f t="shared" si="1"/>
        <v>Low</v>
      </c>
      <c r="L77" s="5" t="str">
        <f>TEXT(Table1[[#This Row],[Order_Date]],"MMM")</f>
        <v>Aug</v>
      </c>
      <c r="M77" s="5" t="str">
        <f>IF(Table1[[#This Row],[Profit]]&gt;=1000,"Excellent",IF(Table1[[#This Row],[Profit]]&gt;=500,"Good", IF(Table1[[#This Row],[Profit]]&lt;500,"Low")))</f>
        <v>Low</v>
      </c>
      <c r="N77" s="7" t="str">
        <f>TEXT(Table1[[#This Row],[Order_Date]],"YYY")</f>
        <v>2023</v>
      </c>
    </row>
    <row r="78" spans="1:14" x14ac:dyDescent="0.3">
      <c r="A78" s="4">
        <v>45166</v>
      </c>
      <c r="B78" s="5" t="s">
        <v>18</v>
      </c>
      <c r="C78" s="5" t="s">
        <v>23</v>
      </c>
      <c r="D78" s="23">
        <v>677.23</v>
      </c>
      <c r="E78" s="23">
        <v>228.37</v>
      </c>
      <c r="F78" s="23">
        <v>448.86</v>
      </c>
      <c r="G78" s="5" t="s">
        <v>2</v>
      </c>
      <c r="H78" s="5" t="s">
        <v>24</v>
      </c>
      <c r="I78" s="5" t="s">
        <v>17</v>
      </c>
      <c r="J78" s="6">
        <f>Table1[[#This Row],[Profit]]/Table1[[#This Row],[Sales]]</f>
        <v>0.66278812220368266</v>
      </c>
      <c r="K78" s="5" t="str">
        <f t="shared" si="1"/>
        <v>Low</v>
      </c>
      <c r="L78" s="5" t="str">
        <f>TEXT(Table1[[#This Row],[Order_Date]],"MMM")</f>
        <v>Aug</v>
      </c>
      <c r="M78" s="5" t="str">
        <f>IF(Table1[[#This Row],[Profit]]&gt;=1000,"Excellent",IF(Table1[[#This Row],[Profit]]&gt;=500,"Good", IF(Table1[[#This Row],[Profit]]&lt;500,"Low")))</f>
        <v>Low</v>
      </c>
      <c r="N78" s="7" t="str">
        <f>TEXT(Table1[[#This Row],[Order_Date]],"YYY")</f>
        <v>2023</v>
      </c>
    </row>
    <row r="79" spans="1:14" x14ac:dyDescent="0.3">
      <c r="A79" s="4">
        <v>45167</v>
      </c>
      <c r="B79" s="5" t="s">
        <v>16</v>
      </c>
      <c r="C79" s="5" t="s">
        <v>1</v>
      </c>
      <c r="D79" s="23">
        <v>1252.72</v>
      </c>
      <c r="E79" s="23">
        <v>793.14</v>
      </c>
      <c r="F79" s="23">
        <v>459.58</v>
      </c>
      <c r="G79" s="5" t="s">
        <v>9</v>
      </c>
      <c r="H79" s="5" t="s">
        <v>12</v>
      </c>
      <c r="I79" s="5" t="s">
        <v>11</v>
      </c>
      <c r="J79" s="6">
        <f>Table1[[#This Row],[Profit]]/Table1[[#This Row],[Sales]]</f>
        <v>0.36686570023628584</v>
      </c>
      <c r="K79" s="5" t="str">
        <f t="shared" si="1"/>
        <v>Low</v>
      </c>
      <c r="L79" s="5" t="str">
        <f>TEXT(Table1[[#This Row],[Order_Date]],"MMM")</f>
        <v>Aug</v>
      </c>
      <c r="M79" s="5" t="str">
        <f>IF(Table1[[#This Row],[Profit]]&gt;=1000,"Excellent",IF(Table1[[#This Row],[Profit]]&gt;=500,"Good", IF(Table1[[#This Row],[Profit]]&lt;500,"Low")))</f>
        <v>Low</v>
      </c>
      <c r="N79" s="7" t="str">
        <f>TEXT(Table1[[#This Row],[Order_Date]],"YYY")</f>
        <v>2023</v>
      </c>
    </row>
    <row r="80" spans="1:14" x14ac:dyDescent="0.3">
      <c r="A80" s="4">
        <v>45167</v>
      </c>
      <c r="B80" s="5" t="s">
        <v>13</v>
      </c>
      <c r="C80" s="5" t="s">
        <v>19</v>
      </c>
      <c r="D80" s="23">
        <v>87.98</v>
      </c>
      <c r="E80" s="23">
        <v>30.13</v>
      </c>
      <c r="F80" s="23">
        <v>57.85</v>
      </c>
      <c r="G80" s="5" t="s">
        <v>20</v>
      </c>
      <c r="H80" s="5" t="s">
        <v>37</v>
      </c>
      <c r="I80" s="5" t="s">
        <v>4</v>
      </c>
      <c r="J80" s="6">
        <f>Table1[[#This Row],[Profit]]/Table1[[#This Row],[Sales]]</f>
        <v>0.65753580359172537</v>
      </c>
      <c r="K80" s="5" t="str">
        <f t="shared" si="1"/>
        <v>Low</v>
      </c>
      <c r="L80" s="5" t="str">
        <f>TEXT(Table1[[#This Row],[Order_Date]],"MMM")</f>
        <v>Aug</v>
      </c>
      <c r="M80" s="5" t="str">
        <f>IF(Table1[[#This Row],[Profit]]&gt;=1000,"Excellent",IF(Table1[[#This Row],[Profit]]&gt;=500,"Good", IF(Table1[[#This Row],[Profit]]&lt;500,"Low")))</f>
        <v>Low</v>
      </c>
      <c r="N80" s="7" t="str">
        <f>TEXT(Table1[[#This Row],[Order_Date]],"YYY")</f>
        <v>2023</v>
      </c>
    </row>
    <row r="81" spans="1:14" x14ac:dyDescent="0.3">
      <c r="A81" s="4">
        <v>45167</v>
      </c>
      <c r="B81" s="5" t="s">
        <v>18</v>
      </c>
      <c r="C81" s="5" t="s">
        <v>19</v>
      </c>
      <c r="D81" s="23">
        <v>115.92</v>
      </c>
      <c r="E81" s="23">
        <v>49.94</v>
      </c>
      <c r="F81" s="23">
        <v>65.98</v>
      </c>
      <c r="G81" s="5" t="s">
        <v>6</v>
      </c>
      <c r="H81" s="5" t="s">
        <v>3</v>
      </c>
      <c r="I81" s="5" t="s">
        <v>22</v>
      </c>
      <c r="J81" s="6">
        <f>Table1[[#This Row],[Profit]]/Table1[[#This Row],[Sales]]</f>
        <v>0.56918564527260185</v>
      </c>
      <c r="K81" s="5" t="str">
        <f t="shared" si="1"/>
        <v>Low</v>
      </c>
      <c r="L81" s="5" t="str">
        <f>TEXT(Table1[[#This Row],[Order_Date]],"MMM")</f>
        <v>Aug</v>
      </c>
      <c r="M81" s="5" t="str">
        <f>IF(Table1[[#This Row],[Profit]]&gt;=1000,"Excellent",IF(Table1[[#This Row],[Profit]]&gt;=500,"Good", IF(Table1[[#This Row],[Profit]]&lt;500,"Low")))</f>
        <v>Low</v>
      </c>
      <c r="N81" s="7" t="str">
        <f>TEXT(Table1[[#This Row],[Order_Date]],"YYY")</f>
        <v>2023</v>
      </c>
    </row>
    <row r="82" spans="1:14" x14ac:dyDescent="0.3">
      <c r="A82" s="4">
        <v>45167</v>
      </c>
      <c r="B82" s="5" t="s">
        <v>0</v>
      </c>
      <c r="C82" s="5" t="s">
        <v>19</v>
      </c>
      <c r="D82" s="23">
        <v>93.18</v>
      </c>
      <c r="E82" s="23">
        <v>33.799999999999997</v>
      </c>
      <c r="F82" s="23">
        <v>59.38</v>
      </c>
      <c r="G82" s="5" t="s">
        <v>32</v>
      </c>
      <c r="H82" s="5" t="s">
        <v>28</v>
      </c>
      <c r="I82" s="5" t="s">
        <v>17</v>
      </c>
      <c r="J82" s="6">
        <f>Table1[[#This Row],[Profit]]/Table1[[#This Row],[Sales]]</f>
        <v>0.63726121485297271</v>
      </c>
      <c r="K82" s="5" t="str">
        <f t="shared" si="1"/>
        <v>Low</v>
      </c>
      <c r="L82" s="5" t="str">
        <f>TEXT(Table1[[#This Row],[Order_Date]],"MMM")</f>
        <v>Aug</v>
      </c>
      <c r="M82" s="5" t="str">
        <f>IF(Table1[[#This Row],[Profit]]&gt;=1000,"Excellent",IF(Table1[[#This Row],[Profit]]&gt;=500,"Good", IF(Table1[[#This Row],[Profit]]&lt;500,"Low")))</f>
        <v>Low</v>
      </c>
      <c r="N82" s="7" t="str">
        <f>TEXT(Table1[[#This Row],[Order_Date]],"YYY")</f>
        <v>2023</v>
      </c>
    </row>
    <row r="83" spans="1:14" x14ac:dyDescent="0.3">
      <c r="A83" s="4">
        <v>45168</v>
      </c>
      <c r="B83" s="5" t="s">
        <v>16</v>
      </c>
      <c r="C83" s="5" t="s">
        <v>31</v>
      </c>
      <c r="D83" s="23">
        <v>217.65</v>
      </c>
      <c r="E83" s="23">
        <v>56.53</v>
      </c>
      <c r="F83" s="23">
        <v>161.12</v>
      </c>
      <c r="G83" s="5" t="s">
        <v>2</v>
      </c>
      <c r="H83" s="5" t="s">
        <v>34</v>
      </c>
      <c r="I83" s="5" t="s">
        <v>17</v>
      </c>
      <c r="J83" s="6">
        <f>Table1[[#This Row],[Profit]]/Table1[[#This Row],[Sales]]</f>
        <v>0.74027107741787268</v>
      </c>
      <c r="K83" s="5" t="str">
        <f t="shared" si="1"/>
        <v>Low</v>
      </c>
      <c r="L83" s="5" t="str">
        <f>TEXT(Table1[[#This Row],[Order_Date]],"MMM")</f>
        <v>Aug</v>
      </c>
      <c r="M83" s="5" t="str">
        <f>IF(Table1[[#This Row],[Profit]]&gt;=1000,"Excellent",IF(Table1[[#This Row],[Profit]]&gt;=500,"Good", IF(Table1[[#This Row],[Profit]]&lt;500,"Low")))</f>
        <v>Low</v>
      </c>
      <c r="N83" s="7" t="str">
        <f>TEXT(Table1[[#This Row],[Order_Date]],"YYY")</f>
        <v>2023</v>
      </c>
    </row>
    <row r="84" spans="1:14" x14ac:dyDescent="0.3">
      <c r="A84" s="4">
        <v>45168</v>
      </c>
      <c r="B84" s="5" t="s">
        <v>16</v>
      </c>
      <c r="C84" s="5" t="s">
        <v>14</v>
      </c>
      <c r="D84" s="23">
        <v>120.9</v>
      </c>
      <c r="E84" s="23">
        <v>46.68</v>
      </c>
      <c r="F84" s="23">
        <v>74.22</v>
      </c>
      <c r="G84" s="5" t="s">
        <v>20</v>
      </c>
      <c r="H84" s="5" t="s">
        <v>3</v>
      </c>
      <c r="I84" s="5" t="s">
        <v>22</v>
      </c>
      <c r="J84" s="6">
        <f>Table1[[#This Row],[Profit]]/Table1[[#This Row],[Sales]]</f>
        <v>0.61389578163771708</v>
      </c>
      <c r="K84" s="5" t="str">
        <f t="shared" si="1"/>
        <v>Low</v>
      </c>
      <c r="L84" s="5" t="str">
        <f>TEXT(Table1[[#This Row],[Order_Date]],"MMM")</f>
        <v>Aug</v>
      </c>
      <c r="M84" s="5" t="str">
        <f>IF(Table1[[#This Row],[Profit]]&gt;=1000,"Excellent",IF(Table1[[#This Row],[Profit]]&gt;=500,"Good", IF(Table1[[#This Row],[Profit]]&lt;500,"Low")))</f>
        <v>Low</v>
      </c>
      <c r="N84" s="7" t="str">
        <f>TEXT(Table1[[#This Row],[Order_Date]],"YYY")</f>
        <v>2023</v>
      </c>
    </row>
    <row r="85" spans="1:14" x14ac:dyDescent="0.3">
      <c r="A85" s="4">
        <v>45168</v>
      </c>
      <c r="B85" s="5" t="s">
        <v>0</v>
      </c>
      <c r="C85" s="5" t="s">
        <v>14</v>
      </c>
      <c r="D85" s="23">
        <v>266.48</v>
      </c>
      <c r="E85" s="23">
        <v>103.28</v>
      </c>
      <c r="F85" s="23">
        <v>163.19999999999999</v>
      </c>
      <c r="G85" s="5" t="s">
        <v>2</v>
      </c>
      <c r="H85" s="5" t="s">
        <v>35</v>
      </c>
      <c r="I85" s="5" t="s">
        <v>11</v>
      </c>
      <c r="J85" s="6">
        <f>Table1[[#This Row],[Profit]]/Table1[[#This Row],[Sales]]</f>
        <v>0.61242870009006301</v>
      </c>
      <c r="K85" s="5" t="str">
        <f t="shared" si="1"/>
        <v>Low</v>
      </c>
      <c r="L85" s="5" t="str">
        <f>TEXT(Table1[[#This Row],[Order_Date]],"MMM")</f>
        <v>Aug</v>
      </c>
      <c r="M85" s="5" t="str">
        <f>IF(Table1[[#This Row],[Profit]]&gt;=1000,"Excellent",IF(Table1[[#This Row],[Profit]]&gt;=500,"Good", IF(Table1[[#This Row],[Profit]]&lt;500,"Low")))</f>
        <v>Low</v>
      </c>
      <c r="N85" s="7" t="str">
        <f>TEXT(Table1[[#This Row],[Order_Date]],"YYY")</f>
        <v>2023</v>
      </c>
    </row>
    <row r="86" spans="1:14" x14ac:dyDescent="0.3">
      <c r="A86" s="4">
        <v>45170</v>
      </c>
      <c r="B86" s="5" t="s">
        <v>16</v>
      </c>
      <c r="C86" s="5" t="s">
        <v>14</v>
      </c>
      <c r="D86" s="23">
        <v>183.72</v>
      </c>
      <c r="E86" s="23">
        <v>65.94</v>
      </c>
      <c r="F86" s="23">
        <v>117.78</v>
      </c>
      <c r="G86" s="5" t="s">
        <v>9</v>
      </c>
      <c r="H86" s="5" t="s">
        <v>21</v>
      </c>
      <c r="I86" s="5" t="s">
        <v>22</v>
      </c>
      <c r="J86" s="6">
        <f>Table1[[#This Row],[Profit]]/Table1[[#This Row],[Sales]]</f>
        <v>0.64108425865447416</v>
      </c>
      <c r="K86" s="5" t="str">
        <f t="shared" si="1"/>
        <v>Low</v>
      </c>
      <c r="L86" s="5" t="str">
        <f>TEXT(Table1[[#This Row],[Order_Date]],"MMM")</f>
        <v>Sep</v>
      </c>
      <c r="M86" s="5" t="str">
        <f>IF(Table1[[#This Row],[Profit]]&gt;=1000,"Excellent",IF(Table1[[#This Row],[Profit]]&gt;=500,"Good", IF(Table1[[#This Row],[Profit]]&lt;500,"Low")))</f>
        <v>Low</v>
      </c>
      <c r="N86" s="7" t="str">
        <f>TEXT(Table1[[#This Row],[Order_Date]],"YYY")</f>
        <v>2023</v>
      </c>
    </row>
    <row r="87" spans="1:14" x14ac:dyDescent="0.3">
      <c r="A87" s="4">
        <v>45171</v>
      </c>
      <c r="B87" s="5" t="s">
        <v>0</v>
      </c>
      <c r="C87" s="5" t="s">
        <v>5</v>
      </c>
      <c r="D87" s="23">
        <v>1553.05</v>
      </c>
      <c r="E87" s="23">
        <v>483.23</v>
      </c>
      <c r="F87" s="23">
        <v>1069.82</v>
      </c>
      <c r="G87" s="5" t="s">
        <v>9</v>
      </c>
      <c r="H87" s="5" t="s">
        <v>12</v>
      </c>
      <c r="I87" s="5" t="s">
        <v>22</v>
      </c>
      <c r="J87" s="6">
        <f>Table1[[#This Row],[Profit]]/Table1[[#This Row],[Sales]]</f>
        <v>0.68885097067061585</v>
      </c>
      <c r="K87" s="5" t="str">
        <f t="shared" si="1"/>
        <v>Medium</v>
      </c>
      <c r="L87" s="5" t="str">
        <f>TEXT(Table1[[#This Row],[Order_Date]],"MMM")</f>
        <v>Sep</v>
      </c>
      <c r="M87" s="5" t="str">
        <f>IF(Table1[[#This Row],[Profit]]&gt;=1000,"Excellent",IF(Table1[[#This Row],[Profit]]&gt;=500,"Good", IF(Table1[[#This Row],[Profit]]&lt;500,"Low")))</f>
        <v>Excellent</v>
      </c>
      <c r="N87" s="7" t="str">
        <f>TEXT(Table1[[#This Row],[Order_Date]],"YYY")</f>
        <v>2023</v>
      </c>
    </row>
    <row r="88" spans="1:14" x14ac:dyDescent="0.3">
      <c r="A88" s="4">
        <v>45171</v>
      </c>
      <c r="B88" s="5" t="s">
        <v>0</v>
      </c>
      <c r="C88" s="5" t="s">
        <v>5</v>
      </c>
      <c r="D88" s="23">
        <v>490.62</v>
      </c>
      <c r="E88" s="23">
        <v>234.86</v>
      </c>
      <c r="F88" s="23">
        <v>255.76</v>
      </c>
      <c r="G88" s="5" t="s">
        <v>9</v>
      </c>
      <c r="H88" s="5" t="s">
        <v>3</v>
      </c>
      <c r="I88" s="5" t="s">
        <v>25</v>
      </c>
      <c r="J88" s="6">
        <f>Table1[[#This Row],[Profit]]/Table1[[#This Row],[Sales]]</f>
        <v>0.52129958012310951</v>
      </c>
      <c r="K88" s="5" t="str">
        <f t="shared" si="1"/>
        <v>Low</v>
      </c>
      <c r="L88" s="5" t="str">
        <f>TEXT(Table1[[#This Row],[Order_Date]],"MMM")</f>
        <v>Sep</v>
      </c>
      <c r="M88" s="5" t="str">
        <f>IF(Table1[[#This Row],[Profit]]&gt;=1000,"Excellent",IF(Table1[[#This Row],[Profit]]&gt;=500,"Good", IF(Table1[[#This Row],[Profit]]&lt;500,"Low")))</f>
        <v>Low</v>
      </c>
      <c r="N88" s="7" t="str">
        <f>TEXT(Table1[[#This Row],[Order_Date]],"YYY")</f>
        <v>2023</v>
      </c>
    </row>
    <row r="89" spans="1:14" x14ac:dyDescent="0.3">
      <c r="A89" s="4">
        <v>45172</v>
      </c>
      <c r="B89" s="5" t="s">
        <v>18</v>
      </c>
      <c r="C89" s="5" t="s">
        <v>1</v>
      </c>
      <c r="D89" s="23">
        <v>819.78</v>
      </c>
      <c r="E89" s="23">
        <v>501.71</v>
      </c>
      <c r="F89" s="23">
        <v>318.07</v>
      </c>
      <c r="G89" s="5" t="s">
        <v>32</v>
      </c>
      <c r="H89" s="5" t="s">
        <v>10</v>
      </c>
      <c r="I89" s="5" t="s">
        <v>4</v>
      </c>
      <c r="J89" s="6">
        <f>Table1[[#This Row],[Profit]]/Table1[[#This Row],[Sales]]</f>
        <v>0.38799433994486326</v>
      </c>
      <c r="K89" s="5" t="str">
        <f t="shared" si="1"/>
        <v>Low</v>
      </c>
      <c r="L89" s="5" t="str">
        <f>TEXT(Table1[[#This Row],[Order_Date]],"MMM")</f>
        <v>Sep</v>
      </c>
      <c r="M89" s="5" t="str">
        <f>IF(Table1[[#This Row],[Profit]]&gt;=1000,"Excellent",IF(Table1[[#This Row],[Profit]]&gt;=500,"Good", IF(Table1[[#This Row],[Profit]]&lt;500,"Low")))</f>
        <v>Low</v>
      </c>
      <c r="N89" s="7" t="str">
        <f>TEXT(Table1[[#This Row],[Order_Date]],"YYY")</f>
        <v>2023</v>
      </c>
    </row>
    <row r="90" spans="1:14" x14ac:dyDescent="0.3">
      <c r="A90" s="4">
        <v>45172</v>
      </c>
      <c r="B90" s="5" t="s">
        <v>18</v>
      </c>
      <c r="C90" s="5" t="s">
        <v>23</v>
      </c>
      <c r="D90" s="23">
        <v>805.12</v>
      </c>
      <c r="E90" s="23">
        <v>339.04</v>
      </c>
      <c r="F90" s="23">
        <v>466.08</v>
      </c>
      <c r="G90" s="5" t="s">
        <v>6</v>
      </c>
      <c r="H90" s="5" t="s">
        <v>15</v>
      </c>
      <c r="I90" s="5" t="s">
        <v>22</v>
      </c>
      <c r="J90" s="6">
        <f>Table1[[#This Row],[Profit]]/Table1[[#This Row],[Sales]]</f>
        <v>0.57889507154213038</v>
      </c>
      <c r="K90" s="5" t="str">
        <f t="shared" si="1"/>
        <v>Low</v>
      </c>
      <c r="L90" s="5" t="str">
        <f>TEXT(Table1[[#This Row],[Order_Date]],"MMM")</f>
        <v>Sep</v>
      </c>
      <c r="M90" s="5" t="str">
        <f>IF(Table1[[#This Row],[Profit]]&gt;=1000,"Excellent",IF(Table1[[#This Row],[Profit]]&gt;=500,"Good", IF(Table1[[#This Row],[Profit]]&lt;500,"Low")))</f>
        <v>Low</v>
      </c>
      <c r="N90" s="7" t="str">
        <f>TEXT(Table1[[#This Row],[Order_Date]],"YYY")</f>
        <v>2023</v>
      </c>
    </row>
    <row r="91" spans="1:14" x14ac:dyDescent="0.3">
      <c r="A91" s="4">
        <v>45173</v>
      </c>
      <c r="B91" s="5" t="s">
        <v>16</v>
      </c>
      <c r="C91" s="5" t="s">
        <v>31</v>
      </c>
      <c r="D91" s="23">
        <v>50.19</v>
      </c>
      <c r="E91" s="23">
        <v>13.85</v>
      </c>
      <c r="F91" s="23">
        <v>36.340000000000003</v>
      </c>
      <c r="G91" s="5" t="s">
        <v>32</v>
      </c>
      <c r="H91" s="5" t="s">
        <v>3</v>
      </c>
      <c r="I91" s="5" t="s">
        <v>4</v>
      </c>
      <c r="J91" s="6">
        <f>Table1[[#This Row],[Profit]]/Table1[[#This Row],[Sales]]</f>
        <v>0.72404861526200448</v>
      </c>
      <c r="K91" s="5" t="str">
        <f t="shared" si="1"/>
        <v>Low</v>
      </c>
      <c r="L91" s="5" t="str">
        <f>TEXT(Table1[[#This Row],[Order_Date]],"MMM")</f>
        <v>Sep</v>
      </c>
      <c r="M91" s="5" t="str">
        <f>IF(Table1[[#This Row],[Profit]]&gt;=1000,"Excellent",IF(Table1[[#This Row],[Profit]]&gt;=500,"Good", IF(Table1[[#This Row],[Profit]]&lt;500,"Low")))</f>
        <v>Low</v>
      </c>
      <c r="N91" s="7" t="str">
        <f>TEXT(Table1[[#This Row],[Order_Date]],"YYY")</f>
        <v>2023</v>
      </c>
    </row>
    <row r="92" spans="1:14" x14ac:dyDescent="0.3">
      <c r="A92" s="4">
        <v>45174</v>
      </c>
      <c r="B92" s="5" t="s">
        <v>16</v>
      </c>
      <c r="C92" s="5" t="s">
        <v>5</v>
      </c>
      <c r="D92" s="23">
        <v>641.4</v>
      </c>
      <c r="E92" s="23">
        <v>276.86</v>
      </c>
      <c r="F92" s="23">
        <v>364.54</v>
      </c>
      <c r="G92" s="5" t="s">
        <v>2</v>
      </c>
      <c r="H92" s="5" t="s">
        <v>7</v>
      </c>
      <c r="I92" s="5" t="s">
        <v>22</v>
      </c>
      <c r="J92" s="6">
        <f>Table1[[#This Row],[Profit]]/Table1[[#This Row],[Sales]]</f>
        <v>0.56835048331774252</v>
      </c>
      <c r="K92" s="5" t="str">
        <f t="shared" si="1"/>
        <v>Low</v>
      </c>
      <c r="L92" s="5" t="str">
        <f>TEXT(Table1[[#This Row],[Order_Date]],"MMM")</f>
        <v>Sep</v>
      </c>
      <c r="M92" s="5" t="str">
        <f>IF(Table1[[#This Row],[Profit]]&gt;=1000,"Excellent",IF(Table1[[#This Row],[Profit]]&gt;=500,"Good", IF(Table1[[#This Row],[Profit]]&lt;500,"Low")))</f>
        <v>Low</v>
      </c>
      <c r="N92" s="7" t="str">
        <f>TEXT(Table1[[#This Row],[Order_Date]],"YYY")</f>
        <v>2023</v>
      </c>
    </row>
    <row r="93" spans="1:14" x14ac:dyDescent="0.3">
      <c r="A93" s="4">
        <v>45174</v>
      </c>
      <c r="B93" s="5" t="s">
        <v>8</v>
      </c>
      <c r="C93" s="5" t="s">
        <v>1</v>
      </c>
      <c r="D93" s="23">
        <v>126.64</v>
      </c>
      <c r="E93" s="23">
        <v>86.49</v>
      </c>
      <c r="F93" s="23">
        <v>40.15</v>
      </c>
      <c r="G93" s="5" t="s">
        <v>32</v>
      </c>
      <c r="H93" s="5" t="s">
        <v>37</v>
      </c>
      <c r="I93" s="5" t="s">
        <v>17</v>
      </c>
      <c r="J93" s="6">
        <f>Table1[[#This Row],[Profit]]/Table1[[#This Row],[Sales]]</f>
        <v>0.31704042956411876</v>
      </c>
      <c r="K93" s="5" t="str">
        <f t="shared" si="1"/>
        <v>Low</v>
      </c>
      <c r="L93" s="5" t="str">
        <f>TEXT(Table1[[#This Row],[Order_Date]],"MMM")</f>
        <v>Sep</v>
      </c>
      <c r="M93" s="5" t="str">
        <f>IF(Table1[[#This Row],[Profit]]&gt;=1000,"Excellent",IF(Table1[[#This Row],[Profit]]&gt;=500,"Good", IF(Table1[[#This Row],[Profit]]&lt;500,"Low")))</f>
        <v>Low</v>
      </c>
      <c r="N93" s="7" t="str">
        <f>TEXT(Table1[[#This Row],[Order_Date]],"YYY")</f>
        <v>2023</v>
      </c>
    </row>
    <row r="94" spans="1:14" x14ac:dyDescent="0.3">
      <c r="A94" s="4">
        <v>45174</v>
      </c>
      <c r="B94" s="5" t="s">
        <v>18</v>
      </c>
      <c r="C94" s="5" t="s">
        <v>1</v>
      </c>
      <c r="D94" s="23">
        <v>223.28</v>
      </c>
      <c r="E94" s="23">
        <v>151.32</v>
      </c>
      <c r="F94" s="23">
        <v>71.959999999999994</v>
      </c>
      <c r="G94" s="5" t="s">
        <v>2</v>
      </c>
      <c r="H94" s="5" t="s">
        <v>3</v>
      </c>
      <c r="I94" s="5" t="s">
        <v>11</v>
      </c>
      <c r="J94" s="6">
        <f>Table1[[#This Row],[Profit]]/Table1[[#This Row],[Sales]]</f>
        <v>0.32228591902543891</v>
      </c>
      <c r="K94" s="5" t="str">
        <f t="shared" si="1"/>
        <v>Low</v>
      </c>
      <c r="L94" s="5" t="str">
        <f>TEXT(Table1[[#This Row],[Order_Date]],"MMM")</f>
        <v>Sep</v>
      </c>
      <c r="M94" s="5" t="str">
        <f>IF(Table1[[#This Row],[Profit]]&gt;=1000,"Excellent",IF(Table1[[#This Row],[Profit]]&gt;=500,"Good", IF(Table1[[#This Row],[Profit]]&lt;500,"Low")))</f>
        <v>Low</v>
      </c>
      <c r="N94" s="7" t="str">
        <f>TEXT(Table1[[#This Row],[Order_Date]],"YYY")</f>
        <v>2023</v>
      </c>
    </row>
    <row r="95" spans="1:14" x14ac:dyDescent="0.3">
      <c r="A95" s="4">
        <v>45175</v>
      </c>
      <c r="B95" s="5" t="s">
        <v>8</v>
      </c>
      <c r="C95" s="5" t="s">
        <v>14</v>
      </c>
      <c r="D95" s="23">
        <v>62.9</v>
      </c>
      <c r="E95" s="23">
        <v>27.07</v>
      </c>
      <c r="F95" s="23">
        <v>35.83</v>
      </c>
      <c r="G95" s="5" t="s">
        <v>9</v>
      </c>
      <c r="H95" s="5" t="s">
        <v>12</v>
      </c>
      <c r="I95" s="5" t="s">
        <v>27</v>
      </c>
      <c r="J95" s="6">
        <f>Table1[[#This Row],[Profit]]/Table1[[#This Row],[Sales]]</f>
        <v>0.56963434022257553</v>
      </c>
      <c r="K95" s="5" t="str">
        <f t="shared" si="1"/>
        <v>Low</v>
      </c>
      <c r="L95" s="5" t="str">
        <f>TEXT(Table1[[#This Row],[Order_Date]],"MMM")</f>
        <v>Sep</v>
      </c>
      <c r="M95" s="5" t="str">
        <f>IF(Table1[[#This Row],[Profit]]&gt;=1000,"Excellent",IF(Table1[[#This Row],[Profit]]&gt;=500,"Good", IF(Table1[[#This Row],[Profit]]&lt;500,"Low")))</f>
        <v>Low</v>
      </c>
      <c r="N95" s="7" t="str">
        <f>TEXT(Table1[[#This Row],[Order_Date]],"YYY")</f>
        <v>2023</v>
      </c>
    </row>
    <row r="96" spans="1:14" x14ac:dyDescent="0.3">
      <c r="A96" s="4">
        <v>45175</v>
      </c>
      <c r="B96" s="5" t="s">
        <v>8</v>
      </c>
      <c r="C96" s="5" t="s">
        <v>31</v>
      </c>
      <c r="D96" s="23">
        <v>244.62</v>
      </c>
      <c r="E96" s="23">
        <v>76.84</v>
      </c>
      <c r="F96" s="23">
        <v>167.78</v>
      </c>
      <c r="G96" s="5" t="s">
        <v>9</v>
      </c>
      <c r="H96" s="5" t="s">
        <v>15</v>
      </c>
      <c r="I96" s="5" t="s">
        <v>22</v>
      </c>
      <c r="J96" s="6">
        <f>Table1[[#This Row],[Profit]]/Table1[[#This Row],[Sales]]</f>
        <v>0.68588014062627745</v>
      </c>
      <c r="K96" s="5" t="str">
        <f t="shared" si="1"/>
        <v>Low</v>
      </c>
      <c r="L96" s="5" t="str">
        <f>TEXT(Table1[[#This Row],[Order_Date]],"MMM")</f>
        <v>Sep</v>
      </c>
      <c r="M96" s="5" t="str">
        <f>IF(Table1[[#This Row],[Profit]]&gt;=1000,"Excellent",IF(Table1[[#This Row],[Profit]]&gt;=500,"Good", IF(Table1[[#This Row],[Profit]]&lt;500,"Low")))</f>
        <v>Low</v>
      </c>
      <c r="N96" s="7" t="str">
        <f>TEXT(Table1[[#This Row],[Order_Date]],"YYY")</f>
        <v>2023</v>
      </c>
    </row>
    <row r="97" spans="1:14" x14ac:dyDescent="0.3">
      <c r="A97" s="4">
        <v>45177</v>
      </c>
      <c r="B97" s="5" t="s">
        <v>8</v>
      </c>
      <c r="C97" s="5" t="s">
        <v>14</v>
      </c>
      <c r="D97" s="23">
        <v>341.97</v>
      </c>
      <c r="E97" s="23">
        <v>151.63999999999999</v>
      </c>
      <c r="F97" s="23">
        <v>190.33</v>
      </c>
      <c r="G97" s="5" t="s">
        <v>32</v>
      </c>
      <c r="H97" s="5" t="s">
        <v>29</v>
      </c>
      <c r="I97" s="5" t="s">
        <v>11</v>
      </c>
      <c r="J97" s="6">
        <f>Table1[[#This Row],[Profit]]/Table1[[#This Row],[Sales]]</f>
        <v>0.55656928970377517</v>
      </c>
      <c r="K97" s="5" t="str">
        <f t="shared" si="1"/>
        <v>Low</v>
      </c>
      <c r="L97" s="5" t="str">
        <f>TEXT(Table1[[#This Row],[Order_Date]],"MMM")</f>
        <v>Sep</v>
      </c>
      <c r="M97" s="5" t="str">
        <f>IF(Table1[[#This Row],[Profit]]&gt;=1000,"Excellent",IF(Table1[[#This Row],[Profit]]&gt;=500,"Good", IF(Table1[[#This Row],[Profit]]&lt;500,"Low")))</f>
        <v>Low</v>
      </c>
      <c r="N97" s="7" t="str">
        <f>TEXT(Table1[[#This Row],[Order_Date]],"YYY")</f>
        <v>2023</v>
      </c>
    </row>
    <row r="98" spans="1:14" x14ac:dyDescent="0.3">
      <c r="A98" s="4">
        <v>45177</v>
      </c>
      <c r="B98" s="5" t="s">
        <v>18</v>
      </c>
      <c r="C98" s="5" t="s">
        <v>23</v>
      </c>
      <c r="D98" s="23">
        <v>423.42</v>
      </c>
      <c r="E98" s="23">
        <v>142.02000000000001</v>
      </c>
      <c r="F98" s="23">
        <v>281.39999999999998</v>
      </c>
      <c r="G98" s="5" t="s">
        <v>9</v>
      </c>
      <c r="H98" s="5" t="s">
        <v>30</v>
      </c>
      <c r="I98" s="5" t="s">
        <v>17</v>
      </c>
      <c r="J98" s="6">
        <f>Table1[[#This Row],[Profit]]/Table1[[#This Row],[Sales]]</f>
        <v>0.66458835199093091</v>
      </c>
      <c r="K98" s="5" t="str">
        <f t="shared" si="1"/>
        <v>Low</v>
      </c>
      <c r="L98" s="5" t="str">
        <f>TEXT(Table1[[#This Row],[Order_Date]],"MMM")</f>
        <v>Sep</v>
      </c>
      <c r="M98" s="5" t="str">
        <f>IF(Table1[[#This Row],[Profit]]&gt;=1000,"Excellent",IF(Table1[[#This Row],[Profit]]&gt;=500,"Good", IF(Table1[[#This Row],[Profit]]&lt;500,"Low")))</f>
        <v>Low</v>
      </c>
      <c r="N98" s="7" t="str">
        <f>TEXT(Table1[[#This Row],[Order_Date]],"YYY")</f>
        <v>2023</v>
      </c>
    </row>
    <row r="99" spans="1:14" x14ac:dyDescent="0.3">
      <c r="A99" s="4">
        <v>45177</v>
      </c>
      <c r="B99" s="5" t="s">
        <v>18</v>
      </c>
      <c r="C99" s="5" t="s">
        <v>31</v>
      </c>
      <c r="D99" s="23">
        <v>164.71</v>
      </c>
      <c r="E99" s="23">
        <v>61.39</v>
      </c>
      <c r="F99" s="23">
        <v>103.32</v>
      </c>
      <c r="G99" s="5" t="s">
        <v>2</v>
      </c>
      <c r="H99" s="5" t="s">
        <v>36</v>
      </c>
      <c r="I99" s="5" t="s">
        <v>4</v>
      </c>
      <c r="J99" s="6">
        <f>Table1[[#This Row],[Profit]]/Table1[[#This Row],[Sales]]</f>
        <v>0.62728431789205263</v>
      </c>
      <c r="K99" s="5" t="str">
        <f t="shared" si="1"/>
        <v>Low</v>
      </c>
      <c r="L99" s="5" t="str">
        <f>TEXT(Table1[[#This Row],[Order_Date]],"MMM")</f>
        <v>Sep</v>
      </c>
      <c r="M99" s="5" t="str">
        <f>IF(Table1[[#This Row],[Profit]]&gt;=1000,"Excellent",IF(Table1[[#This Row],[Profit]]&gt;=500,"Good", IF(Table1[[#This Row],[Profit]]&lt;500,"Low")))</f>
        <v>Low</v>
      </c>
      <c r="N99" s="7" t="str">
        <f>TEXT(Table1[[#This Row],[Order_Date]],"YYY")</f>
        <v>2023</v>
      </c>
    </row>
    <row r="100" spans="1:14" x14ac:dyDescent="0.3">
      <c r="A100" s="4">
        <v>45177</v>
      </c>
      <c r="B100" s="5" t="s">
        <v>0</v>
      </c>
      <c r="C100" s="5" t="s">
        <v>14</v>
      </c>
      <c r="D100" s="23">
        <v>286.83999999999997</v>
      </c>
      <c r="E100" s="23">
        <v>129.49</v>
      </c>
      <c r="F100" s="23">
        <v>157.35</v>
      </c>
      <c r="G100" s="5" t="s">
        <v>6</v>
      </c>
      <c r="H100" s="5" t="s">
        <v>33</v>
      </c>
      <c r="I100" s="5" t="s">
        <v>17</v>
      </c>
      <c r="J100" s="6">
        <f>Table1[[#This Row],[Profit]]/Table1[[#This Row],[Sales]]</f>
        <v>0.54856365918281969</v>
      </c>
      <c r="K100" s="5" t="str">
        <f t="shared" si="1"/>
        <v>Low</v>
      </c>
      <c r="L100" s="5" t="str">
        <f>TEXT(Table1[[#This Row],[Order_Date]],"MMM")</f>
        <v>Sep</v>
      </c>
      <c r="M100" s="5" t="str">
        <f>IF(Table1[[#This Row],[Profit]]&gt;=1000,"Excellent",IF(Table1[[#This Row],[Profit]]&gt;=500,"Good", IF(Table1[[#This Row],[Profit]]&lt;500,"Low")))</f>
        <v>Low</v>
      </c>
      <c r="N100" s="7" t="str">
        <f>TEXT(Table1[[#This Row],[Order_Date]],"YYY")</f>
        <v>2023</v>
      </c>
    </row>
    <row r="101" spans="1:14" x14ac:dyDescent="0.3">
      <c r="A101" s="4">
        <v>45178</v>
      </c>
      <c r="B101" s="5" t="s">
        <v>13</v>
      </c>
      <c r="C101" s="5" t="s">
        <v>26</v>
      </c>
      <c r="D101" s="23">
        <v>689.86</v>
      </c>
      <c r="E101" s="23">
        <v>272.01</v>
      </c>
      <c r="F101" s="23">
        <v>417.85</v>
      </c>
      <c r="G101" s="5" t="s">
        <v>2</v>
      </c>
      <c r="H101" s="5" t="s">
        <v>34</v>
      </c>
      <c r="I101" s="5" t="s">
        <v>4</v>
      </c>
      <c r="J101" s="6">
        <f>Table1[[#This Row],[Profit]]/Table1[[#This Row],[Sales]]</f>
        <v>0.60570260632592121</v>
      </c>
      <c r="K101" s="5" t="str">
        <f t="shared" si="1"/>
        <v>Low</v>
      </c>
      <c r="L101" s="5" t="str">
        <f>TEXT(Table1[[#This Row],[Order_Date]],"MMM")</f>
        <v>Sep</v>
      </c>
      <c r="M101" s="5" t="str">
        <f>IF(Table1[[#This Row],[Profit]]&gt;=1000,"Excellent",IF(Table1[[#This Row],[Profit]]&gt;=500,"Good", IF(Table1[[#This Row],[Profit]]&lt;500,"Low")))</f>
        <v>Low</v>
      </c>
      <c r="N101" s="7" t="str">
        <f>TEXT(Table1[[#This Row],[Order_Date]],"YYY")</f>
        <v>2023</v>
      </c>
    </row>
    <row r="102" spans="1:14" x14ac:dyDescent="0.3">
      <c r="A102" s="4">
        <v>45178</v>
      </c>
      <c r="B102" s="5" t="s">
        <v>13</v>
      </c>
      <c r="C102" s="5" t="s">
        <v>14</v>
      </c>
      <c r="D102" s="23">
        <v>88.39</v>
      </c>
      <c r="E102" s="23">
        <v>45.62</v>
      </c>
      <c r="F102" s="23">
        <v>42.77</v>
      </c>
      <c r="G102" s="5" t="s">
        <v>2</v>
      </c>
      <c r="H102" s="5" t="s">
        <v>15</v>
      </c>
      <c r="I102" s="5" t="s">
        <v>17</v>
      </c>
      <c r="J102" s="6">
        <f>Table1[[#This Row],[Profit]]/Table1[[#This Row],[Sales]]</f>
        <v>0.48387826677225931</v>
      </c>
      <c r="K102" s="5" t="str">
        <f t="shared" si="1"/>
        <v>Low</v>
      </c>
      <c r="L102" s="5" t="str">
        <f>TEXT(Table1[[#This Row],[Order_Date]],"MMM")</f>
        <v>Sep</v>
      </c>
      <c r="M102" s="5" t="str">
        <f>IF(Table1[[#This Row],[Profit]]&gt;=1000,"Excellent",IF(Table1[[#This Row],[Profit]]&gt;=500,"Good", IF(Table1[[#This Row],[Profit]]&lt;500,"Low")))</f>
        <v>Low</v>
      </c>
      <c r="N102" s="7" t="str">
        <f>TEXT(Table1[[#This Row],[Order_Date]],"YYY")</f>
        <v>2023</v>
      </c>
    </row>
    <row r="103" spans="1:14" x14ac:dyDescent="0.3">
      <c r="A103" s="4">
        <v>45178</v>
      </c>
      <c r="B103" s="5" t="s">
        <v>13</v>
      </c>
      <c r="C103" s="5" t="s">
        <v>26</v>
      </c>
      <c r="D103" s="23">
        <v>1035.72</v>
      </c>
      <c r="E103" s="23">
        <v>268.95</v>
      </c>
      <c r="F103" s="23">
        <v>766.77</v>
      </c>
      <c r="G103" s="5" t="s">
        <v>32</v>
      </c>
      <c r="H103" s="5" t="s">
        <v>12</v>
      </c>
      <c r="I103" s="5" t="s">
        <v>17</v>
      </c>
      <c r="J103" s="6">
        <f>Table1[[#This Row],[Profit]]/Table1[[#This Row],[Sales]]</f>
        <v>0.74032557061754134</v>
      </c>
      <c r="K103" s="5" t="str">
        <f t="shared" si="1"/>
        <v>Low</v>
      </c>
      <c r="L103" s="5" t="str">
        <f>TEXT(Table1[[#This Row],[Order_Date]],"MMM")</f>
        <v>Sep</v>
      </c>
      <c r="M103" s="5" t="str">
        <f>IF(Table1[[#This Row],[Profit]]&gt;=1000,"Excellent",IF(Table1[[#This Row],[Profit]]&gt;=500,"Good", IF(Table1[[#This Row],[Profit]]&lt;500,"Low")))</f>
        <v>Good</v>
      </c>
      <c r="N103" s="7" t="str">
        <f>TEXT(Table1[[#This Row],[Order_Date]],"YYY")</f>
        <v>2023</v>
      </c>
    </row>
    <row r="104" spans="1:14" x14ac:dyDescent="0.3">
      <c r="A104" s="4">
        <v>45178</v>
      </c>
      <c r="B104" s="5" t="s">
        <v>13</v>
      </c>
      <c r="C104" s="5" t="s">
        <v>14</v>
      </c>
      <c r="D104" s="23">
        <v>52.98</v>
      </c>
      <c r="E104" s="23">
        <v>17.52</v>
      </c>
      <c r="F104" s="23">
        <v>35.46</v>
      </c>
      <c r="G104" s="5" t="s">
        <v>6</v>
      </c>
      <c r="H104" s="5" t="s">
        <v>29</v>
      </c>
      <c r="I104" s="5" t="s">
        <v>27</v>
      </c>
      <c r="J104" s="6">
        <f>Table1[[#This Row],[Profit]]/Table1[[#This Row],[Sales]]</f>
        <v>0.66930917327293327</v>
      </c>
      <c r="K104" s="5" t="str">
        <f t="shared" si="1"/>
        <v>Low</v>
      </c>
      <c r="L104" s="5" t="str">
        <f>TEXT(Table1[[#This Row],[Order_Date]],"MMM")</f>
        <v>Sep</v>
      </c>
      <c r="M104" s="5" t="str">
        <f>IF(Table1[[#This Row],[Profit]]&gt;=1000,"Excellent",IF(Table1[[#This Row],[Profit]]&gt;=500,"Good", IF(Table1[[#This Row],[Profit]]&lt;500,"Low")))</f>
        <v>Low</v>
      </c>
      <c r="N104" s="7" t="str">
        <f>TEXT(Table1[[#This Row],[Order_Date]],"YYY")</f>
        <v>2023</v>
      </c>
    </row>
    <row r="105" spans="1:14" x14ac:dyDescent="0.3">
      <c r="A105" s="4">
        <v>45178</v>
      </c>
      <c r="B105" s="5" t="s">
        <v>16</v>
      </c>
      <c r="C105" s="5" t="s">
        <v>23</v>
      </c>
      <c r="D105" s="23">
        <v>360.85</v>
      </c>
      <c r="E105" s="23">
        <v>106.08</v>
      </c>
      <c r="F105" s="23">
        <v>254.77</v>
      </c>
      <c r="G105" s="5" t="s">
        <v>6</v>
      </c>
      <c r="H105" s="5" t="s">
        <v>36</v>
      </c>
      <c r="I105" s="5" t="s">
        <v>17</v>
      </c>
      <c r="J105" s="6">
        <f>Table1[[#This Row],[Profit]]/Table1[[#This Row],[Sales]]</f>
        <v>0.70602743522239153</v>
      </c>
      <c r="K105" s="5" t="str">
        <f t="shared" si="1"/>
        <v>Low</v>
      </c>
      <c r="L105" s="5" t="str">
        <f>TEXT(Table1[[#This Row],[Order_Date]],"MMM")</f>
        <v>Sep</v>
      </c>
      <c r="M105" s="5" t="str">
        <f>IF(Table1[[#This Row],[Profit]]&gt;=1000,"Excellent",IF(Table1[[#This Row],[Profit]]&gt;=500,"Good", IF(Table1[[#This Row],[Profit]]&lt;500,"Low")))</f>
        <v>Low</v>
      </c>
      <c r="N105" s="7" t="str">
        <f>TEXT(Table1[[#This Row],[Order_Date]],"YYY")</f>
        <v>2023</v>
      </c>
    </row>
    <row r="106" spans="1:14" x14ac:dyDescent="0.3">
      <c r="A106" s="4">
        <v>45179</v>
      </c>
      <c r="B106" s="5" t="s">
        <v>16</v>
      </c>
      <c r="C106" s="5" t="s">
        <v>23</v>
      </c>
      <c r="D106" s="23">
        <v>181.01</v>
      </c>
      <c r="E106" s="23">
        <v>84.12</v>
      </c>
      <c r="F106" s="23">
        <v>96.89</v>
      </c>
      <c r="G106" s="5" t="s">
        <v>2</v>
      </c>
      <c r="H106" s="5" t="s">
        <v>35</v>
      </c>
      <c r="I106" s="5" t="s">
        <v>17</v>
      </c>
      <c r="J106" s="6">
        <f>Table1[[#This Row],[Profit]]/Table1[[#This Row],[Sales]]</f>
        <v>0.53527429423788742</v>
      </c>
      <c r="K106" s="5" t="str">
        <f t="shared" si="1"/>
        <v>Low</v>
      </c>
      <c r="L106" s="5" t="str">
        <f>TEXT(Table1[[#This Row],[Order_Date]],"MMM")</f>
        <v>Sep</v>
      </c>
      <c r="M106" s="5" t="str">
        <f>IF(Table1[[#This Row],[Profit]]&gt;=1000,"Excellent",IF(Table1[[#This Row],[Profit]]&gt;=500,"Good", IF(Table1[[#This Row],[Profit]]&lt;500,"Low")))</f>
        <v>Low</v>
      </c>
      <c r="N106" s="7" t="str">
        <f>TEXT(Table1[[#This Row],[Order_Date]],"YYY")</f>
        <v>2023</v>
      </c>
    </row>
    <row r="107" spans="1:14" x14ac:dyDescent="0.3">
      <c r="A107" s="4">
        <v>45180</v>
      </c>
      <c r="B107" s="5" t="s">
        <v>13</v>
      </c>
      <c r="C107" s="5" t="s">
        <v>23</v>
      </c>
      <c r="D107" s="23">
        <v>423.76</v>
      </c>
      <c r="E107" s="23">
        <v>154.44</v>
      </c>
      <c r="F107" s="23">
        <v>269.32</v>
      </c>
      <c r="G107" s="5" t="s">
        <v>20</v>
      </c>
      <c r="H107" s="5" t="s">
        <v>35</v>
      </c>
      <c r="I107" s="5" t="s">
        <v>22</v>
      </c>
      <c r="J107" s="6">
        <f>Table1[[#This Row],[Profit]]/Table1[[#This Row],[Sales]]</f>
        <v>0.63554842363602038</v>
      </c>
      <c r="K107" s="5" t="str">
        <f t="shared" si="1"/>
        <v>Low</v>
      </c>
      <c r="L107" s="5" t="str">
        <f>TEXT(Table1[[#This Row],[Order_Date]],"MMM")</f>
        <v>Sep</v>
      </c>
      <c r="M107" s="5" t="str">
        <f>IF(Table1[[#This Row],[Profit]]&gt;=1000,"Excellent",IF(Table1[[#This Row],[Profit]]&gt;=500,"Good", IF(Table1[[#This Row],[Profit]]&lt;500,"Low")))</f>
        <v>Low</v>
      </c>
      <c r="N107" s="7" t="str">
        <f>TEXT(Table1[[#This Row],[Order_Date]],"YYY")</f>
        <v>2023</v>
      </c>
    </row>
    <row r="108" spans="1:14" x14ac:dyDescent="0.3">
      <c r="A108" s="4">
        <v>45180</v>
      </c>
      <c r="B108" s="5" t="s">
        <v>18</v>
      </c>
      <c r="C108" s="5" t="s">
        <v>23</v>
      </c>
      <c r="D108" s="23">
        <v>872.87</v>
      </c>
      <c r="E108" s="23">
        <v>258.72000000000003</v>
      </c>
      <c r="F108" s="23">
        <v>614.15</v>
      </c>
      <c r="G108" s="5" t="s">
        <v>2</v>
      </c>
      <c r="H108" s="5" t="s">
        <v>34</v>
      </c>
      <c r="I108" s="5" t="s">
        <v>11</v>
      </c>
      <c r="J108" s="6">
        <f>Table1[[#This Row],[Profit]]/Table1[[#This Row],[Sales]]</f>
        <v>0.70359847399956466</v>
      </c>
      <c r="K108" s="5" t="str">
        <f t="shared" si="1"/>
        <v>Low</v>
      </c>
      <c r="L108" s="5" t="str">
        <f>TEXT(Table1[[#This Row],[Order_Date]],"MMM")</f>
        <v>Sep</v>
      </c>
      <c r="M108" s="5" t="str">
        <f>IF(Table1[[#This Row],[Profit]]&gt;=1000,"Excellent",IF(Table1[[#This Row],[Profit]]&gt;=500,"Good", IF(Table1[[#This Row],[Profit]]&lt;500,"Low")))</f>
        <v>Good</v>
      </c>
      <c r="N108" s="7" t="str">
        <f>TEXT(Table1[[#This Row],[Order_Date]],"YYY")</f>
        <v>2023</v>
      </c>
    </row>
    <row r="109" spans="1:14" x14ac:dyDescent="0.3">
      <c r="A109" s="4">
        <v>45180</v>
      </c>
      <c r="B109" s="5" t="s">
        <v>8</v>
      </c>
      <c r="C109" s="5" t="s">
        <v>26</v>
      </c>
      <c r="D109" s="23">
        <v>311.04000000000002</v>
      </c>
      <c r="E109" s="23">
        <v>116.68</v>
      </c>
      <c r="F109" s="23">
        <v>194.36</v>
      </c>
      <c r="G109" s="5" t="s">
        <v>20</v>
      </c>
      <c r="H109" s="5" t="s">
        <v>35</v>
      </c>
      <c r="I109" s="5" t="s">
        <v>11</v>
      </c>
      <c r="J109" s="6">
        <f>Table1[[#This Row],[Profit]]/Table1[[#This Row],[Sales]]</f>
        <v>0.62487139917695478</v>
      </c>
      <c r="K109" s="5" t="str">
        <f t="shared" si="1"/>
        <v>Low</v>
      </c>
      <c r="L109" s="5" t="str">
        <f>TEXT(Table1[[#This Row],[Order_Date]],"MMM")</f>
        <v>Sep</v>
      </c>
      <c r="M109" s="5" t="str">
        <f>IF(Table1[[#This Row],[Profit]]&gt;=1000,"Excellent",IF(Table1[[#This Row],[Profit]]&gt;=500,"Good", IF(Table1[[#This Row],[Profit]]&lt;500,"Low")))</f>
        <v>Low</v>
      </c>
      <c r="N109" s="7" t="str">
        <f>TEXT(Table1[[#This Row],[Order_Date]],"YYY")</f>
        <v>2023</v>
      </c>
    </row>
    <row r="110" spans="1:14" x14ac:dyDescent="0.3">
      <c r="A110" s="4">
        <v>45181</v>
      </c>
      <c r="B110" s="5" t="s">
        <v>16</v>
      </c>
      <c r="C110" s="5" t="s">
        <v>19</v>
      </c>
      <c r="D110" s="23">
        <v>13.59</v>
      </c>
      <c r="E110" s="23">
        <v>5.74</v>
      </c>
      <c r="F110" s="23">
        <v>7.85</v>
      </c>
      <c r="G110" s="5" t="s">
        <v>6</v>
      </c>
      <c r="H110" s="5" t="s">
        <v>24</v>
      </c>
      <c r="I110" s="5" t="s">
        <v>25</v>
      </c>
      <c r="J110" s="6">
        <f>Table1[[#This Row],[Profit]]/Table1[[#This Row],[Sales]]</f>
        <v>0.57763061074319355</v>
      </c>
      <c r="K110" s="5" t="str">
        <f t="shared" si="1"/>
        <v>Low</v>
      </c>
      <c r="L110" s="5" t="str">
        <f>TEXT(Table1[[#This Row],[Order_Date]],"MMM")</f>
        <v>Sep</v>
      </c>
      <c r="M110" s="5" t="str">
        <f>IF(Table1[[#This Row],[Profit]]&gt;=1000,"Excellent",IF(Table1[[#This Row],[Profit]]&gt;=500,"Good", IF(Table1[[#This Row],[Profit]]&lt;500,"Low")))</f>
        <v>Low</v>
      </c>
      <c r="N110" s="7" t="str">
        <f>TEXT(Table1[[#This Row],[Order_Date]],"YYY")</f>
        <v>2023</v>
      </c>
    </row>
    <row r="111" spans="1:14" x14ac:dyDescent="0.3">
      <c r="A111" s="4">
        <v>45182</v>
      </c>
      <c r="B111" s="5" t="s">
        <v>16</v>
      </c>
      <c r="C111" s="5" t="s">
        <v>19</v>
      </c>
      <c r="D111" s="23">
        <v>79.790000000000006</v>
      </c>
      <c r="E111" s="23">
        <v>31.65</v>
      </c>
      <c r="F111" s="23">
        <v>48.14</v>
      </c>
      <c r="G111" s="5" t="s">
        <v>9</v>
      </c>
      <c r="H111" s="5" t="s">
        <v>7</v>
      </c>
      <c r="I111" s="5" t="s">
        <v>25</v>
      </c>
      <c r="J111" s="6">
        <f>Table1[[#This Row],[Profit]]/Table1[[#This Row],[Sales]]</f>
        <v>0.60333375109662857</v>
      </c>
      <c r="K111" s="5" t="str">
        <f t="shared" si="1"/>
        <v>Low</v>
      </c>
      <c r="L111" s="5" t="str">
        <f>TEXT(Table1[[#This Row],[Order_Date]],"MMM")</f>
        <v>Sep</v>
      </c>
      <c r="M111" s="5" t="str">
        <f>IF(Table1[[#This Row],[Profit]]&gt;=1000,"Excellent",IF(Table1[[#This Row],[Profit]]&gt;=500,"Good", IF(Table1[[#This Row],[Profit]]&lt;500,"Low")))</f>
        <v>Low</v>
      </c>
      <c r="N111" s="7" t="str">
        <f>TEXT(Table1[[#This Row],[Order_Date]],"YYY")</f>
        <v>2023</v>
      </c>
    </row>
    <row r="112" spans="1:14" x14ac:dyDescent="0.3">
      <c r="A112" s="4">
        <v>45182</v>
      </c>
      <c r="B112" s="5" t="s">
        <v>0</v>
      </c>
      <c r="C112" s="5" t="s">
        <v>14</v>
      </c>
      <c r="D112" s="23">
        <v>299.42</v>
      </c>
      <c r="E112" s="23">
        <v>157.65</v>
      </c>
      <c r="F112" s="23">
        <v>141.77000000000001</v>
      </c>
      <c r="G112" s="5" t="s">
        <v>9</v>
      </c>
      <c r="H112" s="5" t="s">
        <v>29</v>
      </c>
      <c r="I112" s="5" t="s">
        <v>17</v>
      </c>
      <c r="J112" s="6">
        <f>Table1[[#This Row],[Profit]]/Table1[[#This Row],[Sales]]</f>
        <v>0.4734820653262975</v>
      </c>
      <c r="K112" s="5" t="str">
        <f t="shared" si="1"/>
        <v>Low</v>
      </c>
      <c r="L112" s="5" t="str">
        <f>TEXT(Table1[[#This Row],[Order_Date]],"MMM")</f>
        <v>Sep</v>
      </c>
      <c r="M112" s="5" t="str">
        <f>IF(Table1[[#This Row],[Profit]]&gt;=1000,"Excellent",IF(Table1[[#This Row],[Profit]]&gt;=500,"Good", IF(Table1[[#This Row],[Profit]]&lt;500,"Low")))</f>
        <v>Low</v>
      </c>
      <c r="N112" s="7" t="str">
        <f>TEXT(Table1[[#This Row],[Order_Date]],"YYY")</f>
        <v>2023</v>
      </c>
    </row>
    <row r="113" spans="1:14" x14ac:dyDescent="0.3">
      <c r="A113" s="4">
        <v>45182</v>
      </c>
      <c r="B113" s="5" t="s">
        <v>13</v>
      </c>
      <c r="C113" s="5" t="s">
        <v>1</v>
      </c>
      <c r="D113" s="23">
        <v>744.17</v>
      </c>
      <c r="E113" s="23">
        <v>512.75</v>
      </c>
      <c r="F113" s="23">
        <v>231.42</v>
      </c>
      <c r="G113" s="5" t="s">
        <v>6</v>
      </c>
      <c r="H113" s="5" t="s">
        <v>12</v>
      </c>
      <c r="I113" s="5" t="s">
        <v>11</v>
      </c>
      <c r="J113" s="6">
        <f>Table1[[#This Row],[Profit]]/Table1[[#This Row],[Sales]]</f>
        <v>0.31097733044868781</v>
      </c>
      <c r="K113" s="5" t="str">
        <f t="shared" si="1"/>
        <v>Low</v>
      </c>
      <c r="L113" s="5" t="str">
        <f>TEXT(Table1[[#This Row],[Order_Date]],"MMM")</f>
        <v>Sep</v>
      </c>
      <c r="M113" s="5" t="str">
        <f>IF(Table1[[#This Row],[Profit]]&gt;=1000,"Excellent",IF(Table1[[#This Row],[Profit]]&gt;=500,"Good", IF(Table1[[#This Row],[Profit]]&lt;500,"Low")))</f>
        <v>Low</v>
      </c>
      <c r="N113" s="7" t="str">
        <f>TEXT(Table1[[#This Row],[Order_Date]],"YYY")</f>
        <v>2023</v>
      </c>
    </row>
    <row r="114" spans="1:14" x14ac:dyDescent="0.3">
      <c r="A114" s="4">
        <v>45183</v>
      </c>
      <c r="B114" s="5" t="s">
        <v>16</v>
      </c>
      <c r="C114" s="5" t="s">
        <v>5</v>
      </c>
      <c r="D114" s="23">
        <v>1508.49</v>
      </c>
      <c r="E114" s="23">
        <v>665.7</v>
      </c>
      <c r="F114" s="23">
        <v>842.79</v>
      </c>
      <c r="G114" s="5" t="s">
        <v>20</v>
      </c>
      <c r="H114" s="5" t="s">
        <v>15</v>
      </c>
      <c r="I114" s="5" t="s">
        <v>17</v>
      </c>
      <c r="J114" s="6">
        <f>Table1[[#This Row],[Profit]]/Table1[[#This Row],[Sales]]</f>
        <v>0.55869777061830039</v>
      </c>
      <c r="K114" s="5" t="str">
        <f t="shared" si="1"/>
        <v>Medium</v>
      </c>
      <c r="L114" s="5" t="str">
        <f>TEXT(Table1[[#This Row],[Order_Date]],"MMM")</f>
        <v>Sep</v>
      </c>
      <c r="M114" s="5" t="str">
        <f>IF(Table1[[#This Row],[Profit]]&gt;=1000,"Excellent",IF(Table1[[#This Row],[Profit]]&gt;=500,"Good", IF(Table1[[#This Row],[Profit]]&lt;500,"Low")))</f>
        <v>Good</v>
      </c>
      <c r="N114" s="7" t="str">
        <f>TEXT(Table1[[#This Row],[Order_Date]],"YYY")</f>
        <v>2023</v>
      </c>
    </row>
    <row r="115" spans="1:14" x14ac:dyDescent="0.3">
      <c r="A115" s="4">
        <v>45183</v>
      </c>
      <c r="B115" s="5" t="s">
        <v>16</v>
      </c>
      <c r="C115" s="5" t="s">
        <v>14</v>
      </c>
      <c r="D115" s="23">
        <v>36.200000000000003</v>
      </c>
      <c r="E115" s="23">
        <v>11.7</v>
      </c>
      <c r="F115" s="23">
        <v>24.5</v>
      </c>
      <c r="G115" s="5" t="s">
        <v>9</v>
      </c>
      <c r="H115" s="5" t="s">
        <v>29</v>
      </c>
      <c r="I115" s="5" t="s">
        <v>11</v>
      </c>
      <c r="J115" s="6">
        <f>Table1[[#This Row],[Profit]]/Table1[[#This Row],[Sales]]</f>
        <v>0.67679558011049723</v>
      </c>
      <c r="K115" s="5" t="str">
        <f t="shared" si="1"/>
        <v>Low</v>
      </c>
      <c r="L115" s="5" t="str">
        <f>TEXT(Table1[[#This Row],[Order_Date]],"MMM")</f>
        <v>Sep</v>
      </c>
      <c r="M115" s="5" t="str">
        <f>IF(Table1[[#This Row],[Profit]]&gt;=1000,"Excellent",IF(Table1[[#This Row],[Profit]]&gt;=500,"Good", IF(Table1[[#This Row],[Profit]]&lt;500,"Low")))</f>
        <v>Low</v>
      </c>
      <c r="N115" s="7" t="str">
        <f>TEXT(Table1[[#This Row],[Order_Date]],"YYY")</f>
        <v>2023</v>
      </c>
    </row>
    <row r="116" spans="1:14" x14ac:dyDescent="0.3">
      <c r="A116" s="4">
        <v>45183</v>
      </c>
      <c r="B116" s="5" t="s">
        <v>13</v>
      </c>
      <c r="C116" s="5" t="s">
        <v>1</v>
      </c>
      <c r="D116" s="23">
        <v>201.69</v>
      </c>
      <c r="E116" s="23">
        <v>123.09</v>
      </c>
      <c r="F116" s="23">
        <v>78.599999999999994</v>
      </c>
      <c r="G116" s="5" t="s">
        <v>32</v>
      </c>
      <c r="H116" s="5" t="s">
        <v>37</v>
      </c>
      <c r="I116" s="5" t="s">
        <v>17</v>
      </c>
      <c r="J116" s="6">
        <f>Table1[[#This Row],[Profit]]/Table1[[#This Row],[Sales]]</f>
        <v>0.38970697605235755</v>
      </c>
      <c r="K116" s="5" t="str">
        <f t="shared" si="1"/>
        <v>Low</v>
      </c>
      <c r="L116" s="5" t="str">
        <f>TEXT(Table1[[#This Row],[Order_Date]],"MMM")</f>
        <v>Sep</v>
      </c>
      <c r="M116" s="5" t="str">
        <f>IF(Table1[[#This Row],[Profit]]&gt;=1000,"Excellent",IF(Table1[[#This Row],[Profit]]&gt;=500,"Good", IF(Table1[[#This Row],[Profit]]&lt;500,"Low")))</f>
        <v>Low</v>
      </c>
      <c r="N116" s="7" t="str">
        <f>TEXT(Table1[[#This Row],[Order_Date]],"YYY")</f>
        <v>2023</v>
      </c>
    </row>
    <row r="117" spans="1:14" x14ac:dyDescent="0.3">
      <c r="A117" s="4">
        <v>45184</v>
      </c>
      <c r="B117" s="5" t="s">
        <v>0</v>
      </c>
      <c r="C117" s="5" t="s">
        <v>14</v>
      </c>
      <c r="D117" s="23">
        <v>37.67</v>
      </c>
      <c r="E117" s="23">
        <v>17.170000000000002</v>
      </c>
      <c r="F117" s="23">
        <v>20.5</v>
      </c>
      <c r="G117" s="5" t="s">
        <v>20</v>
      </c>
      <c r="H117" s="5" t="s">
        <v>33</v>
      </c>
      <c r="I117" s="5" t="s">
        <v>4</v>
      </c>
      <c r="J117" s="6">
        <f>Table1[[#This Row],[Profit]]/Table1[[#This Row],[Sales]]</f>
        <v>0.54419962835147329</v>
      </c>
      <c r="K117" s="5" t="str">
        <f t="shared" si="1"/>
        <v>Low</v>
      </c>
      <c r="L117" s="5" t="str">
        <f>TEXT(Table1[[#This Row],[Order_Date]],"MMM")</f>
        <v>Sep</v>
      </c>
      <c r="M117" s="5" t="str">
        <f>IF(Table1[[#This Row],[Profit]]&gt;=1000,"Excellent",IF(Table1[[#This Row],[Profit]]&gt;=500,"Good", IF(Table1[[#This Row],[Profit]]&lt;500,"Low")))</f>
        <v>Low</v>
      </c>
      <c r="N117" s="7" t="str">
        <f>TEXT(Table1[[#This Row],[Order_Date]],"YYY")</f>
        <v>2023</v>
      </c>
    </row>
    <row r="118" spans="1:14" x14ac:dyDescent="0.3">
      <c r="A118" s="4">
        <v>45185</v>
      </c>
      <c r="B118" s="5" t="s">
        <v>8</v>
      </c>
      <c r="C118" s="5" t="s">
        <v>26</v>
      </c>
      <c r="D118" s="23">
        <v>681.46</v>
      </c>
      <c r="E118" s="23">
        <v>257.11</v>
      </c>
      <c r="F118" s="23">
        <v>424.35</v>
      </c>
      <c r="G118" s="5" t="s">
        <v>20</v>
      </c>
      <c r="H118" s="5" t="s">
        <v>37</v>
      </c>
      <c r="I118" s="5" t="s">
        <v>17</v>
      </c>
      <c r="J118" s="6">
        <f>Table1[[#This Row],[Profit]]/Table1[[#This Row],[Sales]]</f>
        <v>0.62270712881166901</v>
      </c>
      <c r="K118" s="5" t="str">
        <f t="shared" si="1"/>
        <v>Low</v>
      </c>
      <c r="L118" s="5" t="str">
        <f>TEXT(Table1[[#This Row],[Order_Date]],"MMM")</f>
        <v>Sep</v>
      </c>
      <c r="M118" s="5" t="str">
        <f>IF(Table1[[#This Row],[Profit]]&gt;=1000,"Excellent",IF(Table1[[#This Row],[Profit]]&gt;=500,"Good", IF(Table1[[#This Row],[Profit]]&lt;500,"Low")))</f>
        <v>Low</v>
      </c>
      <c r="N118" s="7" t="str">
        <f>TEXT(Table1[[#This Row],[Order_Date]],"YYY")</f>
        <v>2023</v>
      </c>
    </row>
    <row r="119" spans="1:14" x14ac:dyDescent="0.3">
      <c r="A119" s="4">
        <v>45186</v>
      </c>
      <c r="B119" s="5" t="s">
        <v>0</v>
      </c>
      <c r="C119" s="5" t="s">
        <v>14</v>
      </c>
      <c r="D119" s="23">
        <v>79.05</v>
      </c>
      <c r="E119" s="23">
        <v>34.369999999999997</v>
      </c>
      <c r="F119" s="23">
        <v>44.68</v>
      </c>
      <c r="G119" s="5" t="s">
        <v>20</v>
      </c>
      <c r="H119" s="5" t="s">
        <v>10</v>
      </c>
      <c r="I119" s="5" t="s">
        <v>27</v>
      </c>
      <c r="J119" s="6">
        <f>Table1[[#This Row],[Profit]]/Table1[[#This Row],[Sales]]</f>
        <v>0.56521189120809612</v>
      </c>
      <c r="K119" s="5" t="str">
        <f t="shared" si="1"/>
        <v>Low</v>
      </c>
      <c r="L119" s="5" t="str">
        <f>TEXT(Table1[[#This Row],[Order_Date]],"MMM")</f>
        <v>Sep</v>
      </c>
      <c r="M119" s="5" t="str">
        <f>IF(Table1[[#This Row],[Profit]]&gt;=1000,"Excellent",IF(Table1[[#This Row],[Profit]]&gt;=500,"Good", IF(Table1[[#This Row],[Profit]]&lt;500,"Low")))</f>
        <v>Low</v>
      </c>
      <c r="N119" s="7" t="str">
        <f>TEXT(Table1[[#This Row],[Order_Date]],"YYY")</f>
        <v>2023</v>
      </c>
    </row>
    <row r="120" spans="1:14" x14ac:dyDescent="0.3">
      <c r="A120" s="4">
        <v>45186</v>
      </c>
      <c r="B120" s="5" t="s">
        <v>13</v>
      </c>
      <c r="C120" s="5" t="s">
        <v>26</v>
      </c>
      <c r="D120" s="23">
        <v>1147.4000000000001</v>
      </c>
      <c r="E120" s="23">
        <v>379.07</v>
      </c>
      <c r="F120" s="23">
        <v>768.33</v>
      </c>
      <c r="G120" s="5" t="s">
        <v>20</v>
      </c>
      <c r="H120" s="5" t="s">
        <v>10</v>
      </c>
      <c r="I120" s="5" t="s">
        <v>25</v>
      </c>
      <c r="J120" s="6">
        <f>Table1[[#This Row],[Profit]]/Table1[[#This Row],[Sales]]</f>
        <v>0.66962698274359422</v>
      </c>
      <c r="K120" s="5" t="str">
        <f t="shared" si="1"/>
        <v>Low</v>
      </c>
      <c r="L120" s="5" t="str">
        <f>TEXT(Table1[[#This Row],[Order_Date]],"MMM")</f>
        <v>Sep</v>
      </c>
      <c r="M120" s="5" t="str">
        <f>IF(Table1[[#This Row],[Profit]]&gt;=1000,"Excellent",IF(Table1[[#This Row],[Profit]]&gt;=500,"Good", IF(Table1[[#This Row],[Profit]]&lt;500,"Low")))</f>
        <v>Good</v>
      </c>
      <c r="N120" s="7" t="str">
        <f>TEXT(Table1[[#This Row],[Order_Date]],"YYY")</f>
        <v>2023</v>
      </c>
    </row>
    <row r="121" spans="1:14" x14ac:dyDescent="0.3">
      <c r="A121" s="4">
        <v>45186</v>
      </c>
      <c r="B121" s="5" t="s">
        <v>8</v>
      </c>
      <c r="C121" s="5" t="s">
        <v>31</v>
      </c>
      <c r="D121" s="23">
        <v>49.69</v>
      </c>
      <c r="E121" s="23">
        <v>16.14</v>
      </c>
      <c r="F121" s="23">
        <v>33.549999999999997</v>
      </c>
      <c r="G121" s="5" t="s">
        <v>9</v>
      </c>
      <c r="H121" s="5" t="s">
        <v>7</v>
      </c>
      <c r="I121" s="5" t="s">
        <v>22</v>
      </c>
      <c r="J121" s="6">
        <f>Table1[[#This Row],[Profit]]/Table1[[#This Row],[Sales]]</f>
        <v>0.67518615415576577</v>
      </c>
      <c r="K121" s="5" t="str">
        <f t="shared" si="1"/>
        <v>Low</v>
      </c>
      <c r="L121" s="5" t="str">
        <f>TEXT(Table1[[#This Row],[Order_Date]],"MMM")</f>
        <v>Sep</v>
      </c>
      <c r="M121" s="5" t="str">
        <f>IF(Table1[[#This Row],[Profit]]&gt;=1000,"Excellent",IF(Table1[[#This Row],[Profit]]&gt;=500,"Good", IF(Table1[[#This Row],[Profit]]&lt;500,"Low")))</f>
        <v>Low</v>
      </c>
      <c r="N121" s="7" t="str">
        <f>TEXT(Table1[[#This Row],[Order_Date]],"YYY")</f>
        <v>2023</v>
      </c>
    </row>
    <row r="122" spans="1:14" x14ac:dyDescent="0.3">
      <c r="A122" s="4">
        <v>45187</v>
      </c>
      <c r="B122" s="5" t="s">
        <v>16</v>
      </c>
      <c r="C122" s="5" t="s">
        <v>26</v>
      </c>
      <c r="D122" s="23">
        <v>396.51</v>
      </c>
      <c r="E122" s="23">
        <v>124.16</v>
      </c>
      <c r="F122" s="23">
        <v>272.35000000000002</v>
      </c>
      <c r="G122" s="5" t="s">
        <v>6</v>
      </c>
      <c r="H122" s="5" t="s">
        <v>34</v>
      </c>
      <c r="I122" s="5" t="s">
        <v>11</v>
      </c>
      <c r="J122" s="6">
        <f>Table1[[#This Row],[Profit]]/Table1[[#This Row],[Sales]]</f>
        <v>0.68686792262490237</v>
      </c>
      <c r="K122" s="5" t="str">
        <f t="shared" si="1"/>
        <v>Low</v>
      </c>
      <c r="L122" s="5" t="str">
        <f>TEXT(Table1[[#This Row],[Order_Date]],"MMM")</f>
        <v>Sep</v>
      </c>
      <c r="M122" s="5" t="str">
        <f>IF(Table1[[#This Row],[Profit]]&gt;=1000,"Excellent",IF(Table1[[#This Row],[Profit]]&gt;=500,"Good", IF(Table1[[#This Row],[Profit]]&lt;500,"Low")))</f>
        <v>Low</v>
      </c>
      <c r="N122" s="7" t="str">
        <f>TEXT(Table1[[#This Row],[Order_Date]],"YYY")</f>
        <v>2023</v>
      </c>
    </row>
    <row r="123" spans="1:14" x14ac:dyDescent="0.3">
      <c r="A123" s="4">
        <v>45189</v>
      </c>
      <c r="B123" s="5" t="s">
        <v>0</v>
      </c>
      <c r="C123" s="5" t="s">
        <v>14</v>
      </c>
      <c r="D123" s="23">
        <v>268.45999999999998</v>
      </c>
      <c r="E123" s="23">
        <v>116.03</v>
      </c>
      <c r="F123" s="23">
        <v>152.43</v>
      </c>
      <c r="G123" s="5" t="s">
        <v>20</v>
      </c>
      <c r="H123" s="5" t="s">
        <v>24</v>
      </c>
      <c r="I123" s="5" t="s">
        <v>22</v>
      </c>
      <c r="J123" s="6">
        <f>Table1[[#This Row],[Profit]]/Table1[[#This Row],[Sales]]</f>
        <v>0.56779408477985549</v>
      </c>
      <c r="K123" s="5" t="str">
        <f t="shared" si="1"/>
        <v>Low</v>
      </c>
      <c r="L123" s="5" t="str">
        <f>TEXT(Table1[[#This Row],[Order_Date]],"MMM")</f>
        <v>Sep</v>
      </c>
      <c r="M123" s="5" t="str">
        <f>IF(Table1[[#This Row],[Profit]]&gt;=1000,"Excellent",IF(Table1[[#This Row],[Profit]]&gt;=500,"Good", IF(Table1[[#This Row],[Profit]]&lt;500,"Low")))</f>
        <v>Low</v>
      </c>
      <c r="N123" s="7" t="str">
        <f>TEXT(Table1[[#This Row],[Order_Date]],"YYY")</f>
        <v>2023</v>
      </c>
    </row>
    <row r="124" spans="1:14" x14ac:dyDescent="0.3">
      <c r="A124" s="4">
        <v>45190</v>
      </c>
      <c r="B124" s="5" t="s">
        <v>18</v>
      </c>
      <c r="C124" s="5" t="s">
        <v>1</v>
      </c>
      <c r="D124" s="23">
        <v>420.89</v>
      </c>
      <c r="E124" s="23">
        <v>238.36</v>
      </c>
      <c r="F124" s="23">
        <v>182.53</v>
      </c>
      <c r="G124" s="5" t="s">
        <v>32</v>
      </c>
      <c r="H124" s="5" t="s">
        <v>3</v>
      </c>
      <c r="I124" s="5" t="s">
        <v>25</v>
      </c>
      <c r="J124" s="6">
        <f>Table1[[#This Row],[Profit]]/Table1[[#This Row],[Sales]]</f>
        <v>0.43367625745444177</v>
      </c>
      <c r="K124" s="5" t="str">
        <f t="shared" si="1"/>
        <v>Low</v>
      </c>
      <c r="L124" s="5" t="str">
        <f>TEXT(Table1[[#This Row],[Order_Date]],"MMM")</f>
        <v>Sep</v>
      </c>
      <c r="M124" s="5" t="str">
        <f>IF(Table1[[#This Row],[Profit]]&gt;=1000,"Excellent",IF(Table1[[#This Row],[Profit]]&gt;=500,"Good", IF(Table1[[#This Row],[Profit]]&lt;500,"Low")))</f>
        <v>Low</v>
      </c>
      <c r="N124" s="7" t="str">
        <f>TEXT(Table1[[#This Row],[Order_Date]],"YYY")</f>
        <v>2023</v>
      </c>
    </row>
    <row r="125" spans="1:14" x14ac:dyDescent="0.3">
      <c r="A125" s="4">
        <v>45191</v>
      </c>
      <c r="B125" s="5" t="s">
        <v>18</v>
      </c>
      <c r="C125" s="5" t="s">
        <v>14</v>
      </c>
      <c r="D125" s="23">
        <v>253.31</v>
      </c>
      <c r="E125" s="23">
        <v>106.33</v>
      </c>
      <c r="F125" s="23">
        <v>146.97999999999999</v>
      </c>
      <c r="G125" s="5" t="s">
        <v>20</v>
      </c>
      <c r="H125" s="5" t="s">
        <v>24</v>
      </c>
      <c r="I125" s="5" t="s">
        <v>22</v>
      </c>
      <c r="J125" s="6">
        <f>Table1[[#This Row],[Profit]]/Table1[[#This Row],[Sales]]</f>
        <v>0.58023765346808254</v>
      </c>
      <c r="K125" s="5" t="str">
        <f t="shared" si="1"/>
        <v>Low</v>
      </c>
      <c r="L125" s="5" t="str">
        <f>TEXT(Table1[[#This Row],[Order_Date]],"MMM")</f>
        <v>Sep</v>
      </c>
      <c r="M125" s="5" t="str">
        <f>IF(Table1[[#This Row],[Profit]]&gt;=1000,"Excellent",IF(Table1[[#This Row],[Profit]]&gt;=500,"Good", IF(Table1[[#This Row],[Profit]]&lt;500,"Low")))</f>
        <v>Low</v>
      </c>
      <c r="N125" s="7" t="str">
        <f>TEXT(Table1[[#This Row],[Order_Date]],"YYY")</f>
        <v>2023</v>
      </c>
    </row>
    <row r="126" spans="1:14" x14ac:dyDescent="0.3">
      <c r="A126" s="4">
        <v>45192</v>
      </c>
      <c r="B126" s="5" t="s">
        <v>16</v>
      </c>
      <c r="C126" s="5" t="s">
        <v>26</v>
      </c>
      <c r="D126" s="23">
        <v>624.19000000000005</v>
      </c>
      <c r="E126" s="23">
        <v>177.64</v>
      </c>
      <c r="F126" s="23">
        <v>446.55</v>
      </c>
      <c r="G126" s="5" t="s">
        <v>32</v>
      </c>
      <c r="H126" s="5" t="s">
        <v>10</v>
      </c>
      <c r="I126" s="5" t="s">
        <v>22</v>
      </c>
      <c r="J126" s="6">
        <f>Table1[[#This Row],[Profit]]/Table1[[#This Row],[Sales]]</f>
        <v>0.71540716768932533</v>
      </c>
      <c r="K126" s="5" t="str">
        <f t="shared" si="1"/>
        <v>Low</v>
      </c>
      <c r="L126" s="5" t="str">
        <f>TEXT(Table1[[#This Row],[Order_Date]],"MMM")</f>
        <v>Sep</v>
      </c>
      <c r="M126" s="5" t="str">
        <f>IF(Table1[[#This Row],[Profit]]&gt;=1000,"Excellent",IF(Table1[[#This Row],[Profit]]&gt;=500,"Good", IF(Table1[[#This Row],[Profit]]&lt;500,"Low")))</f>
        <v>Low</v>
      </c>
      <c r="N126" s="7" t="str">
        <f>TEXT(Table1[[#This Row],[Order_Date]],"YYY")</f>
        <v>2023</v>
      </c>
    </row>
    <row r="127" spans="1:14" x14ac:dyDescent="0.3">
      <c r="A127" s="4">
        <v>45192</v>
      </c>
      <c r="B127" s="5" t="s">
        <v>16</v>
      </c>
      <c r="C127" s="5" t="s">
        <v>31</v>
      </c>
      <c r="D127" s="23">
        <v>285.07</v>
      </c>
      <c r="E127" s="23">
        <v>105.73</v>
      </c>
      <c r="F127" s="23">
        <v>179.34</v>
      </c>
      <c r="G127" s="5" t="s">
        <v>9</v>
      </c>
      <c r="H127" s="5" t="s">
        <v>15</v>
      </c>
      <c r="I127" s="5" t="s">
        <v>4</v>
      </c>
      <c r="J127" s="6">
        <f>Table1[[#This Row],[Profit]]/Table1[[#This Row],[Sales]]</f>
        <v>0.62910863998316202</v>
      </c>
      <c r="K127" s="5" t="str">
        <f t="shared" si="1"/>
        <v>Low</v>
      </c>
      <c r="L127" s="5" t="str">
        <f>TEXT(Table1[[#This Row],[Order_Date]],"MMM")</f>
        <v>Sep</v>
      </c>
      <c r="M127" s="5" t="str">
        <f>IF(Table1[[#This Row],[Profit]]&gt;=1000,"Excellent",IF(Table1[[#This Row],[Profit]]&gt;=500,"Good", IF(Table1[[#This Row],[Profit]]&lt;500,"Low")))</f>
        <v>Low</v>
      </c>
      <c r="N127" s="7" t="str">
        <f>TEXT(Table1[[#This Row],[Order_Date]],"YYY")</f>
        <v>2023</v>
      </c>
    </row>
    <row r="128" spans="1:14" x14ac:dyDescent="0.3">
      <c r="A128" s="4">
        <v>45192</v>
      </c>
      <c r="B128" s="5" t="s">
        <v>0</v>
      </c>
      <c r="C128" s="5" t="s">
        <v>1</v>
      </c>
      <c r="D128" s="23">
        <v>784.74</v>
      </c>
      <c r="E128" s="23">
        <v>462.94</v>
      </c>
      <c r="F128" s="23">
        <v>321.8</v>
      </c>
      <c r="G128" s="5" t="s">
        <v>6</v>
      </c>
      <c r="H128" s="5" t="s">
        <v>24</v>
      </c>
      <c r="I128" s="5" t="s">
        <v>4</v>
      </c>
      <c r="J128" s="6">
        <f>Table1[[#This Row],[Profit]]/Table1[[#This Row],[Sales]]</f>
        <v>0.41007212579962793</v>
      </c>
      <c r="K128" s="5" t="str">
        <f t="shared" si="1"/>
        <v>Low</v>
      </c>
      <c r="L128" s="5" t="str">
        <f>TEXT(Table1[[#This Row],[Order_Date]],"MMM")</f>
        <v>Sep</v>
      </c>
      <c r="M128" s="5" t="str">
        <f>IF(Table1[[#This Row],[Profit]]&gt;=1000,"Excellent",IF(Table1[[#This Row],[Profit]]&gt;=500,"Good", IF(Table1[[#This Row],[Profit]]&lt;500,"Low")))</f>
        <v>Low</v>
      </c>
      <c r="N128" s="7" t="str">
        <f>TEXT(Table1[[#This Row],[Order_Date]],"YYY")</f>
        <v>2023</v>
      </c>
    </row>
    <row r="129" spans="1:14" x14ac:dyDescent="0.3">
      <c r="A129" s="4">
        <v>45192</v>
      </c>
      <c r="B129" s="5" t="s">
        <v>13</v>
      </c>
      <c r="C129" s="5" t="s">
        <v>26</v>
      </c>
      <c r="D129" s="23">
        <v>793.57</v>
      </c>
      <c r="E129" s="23">
        <v>243.89</v>
      </c>
      <c r="F129" s="23">
        <v>549.67999999999995</v>
      </c>
      <c r="G129" s="5" t="s">
        <v>9</v>
      </c>
      <c r="H129" s="5" t="s">
        <v>35</v>
      </c>
      <c r="I129" s="5" t="s">
        <v>22</v>
      </c>
      <c r="J129" s="6">
        <f>Table1[[#This Row],[Profit]]/Table1[[#This Row],[Sales]]</f>
        <v>0.69266731353251754</v>
      </c>
      <c r="K129" s="5" t="str">
        <f t="shared" si="1"/>
        <v>Low</v>
      </c>
      <c r="L129" s="5" t="str">
        <f>TEXT(Table1[[#This Row],[Order_Date]],"MMM")</f>
        <v>Sep</v>
      </c>
      <c r="M129" s="5" t="str">
        <f>IF(Table1[[#This Row],[Profit]]&gt;=1000,"Excellent",IF(Table1[[#This Row],[Profit]]&gt;=500,"Good", IF(Table1[[#This Row],[Profit]]&lt;500,"Low")))</f>
        <v>Good</v>
      </c>
      <c r="N129" s="7" t="str">
        <f>TEXT(Table1[[#This Row],[Order_Date]],"YYY")</f>
        <v>2023</v>
      </c>
    </row>
    <row r="130" spans="1:14" x14ac:dyDescent="0.3">
      <c r="A130" s="4">
        <v>45193</v>
      </c>
      <c r="B130" s="5" t="s">
        <v>8</v>
      </c>
      <c r="C130" s="5" t="s">
        <v>14</v>
      </c>
      <c r="D130" s="23">
        <v>374.21</v>
      </c>
      <c r="E130" s="23">
        <v>190.63</v>
      </c>
      <c r="F130" s="23">
        <v>183.58</v>
      </c>
      <c r="G130" s="5" t="s">
        <v>2</v>
      </c>
      <c r="H130" s="5" t="s">
        <v>12</v>
      </c>
      <c r="I130" s="5" t="s">
        <v>11</v>
      </c>
      <c r="J130" s="6">
        <f>Table1[[#This Row],[Profit]]/Table1[[#This Row],[Sales]]</f>
        <v>0.49058015552764495</v>
      </c>
      <c r="K130" s="5" t="str">
        <f t="shared" ref="K130:K193" si="2">IF(D130&gt;=2000,"High",IF(D130&gt;=1500,"Medium","Low"))</f>
        <v>Low</v>
      </c>
      <c r="L130" s="5" t="str">
        <f>TEXT(Table1[[#This Row],[Order_Date]],"MMM")</f>
        <v>Sep</v>
      </c>
      <c r="M130" s="5" t="str">
        <f>IF(Table1[[#This Row],[Profit]]&gt;=1000,"Excellent",IF(Table1[[#This Row],[Profit]]&gt;=500,"Good", IF(Table1[[#This Row],[Profit]]&lt;500,"Low")))</f>
        <v>Low</v>
      </c>
      <c r="N130" s="7" t="str">
        <f>TEXT(Table1[[#This Row],[Order_Date]],"YYY")</f>
        <v>2023</v>
      </c>
    </row>
    <row r="131" spans="1:14" x14ac:dyDescent="0.3">
      <c r="A131" s="4">
        <v>45194</v>
      </c>
      <c r="B131" s="5" t="s">
        <v>13</v>
      </c>
      <c r="C131" s="5" t="s">
        <v>23</v>
      </c>
      <c r="D131" s="23">
        <v>413.52</v>
      </c>
      <c r="E131" s="23">
        <v>154.03</v>
      </c>
      <c r="F131" s="23">
        <v>259.49</v>
      </c>
      <c r="G131" s="5" t="s">
        <v>9</v>
      </c>
      <c r="H131" s="5" t="s">
        <v>30</v>
      </c>
      <c r="I131" s="5" t="s">
        <v>27</v>
      </c>
      <c r="J131" s="6">
        <f>Table1[[#This Row],[Profit]]/Table1[[#This Row],[Sales]]</f>
        <v>0.62751499322886439</v>
      </c>
      <c r="K131" s="5" t="str">
        <f t="shared" si="2"/>
        <v>Low</v>
      </c>
      <c r="L131" s="5" t="str">
        <f>TEXT(Table1[[#This Row],[Order_Date]],"MMM")</f>
        <v>Sep</v>
      </c>
      <c r="M131" s="5" t="str">
        <f>IF(Table1[[#This Row],[Profit]]&gt;=1000,"Excellent",IF(Table1[[#This Row],[Profit]]&gt;=500,"Good", IF(Table1[[#This Row],[Profit]]&lt;500,"Low")))</f>
        <v>Low</v>
      </c>
      <c r="N131" s="7" t="str">
        <f>TEXT(Table1[[#This Row],[Order_Date]],"YYY")</f>
        <v>2023</v>
      </c>
    </row>
    <row r="132" spans="1:14" x14ac:dyDescent="0.3">
      <c r="A132" s="4">
        <v>45194</v>
      </c>
      <c r="B132" s="5" t="s">
        <v>16</v>
      </c>
      <c r="C132" s="5" t="s">
        <v>14</v>
      </c>
      <c r="D132" s="23">
        <v>365.94</v>
      </c>
      <c r="E132" s="23">
        <v>138.31</v>
      </c>
      <c r="F132" s="23">
        <v>227.63</v>
      </c>
      <c r="G132" s="5" t="s">
        <v>2</v>
      </c>
      <c r="H132" s="5" t="s">
        <v>15</v>
      </c>
      <c r="I132" s="5" t="s">
        <v>22</v>
      </c>
      <c r="J132" s="6">
        <f>Table1[[#This Row],[Profit]]/Table1[[#This Row],[Sales]]</f>
        <v>0.62204186478657708</v>
      </c>
      <c r="K132" s="5" t="str">
        <f t="shared" si="2"/>
        <v>Low</v>
      </c>
      <c r="L132" s="5" t="str">
        <f>TEXT(Table1[[#This Row],[Order_Date]],"MMM")</f>
        <v>Sep</v>
      </c>
      <c r="M132" s="5" t="str">
        <f>IF(Table1[[#This Row],[Profit]]&gt;=1000,"Excellent",IF(Table1[[#This Row],[Profit]]&gt;=500,"Good", IF(Table1[[#This Row],[Profit]]&lt;500,"Low")))</f>
        <v>Low</v>
      </c>
      <c r="N132" s="7" t="str">
        <f>TEXT(Table1[[#This Row],[Order_Date]],"YYY")</f>
        <v>2023</v>
      </c>
    </row>
    <row r="133" spans="1:14" x14ac:dyDescent="0.3">
      <c r="A133" s="4">
        <v>45194</v>
      </c>
      <c r="B133" s="5" t="s">
        <v>16</v>
      </c>
      <c r="C133" s="5" t="s">
        <v>31</v>
      </c>
      <c r="D133" s="23">
        <v>26.21</v>
      </c>
      <c r="E133" s="23">
        <v>9.1300000000000008</v>
      </c>
      <c r="F133" s="23">
        <v>17.079999999999998</v>
      </c>
      <c r="G133" s="5" t="s">
        <v>9</v>
      </c>
      <c r="H133" s="5" t="s">
        <v>28</v>
      </c>
      <c r="I133" s="5" t="s">
        <v>17</v>
      </c>
      <c r="J133" s="6">
        <f>Table1[[#This Row],[Profit]]/Table1[[#This Row],[Sales]]</f>
        <v>0.65165967188096141</v>
      </c>
      <c r="K133" s="5" t="str">
        <f t="shared" si="2"/>
        <v>Low</v>
      </c>
      <c r="L133" s="5" t="str">
        <f>TEXT(Table1[[#This Row],[Order_Date]],"MMM")</f>
        <v>Sep</v>
      </c>
      <c r="M133" s="5" t="str">
        <f>IF(Table1[[#This Row],[Profit]]&gt;=1000,"Excellent",IF(Table1[[#This Row],[Profit]]&gt;=500,"Good", IF(Table1[[#This Row],[Profit]]&lt;500,"Low")))</f>
        <v>Low</v>
      </c>
      <c r="N133" s="7" t="str">
        <f>TEXT(Table1[[#This Row],[Order_Date]],"YYY")</f>
        <v>2023</v>
      </c>
    </row>
    <row r="134" spans="1:14" x14ac:dyDescent="0.3">
      <c r="A134" s="4">
        <v>45194</v>
      </c>
      <c r="B134" s="5" t="s">
        <v>18</v>
      </c>
      <c r="C134" s="5" t="s">
        <v>1</v>
      </c>
      <c r="D134" s="23">
        <v>326.95</v>
      </c>
      <c r="E134" s="23">
        <v>171.99</v>
      </c>
      <c r="F134" s="23">
        <v>154.96</v>
      </c>
      <c r="G134" s="5" t="s">
        <v>32</v>
      </c>
      <c r="H134" s="5" t="s">
        <v>7</v>
      </c>
      <c r="I134" s="5" t="s">
        <v>11</v>
      </c>
      <c r="J134" s="6">
        <f>Table1[[#This Row],[Profit]]/Table1[[#This Row],[Sales]]</f>
        <v>0.47395626242544736</v>
      </c>
      <c r="K134" s="5" t="str">
        <f t="shared" si="2"/>
        <v>Low</v>
      </c>
      <c r="L134" s="5" t="str">
        <f>TEXT(Table1[[#This Row],[Order_Date]],"MMM")</f>
        <v>Sep</v>
      </c>
      <c r="M134" s="5" t="str">
        <f>IF(Table1[[#This Row],[Profit]]&gt;=1000,"Excellent",IF(Table1[[#This Row],[Profit]]&gt;=500,"Good", IF(Table1[[#This Row],[Profit]]&lt;500,"Low")))</f>
        <v>Low</v>
      </c>
      <c r="N134" s="7" t="str">
        <f>TEXT(Table1[[#This Row],[Order_Date]],"YYY")</f>
        <v>2023</v>
      </c>
    </row>
    <row r="135" spans="1:14" x14ac:dyDescent="0.3">
      <c r="A135" s="4">
        <v>45194</v>
      </c>
      <c r="B135" s="5" t="s">
        <v>13</v>
      </c>
      <c r="C135" s="5" t="s">
        <v>1</v>
      </c>
      <c r="D135" s="23">
        <v>73.59</v>
      </c>
      <c r="E135" s="23">
        <v>42.87</v>
      </c>
      <c r="F135" s="23">
        <v>30.72</v>
      </c>
      <c r="G135" s="5" t="s">
        <v>2</v>
      </c>
      <c r="H135" s="5" t="s">
        <v>33</v>
      </c>
      <c r="I135" s="5" t="s">
        <v>27</v>
      </c>
      <c r="J135" s="6">
        <f>Table1[[#This Row],[Profit]]/Table1[[#This Row],[Sales]]</f>
        <v>0.41744802282918869</v>
      </c>
      <c r="K135" s="5" t="str">
        <f t="shared" si="2"/>
        <v>Low</v>
      </c>
      <c r="L135" s="5" t="str">
        <f>TEXT(Table1[[#This Row],[Order_Date]],"MMM")</f>
        <v>Sep</v>
      </c>
      <c r="M135" s="5" t="str">
        <f>IF(Table1[[#This Row],[Profit]]&gt;=1000,"Excellent",IF(Table1[[#This Row],[Profit]]&gt;=500,"Good", IF(Table1[[#This Row],[Profit]]&lt;500,"Low")))</f>
        <v>Low</v>
      </c>
      <c r="N135" s="7" t="str">
        <f>TEXT(Table1[[#This Row],[Order_Date]],"YYY")</f>
        <v>2023</v>
      </c>
    </row>
    <row r="136" spans="1:14" x14ac:dyDescent="0.3">
      <c r="A136" s="4">
        <v>45194</v>
      </c>
      <c r="B136" s="5" t="s">
        <v>0</v>
      </c>
      <c r="C136" s="5" t="s">
        <v>19</v>
      </c>
      <c r="D136" s="23">
        <v>55.54</v>
      </c>
      <c r="E136" s="23">
        <v>24.11</v>
      </c>
      <c r="F136" s="23">
        <v>31.43</v>
      </c>
      <c r="G136" s="5" t="s">
        <v>6</v>
      </c>
      <c r="H136" s="5" t="s">
        <v>10</v>
      </c>
      <c r="I136" s="5" t="s">
        <v>22</v>
      </c>
      <c r="J136" s="6">
        <f>Table1[[#This Row],[Profit]]/Table1[[#This Row],[Sales]]</f>
        <v>0.56589845156643859</v>
      </c>
      <c r="K136" s="5" t="str">
        <f t="shared" si="2"/>
        <v>Low</v>
      </c>
      <c r="L136" s="5" t="str">
        <f>TEXT(Table1[[#This Row],[Order_Date]],"MMM")</f>
        <v>Sep</v>
      </c>
      <c r="M136" s="5" t="str">
        <f>IF(Table1[[#This Row],[Profit]]&gt;=1000,"Excellent",IF(Table1[[#This Row],[Profit]]&gt;=500,"Good", IF(Table1[[#This Row],[Profit]]&lt;500,"Low")))</f>
        <v>Low</v>
      </c>
      <c r="N136" s="7" t="str">
        <f>TEXT(Table1[[#This Row],[Order_Date]],"YYY")</f>
        <v>2023</v>
      </c>
    </row>
    <row r="137" spans="1:14" x14ac:dyDescent="0.3">
      <c r="A137" s="4">
        <v>45195</v>
      </c>
      <c r="B137" s="5" t="s">
        <v>13</v>
      </c>
      <c r="C137" s="5" t="s">
        <v>14</v>
      </c>
      <c r="D137" s="23">
        <v>292.32</v>
      </c>
      <c r="E137" s="23">
        <v>123.39</v>
      </c>
      <c r="F137" s="23">
        <v>168.93</v>
      </c>
      <c r="G137" s="5" t="s">
        <v>2</v>
      </c>
      <c r="H137" s="5" t="s">
        <v>21</v>
      </c>
      <c r="I137" s="5" t="s">
        <v>25</v>
      </c>
      <c r="J137" s="6">
        <f>Table1[[#This Row],[Profit]]/Table1[[#This Row],[Sales]]</f>
        <v>0.57789408866995073</v>
      </c>
      <c r="K137" s="5" t="str">
        <f t="shared" si="2"/>
        <v>Low</v>
      </c>
      <c r="L137" s="5" t="str">
        <f>TEXT(Table1[[#This Row],[Order_Date]],"MMM")</f>
        <v>Sep</v>
      </c>
      <c r="M137" s="5" t="str">
        <f>IF(Table1[[#This Row],[Profit]]&gt;=1000,"Excellent",IF(Table1[[#This Row],[Profit]]&gt;=500,"Good", IF(Table1[[#This Row],[Profit]]&lt;500,"Low")))</f>
        <v>Low</v>
      </c>
      <c r="N137" s="7" t="str">
        <f>TEXT(Table1[[#This Row],[Order_Date]],"YYY")</f>
        <v>2023</v>
      </c>
    </row>
    <row r="138" spans="1:14" x14ac:dyDescent="0.3">
      <c r="A138" s="4">
        <v>45196</v>
      </c>
      <c r="B138" s="5" t="s">
        <v>0</v>
      </c>
      <c r="C138" s="5" t="s">
        <v>1</v>
      </c>
      <c r="D138" s="23">
        <v>848.89</v>
      </c>
      <c r="E138" s="23">
        <v>528.84</v>
      </c>
      <c r="F138" s="23">
        <v>320.05</v>
      </c>
      <c r="G138" s="5" t="s">
        <v>2</v>
      </c>
      <c r="H138" s="5" t="s">
        <v>3</v>
      </c>
      <c r="I138" s="5" t="s">
        <v>22</v>
      </c>
      <c r="J138" s="6">
        <f>Table1[[#This Row],[Profit]]/Table1[[#This Row],[Sales]]</f>
        <v>0.37702175782492431</v>
      </c>
      <c r="K138" s="5" t="str">
        <f t="shared" si="2"/>
        <v>Low</v>
      </c>
      <c r="L138" s="5" t="str">
        <f>TEXT(Table1[[#This Row],[Order_Date]],"MMM")</f>
        <v>Sep</v>
      </c>
      <c r="M138" s="5" t="str">
        <f>IF(Table1[[#This Row],[Profit]]&gt;=1000,"Excellent",IF(Table1[[#This Row],[Profit]]&gt;=500,"Good", IF(Table1[[#This Row],[Profit]]&lt;500,"Low")))</f>
        <v>Low</v>
      </c>
      <c r="N138" s="7" t="str">
        <f>TEXT(Table1[[#This Row],[Order_Date]],"YYY")</f>
        <v>2023</v>
      </c>
    </row>
    <row r="139" spans="1:14" x14ac:dyDescent="0.3">
      <c r="A139" s="4">
        <v>45197</v>
      </c>
      <c r="B139" s="5" t="s">
        <v>8</v>
      </c>
      <c r="C139" s="5" t="s">
        <v>5</v>
      </c>
      <c r="D139" s="23">
        <v>1284.9100000000001</v>
      </c>
      <c r="E139" s="23">
        <v>543.57000000000005</v>
      </c>
      <c r="F139" s="23">
        <v>741.34</v>
      </c>
      <c r="G139" s="5" t="s">
        <v>2</v>
      </c>
      <c r="H139" s="5" t="s">
        <v>3</v>
      </c>
      <c r="I139" s="5" t="s">
        <v>11</v>
      </c>
      <c r="J139" s="6">
        <f>Table1[[#This Row],[Profit]]/Table1[[#This Row],[Sales]]</f>
        <v>0.57695869749632267</v>
      </c>
      <c r="K139" s="5" t="str">
        <f t="shared" si="2"/>
        <v>Low</v>
      </c>
      <c r="L139" s="5" t="str">
        <f>TEXT(Table1[[#This Row],[Order_Date]],"MMM")</f>
        <v>Sep</v>
      </c>
      <c r="M139" s="5" t="str">
        <f>IF(Table1[[#This Row],[Profit]]&gt;=1000,"Excellent",IF(Table1[[#This Row],[Profit]]&gt;=500,"Good", IF(Table1[[#This Row],[Profit]]&lt;500,"Low")))</f>
        <v>Good</v>
      </c>
      <c r="N139" s="7" t="str">
        <f>TEXT(Table1[[#This Row],[Order_Date]],"YYY")</f>
        <v>2023</v>
      </c>
    </row>
    <row r="140" spans="1:14" x14ac:dyDescent="0.3">
      <c r="A140" s="4">
        <v>45197</v>
      </c>
      <c r="B140" s="5" t="s">
        <v>8</v>
      </c>
      <c r="C140" s="5" t="s">
        <v>5</v>
      </c>
      <c r="D140" s="23">
        <v>994.71</v>
      </c>
      <c r="E140" s="23">
        <v>468.16</v>
      </c>
      <c r="F140" s="23">
        <v>526.54999999999995</v>
      </c>
      <c r="G140" s="5" t="s">
        <v>32</v>
      </c>
      <c r="H140" s="5" t="s">
        <v>21</v>
      </c>
      <c r="I140" s="5" t="s">
        <v>4</v>
      </c>
      <c r="J140" s="6">
        <f>Table1[[#This Row],[Profit]]/Table1[[#This Row],[Sales]]</f>
        <v>0.52935026289069165</v>
      </c>
      <c r="K140" s="5" t="str">
        <f t="shared" si="2"/>
        <v>Low</v>
      </c>
      <c r="L140" s="5" t="str">
        <f>TEXT(Table1[[#This Row],[Order_Date]],"MMM")</f>
        <v>Sep</v>
      </c>
      <c r="M140" s="5" t="str">
        <f>IF(Table1[[#This Row],[Profit]]&gt;=1000,"Excellent",IF(Table1[[#This Row],[Profit]]&gt;=500,"Good", IF(Table1[[#This Row],[Profit]]&lt;500,"Low")))</f>
        <v>Good</v>
      </c>
      <c r="N140" s="7" t="str">
        <f>TEXT(Table1[[#This Row],[Order_Date]],"YYY")</f>
        <v>2023</v>
      </c>
    </row>
    <row r="141" spans="1:14" x14ac:dyDescent="0.3">
      <c r="A141" s="4">
        <v>45198</v>
      </c>
      <c r="B141" s="5" t="s">
        <v>18</v>
      </c>
      <c r="C141" s="5" t="s">
        <v>23</v>
      </c>
      <c r="D141" s="23">
        <v>527.34</v>
      </c>
      <c r="E141" s="23">
        <v>241.83</v>
      </c>
      <c r="F141" s="23">
        <v>285.51</v>
      </c>
      <c r="G141" s="5" t="s">
        <v>20</v>
      </c>
      <c r="H141" s="5" t="s">
        <v>29</v>
      </c>
      <c r="I141" s="5" t="s">
        <v>4</v>
      </c>
      <c r="J141" s="6">
        <f>Table1[[#This Row],[Profit]]/Table1[[#This Row],[Sales]]</f>
        <v>0.54141540562066215</v>
      </c>
      <c r="K141" s="5" t="str">
        <f t="shared" si="2"/>
        <v>Low</v>
      </c>
      <c r="L141" s="5" t="str">
        <f>TEXT(Table1[[#This Row],[Order_Date]],"MMM")</f>
        <v>Sep</v>
      </c>
      <c r="M141" s="5" t="str">
        <f>IF(Table1[[#This Row],[Profit]]&gt;=1000,"Excellent",IF(Table1[[#This Row],[Profit]]&gt;=500,"Good", IF(Table1[[#This Row],[Profit]]&lt;500,"Low")))</f>
        <v>Low</v>
      </c>
      <c r="N141" s="7" t="str">
        <f>TEXT(Table1[[#This Row],[Order_Date]],"YYY")</f>
        <v>2023</v>
      </c>
    </row>
    <row r="142" spans="1:14" x14ac:dyDescent="0.3">
      <c r="A142" s="4">
        <v>45198</v>
      </c>
      <c r="B142" s="5" t="s">
        <v>16</v>
      </c>
      <c r="C142" s="5" t="s">
        <v>23</v>
      </c>
      <c r="D142" s="23">
        <v>877.82</v>
      </c>
      <c r="E142" s="23">
        <v>290.49</v>
      </c>
      <c r="F142" s="23">
        <v>587.33000000000004</v>
      </c>
      <c r="G142" s="5" t="s">
        <v>6</v>
      </c>
      <c r="H142" s="5" t="s">
        <v>24</v>
      </c>
      <c r="I142" s="5" t="s">
        <v>4</v>
      </c>
      <c r="J142" s="6">
        <f>Table1[[#This Row],[Profit]]/Table1[[#This Row],[Sales]]</f>
        <v>0.66907794308628188</v>
      </c>
      <c r="K142" s="5" t="str">
        <f t="shared" si="2"/>
        <v>Low</v>
      </c>
      <c r="L142" s="5" t="str">
        <f>TEXT(Table1[[#This Row],[Order_Date]],"MMM")</f>
        <v>Sep</v>
      </c>
      <c r="M142" s="5" t="str">
        <f>IF(Table1[[#This Row],[Profit]]&gt;=1000,"Excellent",IF(Table1[[#This Row],[Profit]]&gt;=500,"Good", IF(Table1[[#This Row],[Profit]]&lt;500,"Low")))</f>
        <v>Good</v>
      </c>
      <c r="N142" s="7" t="str">
        <f>TEXT(Table1[[#This Row],[Order_Date]],"YYY")</f>
        <v>2023</v>
      </c>
    </row>
    <row r="143" spans="1:14" x14ac:dyDescent="0.3">
      <c r="A143" s="4">
        <v>45199</v>
      </c>
      <c r="B143" s="5" t="s">
        <v>13</v>
      </c>
      <c r="C143" s="5" t="s">
        <v>5</v>
      </c>
      <c r="D143" s="23">
        <v>2257.56</v>
      </c>
      <c r="E143" s="23">
        <v>769.32</v>
      </c>
      <c r="F143" s="23">
        <v>1488.24</v>
      </c>
      <c r="G143" s="5" t="s">
        <v>32</v>
      </c>
      <c r="H143" s="5" t="s">
        <v>10</v>
      </c>
      <c r="I143" s="5" t="s">
        <v>27</v>
      </c>
      <c r="J143" s="6">
        <f>Table1[[#This Row],[Profit]]/Table1[[#This Row],[Sales]]</f>
        <v>0.659225003986605</v>
      </c>
      <c r="K143" s="5" t="str">
        <f t="shared" si="2"/>
        <v>High</v>
      </c>
      <c r="L143" s="5" t="str">
        <f>TEXT(Table1[[#This Row],[Order_Date]],"MMM")</f>
        <v>Sep</v>
      </c>
      <c r="M143" s="5" t="str">
        <f>IF(Table1[[#This Row],[Profit]]&gt;=1000,"Excellent",IF(Table1[[#This Row],[Profit]]&gt;=500,"Good", IF(Table1[[#This Row],[Profit]]&lt;500,"Low")))</f>
        <v>Excellent</v>
      </c>
      <c r="N143" s="7" t="str">
        <f>TEXT(Table1[[#This Row],[Order_Date]],"YYY")</f>
        <v>2023</v>
      </c>
    </row>
    <row r="144" spans="1:14" x14ac:dyDescent="0.3">
      <c r="A144" s="4">
        <v>45199</v>
      </c>
      <c r="B144" s="5" t="s">
        <v>16</v>
      </c>
      <c r="C144" s="5" t="s">
        <v>26</v>
      </c>
      <c r="D144" s="23">
        <v>325.39999999999998</v>
      </c>
      <c r="E144" s="23">
        <v>138.75</v>
      </c>
      <c r="F144" s="23">
        <v>186.65</v>
      </c>
      <c r="G144" s="5" t="s">
        <v>9</v>
      </c>
      <c r="H144" s="5" t="s">
        <v>10</v>
      </c>
      <c r="I144" s="5" t="s">
        <v>27</v>
      </c>
      <c r="J144" s="6">
        <f>Table1[[#This Row],[Profit]]/Table1[[#This Row],[Sales]]</f>
        <v>0.57360172095882</v>
      </c>
      <c r="K144" s="5" t="str">
        <f t="shared" si="2"/>
        <v>Low</v>
      </c>
      <c r="L144" s="5" t="str">
        <f>TEXT(Table1[[#This Row],[Order_Date]],"MMM")</f>
        <v>Sep</v>
      </c>
      <c r="M144" s="5" t="str">
        <f>IF(Table1[[#This Row],[Profit]]&gt;=1000,"Excellent",IF(Table1[[#This Row],[Profit]]&gt;=500,"Good", IF(Table1[[#This Row],[Profit]]&lt;500,"Low")))</f>
        <v>Low</v>
      </c>
      <c r="N144" s="7" t="str">
        <f>TEXT(Table1[[#This Row],[Order_Date]],"YYY")</f>
        <v>2023</v>
      </c>
    </row>
    <row r="145" spans="1:14" x14ac:dyDescent="0.3">
      <c r="A145" s="4">
        <v>45200</v>
      </c>
      <c r="B145" s="5" t="s">
        <v>18</v>
      </c>
      <c r="C145" s="5" t="s">
        <v>26</v>
      </c>
      <c r="D145" s="23">
        <v>632.74</v>
      </c>
      <c r="E145" s="23">
        <v>274.88</v>
      </c>
      <c r="F145" s="23">
        <v>357.86</v>
      </c>
      <c r="G145" s="5" t="s">
        <v>6</v>
      </c>
      <c r="H145" s="5" t="s">
        <v>3</v>
      </c>
      <c r="I145" s="5" t="s">
        <v>17</v>
      </c>
      <c r="J145" s="6">
        <f>Table1[[#This Row],[Profit]]/Table1[[#This Row],[Sales]]</f>
        <v>0.56557195688592476</v>
      </c>
      <c r="K145" s="5" t="str">
        <f t="shared" si="2"/>
        <v>Low</v>
      </c>
      <c r="L145" s="5" t="str">
        <f>TEXT(Table1[[#This Row],[Order_Date]],"MMM")</f>
        <v>Oct</v>
      </c>
      <c r="M145" s="5" t="str">
        <f>IF(Table1[[#This Row],[Profit]]&gt;=1000,"Excellent",IF(Table1[[#This Row],[Profit]]&gt;=500,"Good", IF(Table1[[#This Row],[Profit]]&lt;500,"Low")))</f>
        <v>Low</v>
      </c>
      <c r="N145" s="7" t="str">
        <f>TEXT(Table1[[#This Row],[Order_Date]],"YYY")</f>
        <v>2023</v>
      </c>
    </row>
    <row r="146" spans="1:14" x14ac:dyDescent="0.3">
      <c r="A146" s="4">
        <v>45200</v>
      </c>
      <c r="B146" s="5" t="s">
        <v>16</v>
      </c>
      <c r="C146" s="5" t="s">
        <v>14</v>
      </c>
      <c r="D146" s="23">
        <v>386.57</v>
      </c>
      <c r="E146" s="23">
        <v>147.43</v>
      </c>
      <c r="F146" s="23">
        <v>239.14</v>
      </c>
      <c r="G146" s="5" t="s">
        <v>20</v>
      </c>
      <c r="H146" s="5" t="s">
        <v>10</v>
      </c>
      <c r="I146" s="5" t="s">
        <v>22</v>
      </c>
      <c r="J146" s="6">
        <f>Table1[[#This Row],[Profit]]/Table1[[#This Row],[Sales]]</f>
        <v>0.61862017228445043</v>
      </c>
      <c r="K146" s="5" t="str">
        <f t="shared" si="2"/>
        <v>Low</v>
      </c>
      <c r="L146" s="5" t="str">
        <f>TEXT(Table1[[#This Row],[Order_Date]],"MMM")</f>
        <v>Oct</v>
      </c>
      <c r="M146" s="5" t="str">
        <f>IF(Table1[[#This Row],[Profit]]&gt;=1000,"Excellent",IF(Table1[[#This Row],[Profit]]&gt;=500,"Good", IF(Table1[[#This Row],[Profit]]&lt;500,"Low")))</f>
        <v>Low</v>
      </c>
      <c r="N146" s="7" t="str">
        <f>TEXT(Table1[[#This Row],[Order_Date]],"YYY")</f>
        <v>2023</v>
      </c>
    </row>
    <row r="147" spans="1:14" x14ac:dyDescent="0.3">
      <c r="A147" s="4">
        <v>45201</v>
      </c>
      <c r="B147" s="5" t="s">
        <v>16</v>
      </c>
      <c r="C147" s="5" t="s">
        <v>1</v>
      </c>
      <c r="D147" s="23">
        <v>132.74</v>
      </c>
      <c r="E147" s="23">
        <v>66.680000000000007</v>
      </c>
      <c r="F147" s="23">
        <v>66.06</v>
      </c>
      <c r="G147" s="5" t="s">
        <v>20</v>
      </c>
      <c r="H147" s="5" t="s">
        <v>24</v>
      </c>
      <c r="I147" s="5" t="s">
        <v>22</v>
      </c>
      <c r="J147" s="6">
        <f>Table1[[#This Row],[Profit]]/Table1[[#This Row],[Sales]]</f>
        <v>0.49766460750339009</v>
      </c>
      <c r="K147" s="5" t="str">
        <f t="shared" si="2"/>
        <v>Low</v>
      </c>
      <c r="L147" s="5" t="str">
        <f>TEXT(Table1[[#This Row],[Order_Date]],"MMM")</f>
        <v>Oct</v>
      </c>
      <c r="M147" s="5" t="str">
        <f>IF(Table1[[#This Row],[Profit]]&gt;=1000,"Excellent",IF(Table1[[#This Row],[Profit]]&gt;=500,"Good", IF(Table1[[#This Row],[Profit]]&lt;500,"Low")))</f>
        <v>Low</v>
      </c>
      <c r="N147" s="7" t="str">
        <f>TEXT(Table1[[#This Row],[Order_Date]],"YYY")</f>
        <v>2023</v>
      </c>
    </row>
    <row r="148" spans="1:14" x14ac:dyDescent="0.3">
      <c r="A148" s="4">
        <v>45202</v>
      </c>
      <c r="B148" s="5" t="s">
        <v>18</v>
      </c>
      <c r="C148" s="5" t="s">
        <v>19</v>
      </c>
      <c r="D148" s="23">
        <v>23.1</v>
      </c>
      <c r="E148" s="23">
        <v>5.49</v>
      </c>
      <c r="F148" s="23">
        <v>17.61</v>
      </c>
      <c r="G148" s="5" t="s">
        <v>32</v>
      </c>
      <c r="H148" s="5" t="s">
        <v>28</v>
      </c>
      <c r="I148" s="5" t="s">
        <v>27</v>
      </c>
      <c r="J148" s="6">
        <f>Table1[[#This Row],[Profit]]/Table1[[#This Row],[Sales]]</f>
        <v>0.76233766233766231</v>
      </c>
      <c r="K148" s="5" t="str">
        <f t="shared" si="2"/>
        <v>Low</v>
      </c>
      <c r="L148" s="5" t="str">
        <f>TEXT(Table1[[#This Row],[Order_Date]],"MMM")</f>
        <v>Oct</v>
      </c>
      <c r="M148" s="5" t="str">
        <f>IF(Table1[[#This Row],[Profit]]&gt;=1000,"Excellent",IF(Table1[[#This Row],[Profit]]&gt;=500,"Good", IF(Table1[[#This Row],[Profit]]&lt;500,"Low")))</f>
        <v>Low</v>
      </c>
      <c r="N148" s="7" t="str">
        <f>TEXT(Table1[[#This Row],[Order_Date]],"YYY")</f>
        <v>2023</v>
      </c>
    </row>
    <row r="149" spans="1:14" x14ac:dyDescent="0.3">
      <c r="A149" s="4">
        <v>45202</v>
      </c>
      <c r="B149" s="5" t="s">
        <v>8</v>
      </c>
      <c r="C149" s="5" t="s">
        <v>1</v>
      </c>
      <c r="D149" s="23">
        <v>578.08000000000004</v>
      </c>
      <c r="E149" s="23">
        <v>374.37</v>
      </c>
      <c r="F149" s="23">
        <v>203.71</v>
      </c>
      <c r="G149" s="5" t="s">
        <v>6</v>
      </c>
      <c r="H149" s="5" t="s">
        <v>15</v>
      </c>
      <c r="I149" s="5" t="s">
        <v>4</v>
      </c>
      <c r="J149" s="6">
        <f>Table1[[#This Row],[Profit]]/Table1[[#This Row],[Sales]]</f>
        <v>0.35239067257127038</v>
      </c>
      <c r="K149" s="5" t="str">
        <f t="shared" si="2"/>
        <v>Low</v>
      </c>
      <c r="L149" s="5" t="str">
        <f>TEXT(Table1[[#This Row],[Order_Date]],"MMM")</f>
        <v>Oct</v>
      </c>
      <c r="M149" s="5" t="str">
        <f>IF(Table1[[#This Row],[Profit]]&gt;=1000,"Excellent",IF(Table1[[#This Row],[Profit]]&gt;=500,"Good", IF(Table1[[#This Row],[Profit]]&lt;500,"Low")))</f>
        <v>Low</v>
      </c>
      <c r="N149" s="7" t="str">
        <f>TEXT(Table1[[#This Row],[Order_Date]],"YYY")</f>
        <v>2023</v>
      </c>
    </row>
    <row r="150" spans="1:14" x14ac:dyDescent="0.3">
      <c r="A150" s="4">
        <v>45203</v>
      </c>
      <c r="B150" s="5" t="s">
        <v>18</v>
      </c>
      <c r="C150" s="5" t="s">
        <v>5</v>
      </c>
      <c r="D150" s="23">
        <v>1723.27</v>
      </c>
      <c r="E150" s="23">
        <v>779.77</v>
      </c>
      <c r="F150" s="23">
        <v>943.5</v>
      </c>
      <c r="G150" s="5" t="s">
        <v>2</v>
      </c>
      <c r="H150" s="5" t="s">
        <v>3</v>
      </c>
      <c r="I150" s="5" t="s">
        <v>27</v>
      </c>
      <c r="J150" s="6">
        <f>Table1[[#This Row],[Profit]]/Table1[[#This Row],[Sales]]</f>
        <v>0.54750561432625189</v>
      </c>
      <c r="K150" s="5" t="str">
        <f t="shared" si="2"/>
        <v>Medium</v>
      </c>
      <c r="L150" s="5" t="str">
        <f>TEXT(Table1[[#This Row],[Order_Date]],"MMM")</f>
        <v>Oct</v>
      </c>
      <c r="M150" s="5" t="str">
        <f>IF(Table1[[#This Row],[Profit]]&gt;=1000,"Excellent",IF(Table1[[#This Row],[Profit]]&gt;=500,"Good", IF(Table1[[#This Row],[Profit]]&lt;500,"Low")))</f>
        <v>Good</v>
      </c>
      <c r="N150" s="7" t="str">
        <f>TEXT(Table1[[#This Row],[Order_Date]],"YYY")</f>
        <v>2023</v>
      </c>
    </row>
    <row r="151" spans="1:14" x14ac:dyDescent="0.3">
      <c r="A151" s="4">
        <v>45203</v>
      </c>
      <c r="B151" s="5" t="s">
        <v>13</v>
      </c>
      <c r="C151" s="5" t="s">
        <v>1</v>
      </c>
      <c r="D151" s="23">
        <v>329.14</v>
      </c>
      <c r="E151" s="23">
        <v>188.11</v>
      </c>
      <c r="F151" s="23">
        <v>141.03</v>
      </c>
      <c r="G151" s="5" t="s">
        <v>32</v>
      </c>
      <c r="H151" s="5" t="s">
        <v>37</v>
      </c>
      <c r="I151" s="5" t="s">
        <v>4</v>
      </c>
      <c r="J151" s="6">
        <f>Table1[[#This Row],[Profit]]/Table1[[#This Row],[Sales]]</f>
        <v>0.42848028194689192</v>
      </c>
      <c r="K151" s="5" t="str">
        <f t="shared" si="2"/>
        <v>Low</v>
      </c>
      <c r="L151" s="5" t="str">
        <f>TEXT(Table1[[#This Row],[Order_Date]],"MMM")</f>
        <v>Oct</v>
      </c>
      <c r="M151" s="5" t="str">
        <f>IF(Table1[[#This Row],[Profit]]&gt;=1000,"Excellent",IF(Table1[[#This Row],[Profit]]&gt;=500,"Good", IF(Table1[[#This Row],[Profit]]&lt;500,"Low")))</f>
        <v>Low</v>
      </c>
      <c r="N151" s="7" t="str">
        <f>TEXT(Table1[[#This Row],[Order_Date]],"YYY")</f>
        <v>2023</v>
      </c>
    </row>
    <row r="152" spans="1:14" x14ac:dyDescent="0.3">
      <c r="A152" s="4">
        <v>45204</v>
      </c>
      <c r="B152" s="5" t="s">
        <v>18</v>
      </c>
      <c r="C152" s="5" t="s">
        <v>14</v>
      </c>
      <c r="D152" s="23">
        <v>109.05</v>
      </c>
      <c r="E152" s="23">
        <v>54.05</v>
      </c>
      <c r="F152" s="23">
        <v>55</v>
      </c>
      <c r="G152" s="5" t="s">
        <v>32</v>
      </c>
      <c r="H152" s="5" t="s">
        <v>37</v>
      </c>
      <c r="I152" s="5" t="s">
        <v>4</v>
      </c>
      <c r="J152" s="6">
        <f>Table1[[#This Row],[Profit]]/Table1[[#This Row],[Sales]]</f>
        <v>0.50435580009170111</v>
      </c>
      <c r="K152" s="5" t="str">
        <f t="shared" si="2"/>
        <v>Low</v>
      </c>
      <c r="L152" s="5" t="str">
        <f>TEXT(Table1[[#This Row],[Order_Date]],"MMM")</f>
        <v>Oct</v>
      </c>
      <c r="M152" s="5" t="str">
        <f>IF(Table1[[#This Row],[Profit]]&gt;=1000,"Excellent",IF(Table1[[#This Row],[Profit]]&gt;=500,"Good", IF(Table1[[#This Row],[Profit]]&lt;500,"Low")))</f>
        <v>Low</v>
      </c>
      <c r="N152" s="7" t="str">
        <f>TEXT(Table1[[#This Row],[Order_Date]],"YYY")</f>
        <v>2023</v>
      </c>
    </row>
    <row r="153" spans="1:14" x14ac:dyDescent="0.3">
      <c r="A153" s="4">
        <v>45204</v>
      </c>
      <c r="B153" s="5" t="s">
        <v>16</v>
      </c>
      <c r="C153" s="5" t="s">
        <v>1</v>
      </c>
      <c r="D153" s="23">
        <v>1032.33</v>
      </c>
      <c r="E153" s="23">
        <v>619.5</v>
      </c>
      <c r="F153" s="23">
        <v>412.83</v>
      </c>
      <c r="G153" s="5" t="s">
        <v>6</v>
      </c>
      <c r="H153" s="5" t="s">
        <v>36</v>
      </c>
      <c r="I153" s="5" t="s">
        <v>17</v>
      </c>
      <c r="J153" s="6">
        <f>Table1[[#This Row],[Profit]]/Table1[[#This Row],[Sales]]</f>
        <v>0.39990119438551625</v>
      </c>
      <c r="K153" s="5" t="str">
        <f t="shared" si="2"/>
        <v>Low</v>
      </c>
      <c r="L153" s="5" t="str">
        <f>TEXT(Table1[[#This Row],[Order_Date]],"MMM")</f>
        <v>Oct</v>
      </c>
      <c r="M153" s="5" t="str">
        <f>IF(Table1[[#This Row],[Profit]]&gt;=1000,"Excellent",IF(Table1[[#This Row],[Profit]]&gt;=500,"Good", IF(Table1[[#This Row],[Profit]]&lt;500,"Low")))</f>
        <v>Low</v>
      </c>
      <c r="N153" s="7" t="str">
        <f>TEXT(Table1[[#This Row],[Order_Date]],"YYY")</f>
        <v>2023</v>
      </c>
    </row>
    <row r="154" spans="1:14" x14ac:dyDescent="0.3">
      <c r="A154" s="4">
        <v>45204</v>
      </c>
      <c r="B154" s="5" t="s">
        <v>18</v>
      </c>
      <c r="C154" s="5" t="s">
        <v>19</v>
      </c>
      <c r="D154" s="23">
        <v>20.61</v>
      </c>
      <c r="E154" s="23">
        <v>7.72</v>
      </c>
      <c r="F154" s="23">
        <v>12.89</v>
      </c>
      <c r="G154" s="5" t="s">
        <v>20</v>
      </c>
      <c r="H154" s="5" t="s">
        <v>7</v>
      </c>
      <c r="I154" s="5" t="s">
        <v>22</v>
      </c>
      <c r="J154" s="6">
        <f>Table1[[#This Row],[Profit]]/Table1[[#This Row],[Sales]]</f>
        <v>0.62542455118874341</v>
      </c>
      <c r="K154" s="5" t="str">
        <f t="shared" si="2"/>
        <v>Low</v>
      </c>
      <c r="L154" s="5" t="str">
        <f>TEXT(Table1[[#This Row],[Order_Date]],"MMM")</f>
        <v>Oct</v>
      </c>
      <c r="M154" s="5" t="str">
        <f>IF(Table1[[#This Row],[Profit]]&gt;=1000,"Excellent",IF(Table1[[#This Row],[Profit]]&gt;=500,"Good", IF(Table1[[#This Row],[Profit]]&lt;500,"Low")))</f>
        <v>Low</v>
      </c>
      <c r="N154" s="7" t="str">
        <f>TEXT(Table1[[#This Row],[Order_Date]],"YYY")</f>
        <v>2023</v>
      </c>
    </row>
    <row r="155" spans="1:14" x14ac:dyDescent="0.3">
      <c r="A155" s="4">
        <v>45205</v>
      </c>
      <c r="B155" s="5" t="s">
        <v>16</v>
      </c>
      <c r="C155" s="5" t="s">
        <v>23</v>
      </c>
      <c r="D155" s="23">
        <v>450.91</v>
      </c>
      <c r="E155" s="23">
        <v>220.69</v>
      </c>
      <c r="F155" s="23">
        <v>230.22</v>
      </c>
      <c r="G155" s="5" t="s">
        <v>32</v>
      </c>
      <c r="H155" s="5" t="s">
        <v>12</v>
      </c>
      <c r="I155" s="5" t="s">
        <v>25</v>
      </c>
      <c r="J155" s="6">
        <f>Table1[[#This Row],[Profit]]/Table1[[#This Row],[Sales]]</f>
        <v>0.51056751901709874</v>
      </c>
      <c r="K155" s="5" t="str">
        <f t="shared" si="2"/>
        <v>Low</v>
      </c>
      <c r="L155" s="5" t="str">
        <f>TEXT(Table1[[#This Row],[Order_Date]],"MMM")</f>
        <v>Oct</v>
      </c>
      <c r="M155" s="5" t="str">
        <f>IF(Table1[[#This Row],[Profit]]&gt;=1000,"Excellent",IF(Table1[[#This Row],[Profit]]&gt;=500,"Good", IF(Table1[[#This Row],[Profit]]&lt;500,"Low")))</f>
        <v>Low</v>
      </c>
      <c r="N155" s="7" t="str">
        <f>TEXT(Table1[[#This Row],[Order_Date]],"YYY")</f>
        <v>2023</v>
      </c>
    </row>
    <row r="156" spans="1:14" x14ac:dyDescent="0.3">
      <c r="A156" s="4">
        <v>45205</v>
      </c>
      <c r="B156" s="5" t="s">
        <v>16</v>
      </c>
      <c r="C156" s="5" t="s">
        <v>31</v>
      </c>
      <c r="D156" s="23">
        <v>111.42</v>
      </c>
      <c r="E156" s="23">
        <v>42.84</v>
      </c>
      <c r="F156" s="23">
        <v>68.58</v>
      </c>
      <c r="G156" s="5" t="s">
        <v>2</v>
      </c>
      <c r="H156" s="5" t="s">
        <v>30</v>
      </c>
      <c r="I156" s="5" t="s">
        <v>4</v>
      </c>
      <c r="J156" s="6">
        <f>Table1[[#This Row],[Profit]]/Table1[[#This Row],[Sales]]</f>
        <v>0.61550888529886916</v>
      </c>
      <c r="K156" s="5" t="str">
        <f t="shared" si="2"/>
        <v>Low</v>
      </c>
      <c r="L156" s="5" t="str">
        <f>TEXT(Table1[[#This Row],[Order_Date]],"MMM")</f>
        <v>Oct</v>
      </c>
      <c r="M156" s="5" t="str">
        <f>IF(Table1[[#This Row],[Profit]]&gt;=1000,"Excellent",IF(Table1[[#This Row],[Profit]]&gt;=500,"Good", IF(Table1[[#This Row],[Profit]]&lt;500,"Low")))</f>
        <v>Low</v>
      </c>
      <c r="N156" s="7" t="str">
        <f>TEXT(Table1[[#This Row],[Order_Date]],"YYY")</f>
        <v>2023</v>
      </c>
    </row>
    <row r="157" spans="1:14" x14ac:dyDescent="0.3">
      <c r="A157" s="4">
        <v>45207</v>
      </c>
      <c r="B157" s="5" t="s">
        <v>8</v>
      </c>
      <c r="C157" s="5" t="s">
        <v>19</v>
      </c>
      <c r="D157" s="23">
        <v>47.36</v>
      </c>
      <c r="E157" s="23">
        <v>11.03</v>
      </c>
      <c r="F157" s="23">
        <v>36.33</v>
      </c>
      <c r="G157" s="5" t="s">
        <v>2</v>
      </c>
      <c r="H157" s="5" t="s">
        <v>30</v>
      </c>
      <c r="I157" s="5" t="s">
        <v>25</v>
      </c>
      <c r="J157" s="6">
        <f>Table1[[#This Row],[Profit]]/Table1[[#This Row],[Sales]]</f>
        <v>0.76710304054054046</v>
      </c>
      <c r="K157" s="5" t="str">
        <f t="shared" si="2"/>
        <v>Low</v>
      </c>
      <c r="L157" s="5" t="str">
        <f>TEXT(Table1[[#This Row],[Order_Date]],"MMM")</f>
        <v>Oct</v>
      </c>
      <c r="M157" s="5" t="str">
        <f>IF(Table1[[#This Row],[Profit]]&gt;=1000,"Excellent",IF(Table1[[#This Row],[Profit]]&gt;=500,"Good", IF(Table1[[#This Row],[Profit]]&lt;500,"Low")))</f>
        <v>Low</v>
      </c>
      <c r="N157" s="7" t="str">
        <f>TEXT(Table1[[#This Row],[Order_Date]],"YYY")</f>
        <v>2023</v>
      </c>
    </row>
    <row r="158" spans="1:14" x14ac:dyDescent="0.3">
      <c r="A158" s="4">
        <v>45207</v>
      </c>
      <c r="B158" s="5" t="s">
        <v>0</v>
      </c>
      <c r="C158" s="5" t="s">
        <v>14</v>
      </c>
      <c r="D158" s="23">
        <v>394.09</v>
      </c>
      <c r="E158" s="23">
        <v>211.35</v>
      </c>
      <c r="F158" s="23">
        <v>182.74</v>
      </c>
      <c r="G158" s="5" t="s">
        <v>9</v>
      </c>
      <c r="H158" s="5" t="s">
        <v>12</v>
      </c>
      <c r="I158" s="5" t="s">
        <v>22</v>
      </c>
      <c r="J158" s="6">
        <f>Table1[[#This Row],[Profit]]/Table1[[#This Row],[Sales]]</f>
        <v>0.46370118500850066</v>
      </c>
      <c r="K158" s="5" t="str">
        <f t="shared" si="2"/>
        <v>Low</v>
      </c>
      <c r="L158" s="5" t="str">
        <f>TEXT(Table1[[#This Row],[Order_Date]],"MMM")</f>
        <v>Oct</v>
      </c>
      <c r="M158" s="5" t="str">
        <f>IF(Table1[[#This Row],[Profit]]&gt;=1000,"Excellent",IF(Table1[[#This Row],[Profit]]&gt;=500,"Good", IF(Table1[[#This Row],[Profit]]&lt;500,"Low")))</f>
        <v>Low</v>
      </c>
      <c r="N158" s="7" t="str">
        <f>TEXT(Table1[[#This Row],[Order_Date]],"YYY")</f>
        <v>2023</v>
      </c>
    </row>
    <row r="159" spans="1:14" x14ac:dyDescent="0.3">
      <c r="A159" s="4">
        <v>45207</v>
      </c>
      <c r="B159" s="5" t="s">
        <v>8</v>
      </c>
      <c r="C159" s="5" t="s">
        <v>5</v>
      </c>
      <c r="D159" s="23">
        <v>1310.9</v>
      </c>
      <c r="E159" s="23">
        <v>555.58000000000004</v>
      </c>
      <c r="F159" s="23">
        <v>755.32</v>
      </c>
      <c r="G159" s="5" t="s">
        <v>2</v>
      </c>
      <c r="H159" s="5" t="s">
        <v>7</v>
      </c>
      <c r="I159" s="5" t="s">
        <v>27</v>
      </c>
      <c r="J159" s="6">
        <f>Table1[[#This Row],[Profit]]/Table1[[#This Row],[Sales]]</f>
        <v>0.57618430086200323</v>
      </c>
      <c r="K159" s="5" t="str">
        <f t="shared" si="2"/>
        <v>Low</v>
      </c>
      <c r="L159" s="5" t="str">
        <f>TEXT(Table1[[#This Row],[Order_Date]],"MMM")</f>
        <v>Oct</v>
      </c>
      <c r="M159" s="5" t="str">
        <f>IF(Table1[[#This Row],[Profit]]&gt;=1000,"Excellent",IF(Table1[[#This Row],[Profit]]&gt;=500,"Good", IF(Table1[[#This Row],[Profit]]&lt;500,"Low")))</f>
        <v>Good</v>
      </c>
      <c r="N159" s="7" t="str">
        <f>TEXT(Table1[[#This Row],[Order_Date]],"YYY")</f>
        <v>2023</v>
      </c>
    </row>
    <row r="160" spans="1:14" x14ac:dyDescent="0.3">
      <c r="A160" s="4">
        <v>45207</v>
      </c>
      <c r="B160" s="5" t="s">
        <v>8</v>
      </c>
      <c r="C160" s="5" t="s">
        <v>23</v>
      </c>
      <c r="D160" s="23">
        <v>656.25</v>
      </c>
      <c r="E160" s="23">
        <v>210.8</v>
      </c>
      <c r="F160" s="23">
        <v>445.45</v>
      </c>
      <c r="G160" s="5" t="s">
        <v>32</v>
      </c>
      <c r="H160" s="5" t="s">
        <v>24</v>
      </c>
      <c r="I160" s="5" t="s">
        <v>22</v>
      </c>
      <c r="J160" s="6">
        <f>Table1[[#This Row],[Profit]]/Table1[[#This Row],[Sales]]</f>
        <v>0.67878095238095237</v>
      </c>
      <c r="K160" s="5" t="str">
        <f t="shared" si="2"/>
        <v>Low</v>
      </c>
      <c r="L160" s="5" t="str">
        <f>TEXT(Table1[[#This Row],[Order_Date]],"MMM")</f>
        <v>Oct</v>
      </c>
      <c r="M160" s="5" t="str">
        <f>IF(Table1[[#This Row],[Profit]]&gt;=1000,"Excellent",IF(Table1[[#This Row],[Profit]]&gt;=500,"Good", IF(Table1[[#This Row],[Profit]]&lt;500,"Low")))</f>
        <v>Low</v>
      </c>
      <c r="N160" s="7" t="str">
        <f>TEXT(Table1[[#This Row],[Order_Date]],"YYY")</f>
        <v>2023</v>
      </c>
    </row>
    <row r="161" spans="1:14" x14ac:dyDescent="0.3">
      <c r="A161" s="4">
        <v>45207</v>
      </c>
      <c r="B161" s="5" t="s">
        <v>16</v>
      </c>
      <c r="C161" s="5" t="s">
        <v>14</v>
      </c>
      <c r="D161" s="23">
        <v>365.7</v>
      </c>
      <c r="E161" s="23">
        <v>139.13</v>
      </c>
      <c r="F161" s="23">
        <v>226.57</v>
      </c>
      <c r="G161" s="5" t="s">
        <v>6</v>
      </c>
      <c r="H161" s="5" t="s">
        <v>24</v>
      </c>
      <c r="I161" s="5" t="s">
        <v>17</v>
      </c>
      <c r="J161" s="6">
        <f>Table1[[#This Row],[Profit]]/Table1[[#This Row],[Sales]]</f>
        <v>0.61955154498222587</v>
      </c>
      <c r="K161" s="5" t="str">
        <f t="shared" si="2"/>
        <v>Low</v>
      </c>
      <c r="L161" s="5" t="str">
        <f>TEXT(Table1[[#This Row],[Order_Date]],"MMM")</f>
        <v>Oct</v>
      </c>
      <c r="M161" s="5" t="str">
        <f>IF(Table1[[#This Row],[Profit]]&gt;=1000,"Excellent",IF(Table1[[#This Row],[Profit]]&gt;=500,"Good", IF(Table1[[#This Row],[Profit]]&lt;500,"Low")))</f>
        <v>Low</v>
      </c>
      <c r="N161" s="7" t="str">
        <f>TEXT(Table1[[#This Row],[Order_Date]],"YYY")</f>
        <v>2023</v>
      </c>
    </row>
    <row r="162" spans="1:14" x14ac:dyDescent="0.3">
      <c r="A162" s="4">
        <v>45208</v>
      </c>
      <c r="B162" s="5" t="s">
        <v>18</v>
      </c>
      <c r="C162" s="5" t="s">
        <v>26</v>
      </c>
      <c r="D162" s="23">
        <v>1070.8399999999999</v>
      </c>
      <c r="E162" s="23">
        <v>296.39999999999998</v>
      </c>
      <c r="F162" s="23">
        <v>774.44</v>
      </c>
      <c r="G162" s="5" t="s">
        <v>6</v>
      </c>
      <c r="H162" s="5" t="s">
        <v>15</v>
      </c>
      <c r="I162" s="5" t="s">
        <v>25</v>
      </c>
      <c r="J162" s="6">
        <f>Table1[[#This Row],[Profit]]/Table1[[#This Row],[Sales]]</f>
        <v>0.72320794889992912</v>
      </c>
      <c r="K162" s="5" t="str">
        <f t="shared" si="2"/>
        <v>Low</v>
      </c>
      <c r="L162" s="5" t="str">
        <f>TEXT(Table1[[#This Row],[Order_Date]],"MMM")</f>
        <v>Oct</v>
      </c>
      <c r="M162" s="5" t="str">
        <f>IF(Table1[[#This Row],[Profit]]&gt;=1000,"Excellent",IF(Table1[[#This Row],[Profit]]&gt;=500,"Good", IF(Table1[[#This Row],[Profit]]&lt;500,"Low")))</f>
        <v>Good</v>
      </c>
      <c r="N162" s="7" t="str">
        <f>TEXT(Table1[[#This Row],[Order_Date]],"YYY")</f>
        <v>2023</v>
      </c>
    </row>
    <row r="163" spans="1:14" x14ac:dyDescent="0.3">
      <c r="A163" s="4">
        <v>45210</v>
      </c>
      <c r="B163" s="5" t="s">
        <v>18</v>
      </c>
      <c r="C163" s="5" t="s">
        <v>14</v>
      </c>
      <c r="D163" s="23">
        <v>178.3</v>
      </c>
      <c r="E163" s="23">
        <v>62.93</v>
      </c>
      <c r="F163" s="23">
        <v>115.37</v>
      </c>
      <c r="G163" s="5" t="s">
        <v>6</v>
      </c>
      <c r="H163" s="5" t="s">
        <v>28</v>
      </c>
      <c r="I163" s="5" t="s">
        <v>25</v>
      </c>
      <c r="J163" s="6">
        <f>Table1[[#This Row],[Profit]]/Table1[[#This Row],[Sales]]</f>
        <v>0.64705552439708358</v>
      </c>
      <c r="K163" s="5" t="str">
        <f t="shared" si="2"/>
        <v>Low</v>
      </c>
      <c r="L163" s="5" t="str">
        <f>TEXT(Table1[[#This Row],[Order_Date]],"MMM")</f>
        <v>Oct</v>
      </c>
      <c r="M163" s="5" t="str">
        <f>IF(Table1[[#This Row],[Profit]]&gt;=1000,"Excellent",IF(Table1[[#This Row],[Profit]]&gt;=500,"Good", IF(Table1[[#This Row],[Profit]]&lt;500,"Low")))</f>
        <v>Low</v>
      </c>
      <c r="N163" s="7" t="str">
        <f>TEXT(Table1[[#This Row],[Order_Date]],"YYY")</f>
        <v>2023</v>
      </c>
    </row>
    <row r="164" spans="1:14" x14ac:dyDescent="0.3">
      <c r="A164" s="4">
        <v>45210</v>
      </c>
      <c r="B164" s="5" t="s">
        <v>18</v>
      </c>
      <c r="C164" s="5" t="s">
        <v>5</v>
      </c>
      <c r="D164" s="23">
        <v>1771.5</v>
      </c>
      <c r="E164" s="23">
        <v>724.69</v>
      </c>
      <c r="F164" s="23">
        <v>1046.81</v>
      </c>
      <c r="G164" s="5" t="s">
        <v>32</v>
      </c>
      <c r="H164" s="5" t="s">
        <v>35</v>
      </c>
      <c r="I164" s="5" t="s">
        <v>27</v>
      </c>
      <c r="J164" s="6">
        <f>Table1[[#This Row],[Profit]]/Table1[[#This Row],[Sales]]</f>
        <v>0.59091730172170476</v>
      </c>
      <c r="K164" s="5" t="str">
        <f t="shared" si="2"/>
        <v>Medium</v>
      </c>
      <c r="L164" s="5" t="str">
        <f>TEXT(Table1[[#This Row],[Order_Date]],"MMM")</f>
        <v>Oct</v>
      </c>
      <c r="M164" s="5" t="str">
        <f>IF(Table1[[#This Row],[Profit]]&gt;=1000,"Excellent",IF(Table1[[#This Row],[Profit]]&gt;=500,"Good", IF(Table1[[#This Row],[Profit]]&lt;500,"Low")))</f>
        <v>Excellent</v>
      </c>
      <c r="N164" s="7" t="str">
        <f>TEXT(Table1[[#This Row],[Order_Date]],"YYY")</f>
        <v>2023</v>
      </c>
    </row>
    <row r="165" spans="1:14" x14ac:dyDescent="0.3">
      <c r="A165" s="4">
        <v>45211</v>
      </c>
      <c r="B165" s="5" t="s">
        <v>16</v>
      </c>
      <c r="C165" s="5" t="s">
        <v>1</v>
      </c>
      <c r="D165" s="23">
        <v>1010.68</v>
      </c>
      <c r="E165" s="23">
        <v>540.70000000000005</v>
      </c>
      <c r="F165" s="23">
        <v>469.98</v>
      </c>
      <c r="G165" s="5" t="s">
        <v>32</v>
      </c>
      <c r="H165" s="5" t="s">
        <v>21</v>
      </c>
      <c r="I165" s="5" t="s">
        <v>11</v>
      </c>
      <c r="J165" s="6">
        <f>Table1[[#This Row],[Profit]]/Table1[[#This Row],[Sales]]</f>
        <v>0.46501365417342783</v>
      </c>
      <c r="K165" s="5" t="str">
        <f t="shared" si="2"/>
        <v>Low</v>
      </c>
      <c r="L165" s="5" t="str">
        <f>TEXT(Table1[[#This Row],[Order_Date]],"MMM")</f>
        <v>Oct</v>
      </c>
      <c r="M165" s="5" t="str">
        <f>IF(Table1[[#This Row],[Profit]]&gt;=1000,"Excellent",IF(Table1[[#This Row],[Profit]]&gt;=500,"Good", IF(Table1[[#This Row],[Profit]]&lt;500,"Low")))</f>
        <v>Low</v>
      </c>
      <c r="N165" s="7" t="str">
        <f>TEXT(Table1[[#This Row],[Order_Date]],"YYY")</f>
        <v>2023</v>
      </c>
    </row>
    <row r="166" spans="1:14" x14ac:dyDescent="0.3">
      <c r="A166" s="4">
        <v>45214</v>
      </c>
      <c r="B166" s="5" t="s">
        <v>0</v>
      </c>
      <c r="C166" s="5" t="s">
        <v>5</v>
      </c>
      <c r="D166" s="23">
        <v>1154.93</v>
      </c>
      <c r="E166" s="23">
        <v>373.18</v>
      </c>
      <c r="F166" s="23">
        <v>781.75</v>
      </c>
      <c r="G166" s="5" t="s">
        <v>6</v>
      </c>
      <c r="H166" s="5" t="s">
        <v>29</v>
      </c>
      <c r="I166" s="5" t="s">
        <v>22</v>
      </c>
      <c r="J166" s="6">
        <f>Table1[[#This Row],[Profit]]/Table1[[#This Row],[Sales]]</f>
        <v>0.67688084992164022</v>
      </c>
      <c r="K166" s="5" t="str">
        <f t="shared" si="2"/>
        <v>Low</v>
      </c>
      <c r="L166" s="5" t="str">
        <f>TEXT(Table1[[#This Row],[Order_Date]],"MMM")</f>
        <v>Oct</v>
      </c>
      <c r="M166" s="5" t="str">
        <f>IF(Table1[[#This Row],[Profit]]&gt;=1000,"Excellent",IF(Table1[[#This Row],[Profit]]&gt;=500,"Good", IF(Table1[[#This Row],[Profit]]&lt;500,"Low")))</f>
        <v>Good</v>
      </c>
      <c r="N166" s="7" t="str">
        <f>TEXT(Table1[[#This Row],[Order_Date]],"YYY")</f>
        <v>2023</v>
      </c>
    </row>
    <row r="167" spans="1:14" x14ac:dyDescent="0.3">
      <c r="A167" s="4">
        <v>45217</v>
      </c>
      <c r="B167" s="5" t="s">
        <v>16</v>
      </c>
      <c r="C167" s="5" t="s">
        <v>31</v>
      </c>
      <c r="D167" s="23">
        <v>195</v>
      </c>
      <c r="E167" s="23">
        <v>75.95</v>
      </c>
      <c r="F167" s="23">
        <v>119.05</v>
      </c>
      <c r="G167" s="5" t="s">
        <v>2</v>
      </c>
      <c r="H167" s="5" t="s">
        <v>15</v>
      </c>
      <c r="I167" s="5" t="s">
        <v>11</v>
      </c>
      <c r="J167" s="6">
        <f>Table1[[#This Row],[Profit]]/Table1[[#This Row],[Sales]]</f>
        <v>0.61051282051282052</v>
      </c>
      <c r="K167" s="5" t="str">
        <f t="shared" si="2"/>
        <v>Low</v>
      </c>
      <c r="L167" s="5" t="str">
        <f>TEXT(Table1[[#This Row],[Order_Date]],"MMM")</f>
        <v>Oct</v>
      </c>
      <c r="M167" s="5" t="str">
        <f>IF(Table1[[#This Row],[Profit]]&gt;=1000,"Excellent",IF(Table1[[#This Row],[Profit]]&gt;=500,"Good", IF(Table1[[#This Row],[Profit]]&lt;500,"Low")))</f>
        <v>Low</v>
      </c>
      <c r="N167" s="7" t="str">
        <f>TEXT(Table1[[#This Row],[Order_Date]],"YYY")</f>
        <v>2023</v>
      </c>
    </row>
    <row r="168" spans="1:14" x14ac:dyDescent="0.3">
      <c r="A168" s="4">
        <v>45219</v>
      </c>
      <c r="B168" s="5" t="s">
        <v>13</v>
      </c>
      <c r="C168" s="5" t="s">
        <v>19</v>
      </c>
      <c r="D168" s="23">
        <v>50.31</v>
      </c>
      <c r="E168" s="23">
        <v>21.44</v>
      </c>
      <c r="F168" s="23">
        <v>28.87</v>
      </c>
      <c r="G168" s="5" t="s">
        <v>20</v>
      </c>
      <c r="H168" s="5" t="s">
        <v>34</v>
      </c>
      <c r="I168" s="5" t="s">
        <v>22</v>
      </c>
      <c r="J168" s="6">
        <f>Table1[[#This Row],[Profit]]/Table1[[#This Row],[Sales]]</f>
        <v>0.57384217849334129</v>
      </c>
      <c r="K168" s="5" t="str">
        <f t="shared" si="2"/>
        <v>Low</v>
      </c>
      <c r="L168" s="5" t="str">
        <f>TEXT(Table1[[#This Row],[Order_Date]],"MMM")</f>
        <v>Oct</v>
      </c>
      <c r="M168" s="5" t="str">
        <f>IF(Table1[[#This Row],[Profit]]&gt;=1000,"Excellent",IF(Table1[[#This Row],[Profit]]&gt;=500,"Good", IF(Table1[[#This Row],[Profit]]&lt;500,"Low")))</f>
        <v>Low</v>
      </c>
      <c r="N168" s="7" t="str">
        <f>TEXT(Table1[[#This Row],[Order_Date]],"YYY")</f>
        <v>2023</v>
      </c>
    </row>
    <row r="169" spans="1:14" x14ac:dyDescent="0.3">
      <c r="A169" s="4">
        <v>45219</v>
      </c>
      <c r="B169" s="5" t="s">
        <v>16</v>
      </c>
      <c r="C169" s="5" t="s">
        <v>14</v>
      </c>
      <c r="D169" s="23">
        <v>84.79</v>
      </c>
      <c r="E169" s="23">
        <v>33.299999999999997</v>
      </c>
      <c r="F169" s="23">
        <v>51.49</v>
      </c>
      <c r="G169" s="5" t="s">
        <v>20</v>
      </c>
      <c r="H169" s="5" t="s">
        <v>36</v>
      </c>
      <c r="I169" s="5" t="s">
        <v>17</v>
      </c>
      <c r="J169" s="6">
        <f>Table1[[#This Row],[Profit]]/Table1[[#This Row],[Sales]]</f>
        <v>0.60726500766599834</v>
      </c>
      <c r="K169" s="5" t="str">
        <f t="shared" si="2"/>
        <v>Low</v>
      </c>
      <c r="L169" s="5" t="str">
        <f>TEXT(Table1[[#This Row],[Order_Date]],"MMM")</f>
        <v>Oct</v>
      </c>
      <c r="M169" s="5" t="str">
        <f>IF(Table1[[#This Row],[Profit]]&gt;=1000,"Excellent",IF(Table1[[#This Row],[Profit]]&gt;=500,"Good", IF(Table1[[#This Row],[Profit]]&lt;500,"Low")))</f>
        <v>Low</v>
      </c>
      <c r="N169" s="7" t="str">
        <f>TEXT(Table1[[#This Row],[Order_Date]],"YYY")</f>
        <v>2023</v>
      </c>
    </row>
    <row r="170" spans="1:14" x14ac:dyDescent="0.3">
      <c r="A170" s="4">
        <v>45219</v>
      </c>
      <c r="B170" s="5" t="s">
        <v>18</v>
      </c>
      <c r="C170" s="5" t="s">
        <v>5</v>
      </c>
      <c r="D170" s="23">
        <v>842.84</v>
      </c>
      <c r="E170" s="23">
        <v>291.85000000000002</v>
      </c>
      <c r="F170" s="23">
        <v>550.99</v>
      </c>
      <c r="G170" s="5" t="s">
        <v>2</v>
      </c>
      <c r="H170" s="5" t="s">
        <v>12</v>
      </c>
      <c r="I170" s="5" t="s">
        <v>11</v>
      </c>
      <c r="J170" s="6">
        <f>Table1[[#This Row],[Profit]]/Table1[[#This Row],[Sales]]</f>
        <v>0.65373024536092261</v>
      </c>
      <c r="K170" s="5" t="str">
        <f t="shared" si="2"/>
        <v>Low</v>
      </c>
      <c r="L170" s="5" t="str">
        <f>TEXT(Table1[[#This Row],[Order_Date]],"MMM")</f>
        <v>Oct</v>
      </c>
      <c r="M170" s="5" t="str">
        <f>IF(Table1[[#This Row],[Profit]]&gt;=1000,"Excellent",IF(Table1[[#This Row],[Profit]]&gt;=500,"Good", IF(Table1[[#This Row],[Profit]]&lt;500,"Low")))</f>
        <v>Good</v>
      </c>
      <c r="N170" s="7" t="str">
        <f>TEXT(Table1[[#This Row],[Order_Date]],"YYY")</f>
        <v>2023</v>
      </c>
    </row>
    <row r="171" spans="1:14" x14ac:dyDescent="0.3">
      <c r="A171" s="4">
        <v>45219</v>
      </c>
      <c r="B171" s="5" t="s">
        <v>13</v>
      </c>
      <c r="C171" s="5" t="s">
        <v>26</v>
      </c>
      <c r="D171" s="23">
        <v>1131.72</v>
      </c>
      <c r="E171" s="23">
        <v>367.26</v>
      </c>
      <c r="F171" s="23">
        <v>764.46</v>
      </c>
      <c r="G171" s="5" t="s">
        <v>20</v>
      </c>
      <c r="H171" s="5" t="s">
        <v>35</v>
      </c>
      <c r="I171" s="5" t="s">
        <v>25</v>
      </c>
      <c r="J171" s="6">
        <f>Table1[[#This Row],[Profit]]/Table1[[#This Row],[Sales]]</f>
        <v>0.67548510232212922</v>
      </c>
      <c r="K171" s="5" t="str">
        <f t="shared" si="2"/>
        <v>Low</v>
      </c>
      <c r="L171" s="5" t="str">
        <f>TEXT(Table1[[#This Row],[Order_Date]],"MMM")</f>
        <v>Oct</v>
      </c>
      <c r="M171" s="5" t="str">
        <f>IF(Table1[[#This Row],[Profit]]&gt;=1000,"Excellent",IF(Table1[[#This Row],[Profit]]&gt;=500,"Good", IF(Table1[[#This Row],[Profit]]&lt;500,"Low")))</f>
        <v>Good</v>
      </c>
      <c r="N171" s="7" t="str">
        <f>TEXT(Table1[[#This Row],[Order_Date]],"YYY")</f>
        <v>2023</v>
      </c>
    </row>
    <row r="172" spans="1:14" x14ac:dyDescent="0.3">
      <c r="A172" s="4">
        <v>45220</v>
      </c>
      <c r="B172" s="5" t="s">
        <v>0</v>
      </c>
      <c r="C172" s="5" t="s">
        <v>14</v>
      </c>
      <c r="D172" s="23">
        <v>386.54</v>
      </c>
      <c r="E172" s="23">
        <v>212.09</v>
      </c>
      <c r="F172" s="23">
        <v>174.45</v>
      </c>
      <c r="G172" s="5" t="s">
        <v>32</v>
      </c>
      <c r="H172" s="5" t="s">
        <v>35</v>
      </c>
      <c r="I172" s="5" t="s">
        <v>22</v>
      </c>
      <c r="J172" s="6">
        <f>Table1[[#This Row],[Profit]]/Table1[[#This Row],[Sales]]</f>
        <v>0.45131163657060064</v>
      </c>
      <c r="K172" s="5" t="str">
        <f t="shared" si="2"/>
        <v>Low</v>
      </c>
      <c r="L172" s="5" t="str">
        <f>TEXT(Table1[[#This Row],[Order_Date]],"MMM")</f>
        <v>Oct</v>
      </c>
      <c r="M172" s="5" t="str">
        <f>IF(Table1[[#This Row],[Profit]]&gt;=1000,"Excellent",IF(Table1[[#This Row],[Profit]]&gt;=500,"Good", IF(Table1[[#This Row],[Profit]]&lt;500,"Low")))</f>
        <v>Low</v>
      </c>
      <c r="N172" s="7" t="str">
        <f>TEXT(Table1[[#This Row],[Order_Date]],"YYY")</f>
        <v>2023</v>
      </c>
    </row>
    <row r="173" spans="1:14" x14ac:dyDescent="0.3">
      <c r="A173" s="4">
        <v>45220</v>
      </c>
      <c r="B173" s="5" t="s">
        <v>0</v>
      </c>
      <c r="C173" s="5" t="s">
        <v>31</v>
      </c>
      <c r="D173" s="23">
        <v>46.41</v>
      </c>
      <c r="E173" s="23">
        <v>16.95</v>
      </c>
      <c r="F173" s="23">
        <v>29.46</v>
      </c>
      <c r="G173" s="5" t="s">
        <v>20</v>
      </c>
      <c r="H173" s="5" t="s">
        <v>35</v>
      </c>
      <c r="I173" s="5" t="s">
        <v>22</v>
      </c>
      <c r="J173" s="6">
        <f>Table1[[#This Row],[Profit]]/Table1[[#This Row],[Sales]]</f>
        <v>0.63477698771816427</v>
      </c>
      <c r="K173" s="5" t="str">
        <f t="shared" si="2"/>
        <v>Low</v>
      </c>
      <c r="L173" s="5" t="str">
        <f>TEXT(Table1[[#This Row],[Order_Date]],"MMM")</f>
        <v>Oct</v>
      </c>
      <c r="M173" s="5" t="str">
        <f>IF(Table1[[#This Row],[Profit]]&gt;=1000,"Excellent",IF(Table1[[#This Row],[Profit]]&gt;=500,"Good", IF(Table1[[#This Row],[Profit]]&lt;500,"Low")))</f>
        <v>Low</v>
      </c>
      <c r="N173" s="7" t="str">
        <f>TEXT(Table1[[#This Row],[Order_Date]],"YYY")</f>
        <v>2023</v>
      </c>
    </row>
    <row r="174" spans="1:14" x14ac:dyDescent="0.3">
      <c r="A174" s="4">
        <v>45220</v>
      </c>
      <c r="B174" s="5" t="s">
        <v>18</v>
      </c>
      <c r="C174" s="5" t="s">
        <v>23</v>
      </c>
      <c r="D174" s="23">
        <v>358.19</v>
      </c>
      <c r="E174" s="23">
        <v>169.23</v>
      </c>
      <c r="F174" s="23">
        <v>188.96</v>
      </c>
      <c r="G174" s="5" t="s">
        <v>2</v>
      </c>
      <c r="H174" s="5" t="s">
        <v>28</v>
      </c>
      <c r="I174" s="5" t="s">
        <v>22</v>
      </c>
      <c r="J174" s="6">
        <f>Table1[[#This Row],[Profit]]/Table1[[#This Row],[Sales]]</f>
        <v>0.52754124905776267</v>
      </c>
      <c r="K174" s="5" t="str">
        <f t="shared" si="2"/>
        <v>Low</v>
      </c>
      <c r="L174" s="5" t="str">
        <f>TEXT(Table1[[#This Row],[Order_Date]],"MMM")</f>
        <v>Oct</v>
      </c>
      <c r="M174" s="5" t="str">
        <f>IF(Table1[[#This Row],[Profit]]&gt;=1000,"Excellent",IF(Table1[[#This Row],[Profit]]&gt;=500,"Good", IF(Table1[[#This Row],[Profit]]&lt;500,"Low")))</f>
        <v>Low</v>
      </c>
      <c r="N174" s="7" t="str">
        <f>TEXT(Table1[[#This Row],[Order_Date]],"YYY")</f>
        <v>2023</v>
      </c>
    </row>
    <row r="175" spans="1:14" x14ac:dyDescent="0.3">
      <c r="A175" s="4">
        <v>45221</v>
      </c>
      <c r="B175" s="5" t="s">
        <v>13</v>
      </c>
      <c r="C175" s="5" t="s">
        <v>26</v>
      </c>
      <c r="D175" s="23">
        <v>496.18</v>
      </c>
      <c r="E175" s="23">
        <v>167.91</v>
      </c>
      <c r="F175" s="23">
        <v>328.27</v>
      </c>
      <c r="G175" s="5" t="s">
        <v>2</v>
      </c>
      <c r="H175" s="5" t="s">
        <v>12</v>
      </c>
      <c r="I175" s="5" t="s">
        <v>27</v>
      </c>
      <c r="J175" s="6">
        <f>Table1[[#This Row],[Profit]]/Table1[[#This Row],[Sales]]</f>
        <v>0.66159458261114912</v>
      </c>
      <c r="K175" s="5" t="str">
        <f t="shared" si="2"/>
        <v>Low</v>
      </c>
      <c r="L175" s="5" t="str">
        <f>TEXT(Table1[[#This Row],[Order_Date]],"MMM")</f>
        <v>Oct</v>
      </c>
      <c r="M175" s="5" t="str">
        <f>IF(Table1[[#This Row],[Profit]]&gt;=1000,"Excellent",IF(Table1[[#This Row],[Profit]]&gt;=500,"Good", IF(Table1[[#This Row],[Profit]]&lt;500,"Low")))</f>
        <v>Low</v>
      </c>
      <c r="N175" s="7" t="str">
        <f>TEXT(Table1[[#This Row],[Order_Date]],"YYY")</f>
        <v>2023</v>
      </c>
    </row>
    <row r="176" spans="1:14" x14ac:dyDescent="0.3">
      <c r="A176" s="4">
        <v>45221</v>
      </c>
      <c r="B176" s="5" t="s">
        <v>0</v>
      </c>
      <c r="C176" s="5" t="s">
        <v>14</v>
      </c>
      <c r="D176" s="23">
        <v>171.52</v>
      </c>
      <c r="E176" s="23">
        <v>81.41</v>
      </c>
      <c r="F176" s="23">
        <v>90.11</v>
      </c>
      <c r="G176" s="5" t="s">
        <v>20</v>
      </c>
      <c r="H176" s="5" t="s">
        <v>34</v>
      </c>
      <c r="I176" s="5" t="s">
        <v>17</v>
      </c>
      <c r="J176" s="6">
        <f>Table1[[#This Row],[Profit]]/Table1[[#This Row],[Sales]]</f>
        <v>0.52536147388059695</v>
      </c>
      <c r="K176" s="5" t="str">
        <f t="shared" si="2"/>
        <v>Low</v>
      </c>
      <c r="L176" s="5" t="str">
        <f>TEXT(Table1[[#This Row],[Order_Date]],"MMM")</f>
        <v>Oct</v>
      </c>
      <c r="M176" s="5" t="str">
        <f>IF(Table1[[#This Row],[Profit]]&gt;=1000,"Excellent",IF(Table1[[#This Row],[Profit]]&gt;=500,"Good", IF(Table1[[#This Row],[Profit]]&lt;500,"Low")))</f>
        <v>Low</v>
      </c>
      <c r="N176" s="7" t="str">
        <f>TEXT(Table1[[#This Row],[Order_Date]],"YYY")</f>
        <v>2023</v>
      </c>
    </row>
    <row r="177" spans="1:14" x14ac:dyDescent="0.3">
      <c r="A177" s="4">
        <v>45222</v>
      </c>
      <c r="B177" s="5" t="s">
        <v>8</v>
      </c>
      <c r="C177" s="5" t="s">
        <v>1</v>
      </c>
      <c r="D177" s="23">
        <v>862.04</v>
      </c>
      <c r="E177" s="23">
        <v>392.51</v>
      </c>
      <c r="F177" s="23">
        <v>469.53</v>
      </c>
      <c r="G177" s="5" t="s">
        <v>32</v>
      </c>
      <c r="H177" s="5" t="s">
        <v>35</v>
      </c>
      <c r="I177" s="5" t="s">
        <v>27</v>
      </c>
      <c r="J177" s="6">
        <f>Table1[[#This Row],[Profit]]/Table1[[#This Row],[Sales]]</f>
        <v>0.54467310101619415</v>
      </c>
      <c r="K177" s="5" t="str">
        <f t="shared" si="2"/>
        <v>Low</v>
      </c>
      <c r="L177" s="5" t="str">
        <f>TEXT(Table1[[#This Row],[Order_Date]],"MMM")</f>
        <v>Oct</v>
      </c>
      <c r="M177" s="5" t="str">
        <f>IF(Table1[[#This Row],[Profit]]&gt;=1000,"Excellent",IF(Table1[[#This Row],[Profit]]&gt;=500,"Good", IF(Table1[[#This Row],[Profit]]&lt;500,"Low")))</f>
        <v>Low</v>
      </c>
      <c r="N177" s="7" t="str">
        <f>TEXT(Table1[[#This Row],[Order_Date]],"YYY")</f>
        <v>2023</v>
      </c>
    </row>
    <row r="178" spans="1:14" x14ac:dyDescent="0.3">
      <c r="A178" s="4">
        <v>45222</v>
      </c>
      <c r="B178" s="5" t="s">
        <v>18</v>
      </c>
      <c r="C178" s="5" t="s">
        <v>5</v>
      </c>
      <c r="D178" s="23">
        <v>987.47</v>
      </c>
      <c r="E178" s="23">
        <v>484.03</v>
      </c>
      <c r="F178" s="23">
        <v>503.44</v>
      </c>
      <c r="G178" s="5" t="s">
        <v>2</v>
      </c>
      <c r="H178" s="5" t="s">
        <v>33</v>
      </c>
      <c r="I178" s="5" t="s">
        <v>17</v>
      </c>
      <c r="J178" s="6">
        <f>Table1[[#This Row],[Profit]]/Table1[[#This Row],[Sales]]</f>
        <v>0.50982814667787379</v>
      </c>
      <c r="K178" s="5" t="str">
        <f t="shared" si="2"/>
        <v>Low</v>
      </c>
      <c r="L178" s="5" t="str">
        <f>TEXT(Table1[[#This Row],[Order_Date]],"MMM")</f>
        <v>Oct</v>
      </c>
      <c r="M178" s="5" t="str">
        <f>IF(Table1[[#This Row],[Profit]]&gt;=1000,"Excellent",IF(Table1[[#This Row],[Profit]]&gt;=500,"Good", IF(Table1[[#This Row],[Profit]]&lt;500,"Low")))</f>
        <v>Good</v>
      </c>
      <c r="N178" s="7" t="str">
        <f>TEXT(Table1[[#This Row],[Order_Date]],"YYY")</f>
        <v>2023</v>
      </c>
    </row>
    <row r="179" spans="1:14" x14ac:dyDescent="0.3">
      <c r="A179" s="4">
        <v>45222</v>
      </c>
      <c r="B179" s="5" t="s">
        <v>8</v>
      </c>
      <c r="C179" s="5" t="s">
        <v>19</v>
      </c>
      <c r="D179" s="23">
        <v>43.6</v>
      </c>
      <c r="E179" s="23">
        <v>18.96</v>
      </c>
      <c r="F179" s="23">
        <v>24.64</v>
      </c>
      <c r="G179" s="5" t="s">
        <v>32</v>
      </c>
      <c r="H179" s="5" t="s">
        <v>12</v>
      </c>
      <c r="I179" s="5" t="s">
        <v>22</v>
      </c>
      <c r="J179" s="6">
        <f>Table1[[#This Row],[Profit]]/Table1[[#This Row],[Sales]]</f>
        <v>0.56513761467889911</v>
      </c>
      <c r="K179" s="5" t="str">
        <f t="shared" si="2"/>
        <v>Low</v>
      </c>
      <c r="L179" s="5" t="str">
        <f>TEXT(Table1[[#This Row],[Order_Date]],"MMM")</f>
        <v>Oct</v>
      </c>
      <c r="M179" s="5" t="str">
        <f>IF(Table1[[#This Row],[Profit]]&gt;=1000,"Excellent",IF(Table1[[#This Row],[Profit]]&gt;=500,"Good", IF(Table1[[#This Row],[Profit]]&lt;500,"Low")))</f>
        <v>Low</v>
      </c>
      <c r="N179" s="7" t="str">
        <f>TEXT(Table1[[#This Row],[Order_Date]],"YYY")</f>
        <v>2023</v>
      </c>
    </row>
    <row r="180" spans="1:14" x14ac:dyDescent="0.3">
      <c r="A180" s="4">
        <v>45222</v>
      </c>
      <c r="B180" s="5" t="s">
        <v>13</v>
      </c>
      <c r="C180" s="5" t="s">
        <v>19</v>
      </c>
      <c r="D180" s="23">
        <v>22.35</v>
      </c>
      <c r="E180" s="23">
        <v>5.03</v>
      </c>
      <c r="F180" s="23">
        <v>17.32</v>
      </c>
      <c r="G180" s="5" t="s">
        <v>20</v>
      </c>
      <c r="H180" s="5" t="s">
        <v>30</v>
      </c>
      <c r="I180" s="5" t="s">
        <v>4</v>
      </c>
      <c r="J180" s="6">
        <f>Table1[[#This Row],[Profit]]/Table1[[#This Row],[Sales]]</f>
        <v>0.77494407158836687</v>
      </c>
      <c r="K180" s="5" t="str">
        <f t="shared" si="2"/>
        <v>Low</v>
      </c>
      <c r="L180" s="5" t="str">
        <f>TEXT(Table1[[#This Row],[Order_Date]],"MMM")</f>
        <v>Oct</v>
      </c>
      <c r="M180" s="5" t="str">
        <f>IF(Table1[[#This Row],[Profit]]&gt;=1000,"Excellent",IF(Table1[[#This Row],[Profit]]&gt;=500,"Good", IF(Table1[[#This Row],[Profit]]&lt;500,"Low")))</f>
        <v>Low</v>
      </c>
      <c r="N180" s="7" t="str">
        <f>TEXT(Table1[[#This Row],[Order_Date]],"YYY")</f>
        <v>2023</v>
      </c>
    </row>
    <row r="181" spans="1:14" x14ac:dyDescent="0.3">
      <c r="A181" s="4">
        <v>45224</v>
      </c>
      <c r="B181" s="5" t="s">
        <v>0</v>
      </c>
      <c r="C181" s="5" t="s">
        <v>23</v>
      </c>
      <c r="D181" s="23">
        <v>627.99</v>
      </c>
      <c r="E181" s="23">
        <v>214.59</v>
      </c>
      <c r="F181" s="23">
        <v>413.4</v>
      </c>
      <c r="G181" s="5" t="s">
        <v>20</v>
      </c>
      <c r="H181" s="5" t="s">
        <v>35</v>
      </c>
      <c r="I181" s="5" t="s">
        <v>17</v>
      </c>
      <c r="J181" s="6">
        <f>Table1[[#This Row],[Profit]]/Table1[[#This Row],[Sales]]</f>
        <v>0.65829073711364827</v>
      </c>
      <c r="K181" s="5" t="str">
        <f t="shared" si="2"/>
        <v>Low</v>
      </c>
      <c r="L181" s="5" t="str">
        <f>TEXT(Table1[[#This Row],[Order_Date]],"MMM")</f>
        <v>Oct</v>
      </c>
      <c r="M181" s="5" t="str">
        <f>IF(Table1[[#This Row],[Profit]]&gt;=1000,"Excellent",IF(Table1[[#This Row],[Profit]]&gt;=500,"Good", IF(Table1[[#This Row],[Profit]]&lt;500,"Low")))</f>
        <v>Low</v>
      </c>
      <c r="N181" s="7" t="str">
        <f>TEXT(Table1[[#This Row],[Order_Date]],"YYY")</f>
        <v>2023</v>
      </c>
    </row>
    <row r="182" spans="1:14" x14ac:dyDescent="0.3">
      <c r="A182" s="4">
        <v>45224</v>
      </c>
      <c r="B182" s="5" t="s">
        <v>13</v>
      </c>
      <c r="C182" s="5" t="s">
        <v>14</v>
      </c>
      <c r="D182" s="23">
        <v>288.08999999999997</v>
      </c>
      <c r="E182" s="23">
        <v>113.66</v>
      </c>
      <c r="F182" s="23">
        <v>174.43</v>
      </c>
      <c r="G182" s="5" t="s">
        <v>6</v>
      </c>
      <c r="H182" s="5" t="s">
        <v>30</v>
      </c>
      <c r="I182" s="5" t="s">
        <v>22</v>
      </c>
      <c r="J182" s="6">
        <f>Table1[[#This Row],[Profit]]/Table1[[#This Row],[Sales]]</f>
        <v>0.60547051268700758</v>
      </c>
      <c r="K182" s="5" t="str">
        <f t="shared" si="2"/>
        <v>Low</v>
      </c>
      <c r="L182" s="5" t="str">
        <f>TEXT(Table1[[#This Row],[Order_Date]],"MMM")</f>
        <v>Oct</v>
      </c>
      <c r="M182" s="5" t="str">
        <f>IF(Table1[[#This Row],[Profit]]&gt;=1000,"Excellent",IF(Table1[[#This Row],[Profit]]&gt;=500,"Good", IF(Table1[[#This Row],[Profit]]&lt;500,"Low")))</f>
        <v>Low</v>
      </c>
      <c r="N182" s="7" t="str">
        <f>TEXT(Table1[[#This Row],[Order_Date]],"YYY")</f>
        <v>2023</v>
      </c>
    </row>
    <row r="183" spans="1:14" x14ac:dyDescent="0.3">
      <c r="A183" s="4">
        <v>45225</v>
      </c>
      <c r="B183" s="5" t="s">
        <v>8</v>
      </c>
      <c r="C183" s="5" t="s">
        <v>1</v>
      </c>
      <c r="D183" s="23">
        <v>1404.84</v>
      </c>
      <c r="E183" s="23">
        <v>805.83</v>
      </c>
      <c r="F183" s="23">
        <v>599.01</v>
      </c>
      <c r="G183" s="5" t="s">
        <v>2</v>
      </c>
      <c r="H183" s="5" t="s">
        <v>35</v>
      </c>
      <c r="I183" s="5" t="s">
        <v>17</v>
      </c>
      <c r="J183" s="6">
        <f>Table1[[#This Row],[Profit]]/Table1[[#This Row],[Sales]]</f>
        <v>0.42639019390108485</v>
      </c>
      <c r="K183" s="5" t="str">
        <f t="shared" si="2"/>
        <v>Low</v>
      </c>
      <c r="L183" s="5" t="str">
        <f>TEXT(Table1[[#This Row],[Order_Date]],"MMM")</f>
        <v>Oct</v>
      </c>
      <c r="M183" s="5" t="str">
        <f>IF(Table1[[#This Row],[Profit]]&gt;=1000,"Excellent",IF(Table1[[#This Row],[Profit]]&gt;=500,"Good", IF(Table1[[#This Row],[Profit]]&lt;500,"Low")))</f>
        <v>Good</v>
      </c>
      <c r="N183" s="7" t="str">
        <f>TEXT(Table1[[#This Row],[Order_Date]],"YYY")</f>
        <v>2023</v>
      </c>
    </row>
    <row r="184" spans="1:14" x14ac:dyDescent="0.3">
      <c r="A184" s="4">
        <v>45225</v>
      </c>
      <c r="B184" s="5" t="s">
        <v>0</v>
      </c>
      <c r="C184" s="5" t="s">
        <v>5</v>
      </c>
      <c r="D184" s="23">
        <v>1426.55</v>
      </c>
      <c r="E184" s="23">
        <v>625.04</v>
      </c>
      <c r="F184" s="23">
        <v>801.51</v>
      </c>
      <c r="G184" s="5" t="s">
        <v>6</v>
      </c>
      <c r="H184" s="5" t="s">
        <v>10</v>
      </c>
      <c r="I184" s="5" t="s">
        <v>11</v>
      </c>
      <c r="J184" s="6">
        <f>Table1[[#This Row],[Profit]]/Table1[[#This Row],[Sales]]</f>
        <v>0.56185202060916195</v>
      </c>
      <c r="K184" s="5" t="str">
        <f t="shared" si="2"/>
        <v>Low</v>
      </c>
      <c r="L184" s="5" t="str">
        <f>TEXT(Table1[[#This Row],[Order_Date]],"MMM")</f>
        <v>Oct</v>
      </c>
      <c r="M184" s="5" t="str">
        <f>IF(Table1[[#This Row],[Profit]]&gt;=1000,"Excellent",IF(Table1[[#This Row],[Profit]]&gt;=500,"Good", IF(Table1[[#This Row],[Profit]]&lt;500,"Low")))</f>
        <v>Good</v>
      </c>
      <c r="N184" s="7" t="str">
        <f>TEXT(Table1[[#This Row],[Order_Date]],"YYY")</f>
        <v>2023</v>
      </c>
    </row>
    <row r="185" spans="1:14" x14ac:dyDescent="0.3">
      <c r="A185" s="4">
        <v>45226</v>
      </c>
      <c r="B185" s="5" t="s">
        <v>13</v>
      </c>
      <c r="C185" s="5" t="s">
        <v>26</v>
      </c>
      <c r="D185" s="23">
        <v>302.64</v>
      </c>
      <c r="E185" s="23">
        <v>134.22</v>
      </c>
      <c r="F185" s="23">
        <v>168.42</v>
      </c>
      <c r="G185" s="5" t="s">
        <v>20</v>
      </c>
      <c r="H185" s="5" t="s">
        <v>35</v>
      </c>
      <c r="I185" s="5" t="s">
        <v>4</v>
      </c>
      <c r="J185" s="6">
        <f>Table1[[#This Row],[Profit]]/Table1[[#This Row],[Sales]]</f>
        <v>0.55650277557494054</v>
      </c>
      <c r="K185" s="5" t="str">
        <f t="shared" si="2"/>
        <v>Low</v>
      </c>
      <c r="L185" s="5" t="str">
        <f>TEXT(Table1[[#This Row],[Order_Date]],"MMM")</f>
        <v>Oct</v>
      </c>
      <c r="M185" s="5" t="str">
        <f>IF(Table1[[#This Row],[Profit]]&gt;=1000,"Excellent",IF(Table1[[#This Row],[Profit]]&gt;=500,"Good", IF(Table1[[#This Row],[Profit]]&lt;500,"Low")))</f>
        <v>Low</v>
      </c>
      <c r="N185" s="7" t="str">
        <f>TEXT(Table1[[#This Row],[Order_Date]],"YYY")</f>
        <v>2023</v>
      </c>
    </row>
    <row r="186" spans="1:14" x14ac:dyDescent="0.3">
      <c r="A186" s="4">
        <v>45228</v>
      </c>
      <c r="B186" s="5" t="s">
        <v>13</v>
      </c>
      <c r="C186" s="5" t="s">
        <v>23</v>
      </c>
      <c r="D186" s="23">
        <v>657.28</v>
      </c>
      <c r="E186" s="23">
        <v>270</v>
      </c>
      <c r="F186" s="23">
        <v>387.28</v>
      </c>
      <c r="G186" s="5" t="s">
        <v>9</v>
      </c>
      <c r="H186" s="5" t="s">
        <v>36</v>
      </c>
      <c r="I186" s="5" t="s">
        <v>11</v>
      </c>
      <c r="J186" s="6">
        <f>Table1[[#This Row],[Profit]]/Table1[[#This Row],[Sales]]</f>
        <v>0.58921616358325213</v>
      </c>
      <c r="K186" s="5" t="str">
        <f t="shared" si="2"/>
        <v>Low</v>
      </c>
      <c r="L186" s="5" t="str">
        <f>TEXT(Table1[[#This Row],[Order_Date]],"MMM")</f>
        <v>Oct</v>
      </c>
      <c r="M186" s="5" t="str">
        <f>IF(Table1[[#This Row],[Profit]]&gt;=1000,"Excellent",IF(Table1[[#This Row],[Profit]]&gt;=500,"Good", IF(Table1[[#This Row],[Profit]]&lt;500,"Low")))</f>
        <v>Low</v>
      </c>
      <c r="N186" s="7" t="str">
        <f>TEXT(Table1[[#This Row],[Order_Date]],"YYY")</f>
        <v>2023</v>
      </c>
    </row>
    <row r="187" spans="1:14" x14ac:dyDescent="0.3">
      <c r="A187" s="4">
        <v>45228</v>
      </c>
      <c r="B187" s="5" t="s">
        <v>16</v>
      </c>
      <c r="C187" s="5" t="s">
        <v>26</v>
      </c>
      <c r="D187" s="23">
        <v>459.66</v>
      </c>
      <c r="E187" s="23">
        <v>171.78</v>
      </c>
      <c r="F187" s="23">
        <v>287.88</v>
      </c>
      <c r="G187" s="5" t="s">
        <v>32</v>
      </c>
      <c r="H187" s="5" t="s">
        <v>3</v>
      </c>
      <c r="I187" s="5" t="s">
        <v>17</v>
      </c>
      <c r="J187" s="6">
        <f>Table1[[#This Row],[Profit]]/Table1[[#This Row],[Sales]]</f>
        <v>0.62628899621459333</v>
      </c>
      <c r="K187" s="5" t="str">
        <f t="shared" si="2"/>
        <v>Low</v>
      </c>
      <c r="L187" s="5" t="str">
        <f>TEXT(Table1[[#This Row],[Order_Date]],"MMM")</f>
        <v>Oct</v>
      </c>
      <c r="M187" s="5" t="str">
        <f>IF(Table1[[#This Row],[Profit]]&gt;=1000,"Excellent",IF(Table1[[#This Row],[Profit]]&gt;=500,"Good", IF(Table1[[#This Row],[Profit]]&lt;500,"Low")))</f>
        <v>Low</v>
      </c>
      <c r="N187" s="7" t="str">
        <f>TEXT(Table1[[#This Row],[Order_Date]],"YYY")</f>
        <v>2023</v>
      </c>
    </row>
    <row r="188" spans="1:14" x14ac:dyDescent="0.3">
      <c r="A188" s="4">
        <v>45228</v>
      </c>
      <c r="B188" s="5" t="s">
        <v>18</v>
      </c>
      <c r="C188" s="5" t="s">
        <v>19</v>
      </c>
      <c r="D188" s="23">
        <v>80.83</v>
      </c>
      <c r="E188" s="23">
        <v>31.82</v>
      </c>
      <c r="F188" s="23">
        <v>49.01</v>
      </c>
      <c r="G188" s="5" t="s">
        <v>9</v>
      </c>
      <c r="H188" s="5" t="s">
        <v>33</v>
      </c>
      <c r="I188" s="5" t="s">
        <v>11</v>
      </c>
      <c r="J188" s="6">
        <f>Table1[[#This Row],[Profit]]/Table1[[#This Row],[Sales]]</f>
        <v>0.60633428182605464</v>
      </c>
      <c r="K188" s="5" t="str">
        <f t="shared" si="2"/>
        <v>Low</v>
      </c>
      <c r="L188" s="5" t="str">
        <f>TEXT(Table1[[#This Row],[Order_Date]],"MMM")</f>
        <v>Oct</v>
      </c>
      <c r="M188" s="5" t="str">
        <f>IF(Table1[[#This Row],[Profit]]&gt;=1000,"Excellent",IF(Table1[[#This Row],[Profit]]&gt;=500,"Good", IF(Table1[[#This Row],[Profit]]&lt;500,"Low")))</f>
        <v>Low</v>
      </c>
      <c r="N188" s="7" t="str">
        <f>TEXT(Table1[[#This Row],[Order_Date]],"YYY")</f>
        <v>2023</v>
      </c>
    </row>
    <row r="189" spans="1:14" x14ac:dyDescent="0.3">
      <c r="A189" s="4">
        <v>45228</v>
      </c>
      <c r="B189" s="5" t="s">
        <v>13</v>
      </c>
      <c r="C189" s="5" t="s">
        <v>5</v>
      </c>
      <c r="D189" s="23">
        <v>1390.95</v>
      </c>
      <c r="E189" s="23">
        <v>573.59</v>
      </c>
      <c r="F189" s="23">
        <v>817.36</v>
      </c>
      <c r="G189" s="5" t="s">
        <v>6</v>
      </c>
      <c r="H189" s="5" t="s">
        <v>30</v>
      </c>
      <c r="I189" s="5" t="s">
        <v>17</v>
      </c>
      <c r="J189" s="6">
        <f>Table1[[#This Row],[Profit]]/Table1[[#This Row],[Sales]]</f>
        <v>0.5876271612926417</v>
      </c>
      <c r="K189" s="5" t="str">
        <f t="shared" si="2"/>
        <v>Low</v>
      </c>
      <c r="L189" s="5" t="str">
        <f>TEXT(Table1[[#This Row],[Order_Date]],"MMM")</f>
        <v>Oct</v>
      </c>
      <c r="M189" s="5" t="str">
        <f>IF(Table1[[#This Row],[Profit]]&gt;=1000,"Excellent",IF(Table1[[#This Row],[Profit]]&gt;=500,"Good", IF(Table1[[#This Row],[Profit]]&lt;500,"Low")))</f>
        <v>Good</v>
      </c>
      <c r="N189" s="7" t="str">
        <f>TEXT(Table1[[#This Row],[Order_Date]],"YYY")</f>
        <v>2023</v>
      </c>
    </row>
    <row r="190" spans="1:14" x14ac:dyDescent="0.3">
      <c r="A190" s="4">
        <v>45230</v>
      </c>
      <c r="B190" s="5" t="s">
        <v>8</v>
      </c>
      <c r="C190" s="5" t="s">
        <v>19</v>
      </c>
      <c r="D190" s="23">
        <v>61.28</v>
      </c>
      <c r="E190" s="23">
        <v>17.41</v>
      </c>
      <c r="F190" s="23">
        <v>43.87</v>
      </c>
      <c r="G190" s="5" t="s">
        <v>6</v>
      </c>
      <c r="H190" s="5" t="s">
        <v>35</v>
      </c>
      <c r="I190" s="5" t="s">
        <v>4</v>
      </c>
      <c r="J190" s="6">
        <f>Table1[[#This Row],[Profit]]/Table1[[#This Row],[Sales]]</f>
        <v>0.71589425587467359</v>
      </c>
      <c r="K190" s="5" t="str">
        <f t="shared" si="2"/>
        <v>Low</v>
      </c>
      <c r="L190" s="5" t="str">
        <f>TEXT(Table1[[#This Row],[Order_Date]],"MMM")</f>
        <v>Oct</v>
      </c>
      <c r="M190" s="5" t="str">
        <f>IF(Table1[[#This Row],[Profit]]&gt;=1000,"Excellent",IF(Table1[[#This Row],[Profit]]&gt;=500,"Good", IF(Table1[[#This Row],[Profit]]&lt;500,"Low")))</f>
        <v>Low</v>
      </c>
      <c r="N190" s="7" t="str">
        <f>TEXT(Table1[[#This Row],[Order_Date]],"YYY")</f>
        <v>2023</v>
      </c>
    </row>
    <row r="191" spans="1:14" x14ac:dyDescent="0.3">
      <c r="A191" s="4">
        <v>45231</v>
      </c>
      <c r="B191" s="5" t="s">
        <v>13</v>
      </c>
      <c r="C191" s="5" t="s">
        <v>19</v>
      </c>
      <c r="D191" s="23">
        <v>6.6</v>
      </c>
      <c r="E191" s="23">
        <v>2.4700000000000002</v>
      </c>
      <c r="F191" s="23">
        <v>4.13</v>
      </c>
      <c r="G191" s="5" t="s">
        <v>2</v>
      </c>
      <c r="H191" s="5" t="s">
        <v>21</v>
      </c>
      <c r="I191" s="5" t="s">
        <v>22</v>
      </c>
      <c r="J191" s="6">
        <f>Table1[[#This Row],[Profit]]/Table1[[#This Row],[Sales]]</f>
        <v>0.62575757575757573</v>
      </c>
      <c r="K191" s="5" t="str">
        <f t="shared" si="2"/>
        <v>Low</v>
      </c>
      <c r="L191" s="5" t="str">
        <f>TEXT(Table1[[#This Row],[Order_Date]],"MMM")</f>
        <v>Nov</v>
      </c>
      <c r="M191" s="5" t="str">
        <f>IF(Table1[[#This Row],[Profit]]&gt;=1000,"Excellent",IF(Table1[[#This Row],[Profit]]&gt;=500,"Good", IF(Table1[[#This Row],[Profit]]&lt;500,"Low")))</f>
        <v>Low</v>
      </c>
      <c r="N191" s="7" t="str">
        <f>TEXT(Table1[[#This Row],[Order_Date]],"YYY")</f>
        <v>2023</v>
      </c>
    </row>
    <row r="192" spans="1:14" x14ac:dyDescent="0.3">
      <c r="A192" s="4">
        <v>45231</v>
      </c>
      <c r="B192" s="5" t="s">
        <v>16</v>
      </c>
      <c r="C192" s="5" t="s">
        <v>23</v>
      </c>
      <c r="D192" s="23">
        <v>56.47</v>
      </c>
      <c r="E192" s="23">
        <v>19.309999999999999</v>
      </c>
      <c r="F192" s="23">
        <v>37.159999999999997</v>
      </c>
      <c r="G192" s="5" t="s">
        <v>2</v>
      </c>
      <c r="H192" s="5" t="s">
        <v>3</v>
      </c>
      <c r="I192" s="5" t="s">
        <v>11</v>
      </c>
      <c r="J192" s="6">
        <f>Table1[[#This Row],[Profit]]/Table1[[#This Row],[Sales]]</f>
        <v>0.6580485213387639</v>
      </c>
      <c r="K192" s="5" t="str">
        <f t="shared" si="2"/>
        <v>Low</v>
      </c>
      <c r="L192" s="5" t="str">
        <f>TEXT(Table1[[#This Row],[Order_Date]],"MMM")</f>
        <v>Nov</v>
      </c>
      <c r="M192" s="5" t="str">
        <f>IF(Table1[[#This Row],[Profit]]&gt;=1000,"Excellent",IF(Table1[[#This Row],[Profit]]&gt;=500,"Good", IF(Table1[[#This Row],[Profit]]&lt;500,"Low")))</f>
        <v>Low</v>
      </c>
      <c r="N192" s="7" t="str">
        <f>TEXT(Table1[[#This Row],[Order_Date]],"YYY")</f>
        <v>2023</v>
      </c>
    </row>
    <row r="193" spans="1:14" x14ac:dyDescent="0.3">
      <c r="A193" s="4">
        <v>45233</v>
      </c>
      <c r="B193" s="5" t="s">
        <v>16</v>
      </c>
      <c r="C193" s="5" t="s">
        <v>5</v>
      </c>
      <c r="D193" s="23">
        <v>1369.65</v>
      </c>
      <c r="E193" s="23">
        <v>483.68</v>
      </c>
      <c r="F193" s="23">
        <v>885.97</v>
      </c>
      <c r="G193" s="5" t="s">
        <v>6</v>
      </c>
      <c r="H193" s="5" t="s">
        <v>30</v>
      </c>
      <c r="I193" s="5" t="s">
        <v>22</v>
      </c>
      <c r="J193" s="6">
        <f>Table1[[#This Row],[Profit]]/Table1[[#This Row],[Sales]]</f>
        <v>0.64685868652575473</v>
      </c>
      <c r="K193" s="5" t="str">
        <f t="shared" si="2"/>
        <v>Low</v>
      </c>
      <c r="L193" s="5" t="str">
        <f>TEXT(Table1[[#This Row],[Order_Date]],"MMM")</f>
        <v>Nov</v>
      </c>
      <c r="M193" s="5" t="str">
        <f>IF(Table1[[#This Row],[Profit]]&gt;=1000,"Excellent",IF(Table1[[#This Row],[Profit]]&gt;=500,"Good", IF(Table1[[#This Row],[Profit]]&lt;500,"Low")))</f>
        <v>Good</v>
      </c>
      <c r="N193" s="7" t="str">
        <f>TEXT(Table1[[#This Row],[Order_Date]],"YYY")</f>
        <v>2023</v>
      </c>
    </row>
    <row r="194" spans="1:14" x14ac:dyDescent="0.3">
      <c r="A194" s="4">
        <v>45233</v>
      </c>
      <c r="B194" s="5" t="s">
        <v>18</v>
      </c>
      <c r="C194" s="5" t="s">
        <v>23</v>
      </c>
      <c r="D194" s="23">
        <v>523.25</v>
      </c>
      <c r="E194" s="23">
        <v>162.97</v>
      </c>
      <c r="F194" s="23">
        <v>360.28</v>
      </c>
      <c r="G194" s="5" t="s">
        <v>32</v>
      </c>
      <c r="H194" s="5" t="s">
        <v>3</v>
      </c>
      <c r="I194" s="5" t="s">
        <v>4</v>
      </c>
      <c r="J194" s="6">
        <f>Table1[[#This Row],[Profit]]/Table1[[#This Row],[Sales]]</f>
        <v>0.68854276158623984</v>
      </c>
      <c r="K194" s="5" t="str">
        <f t="shared" ref="K194:K257" si="3">IF(D194&gt;=2000,"High",IF(D194&gt;=1500,"Medium","Low"))</f>
        <v>Low</v>
      </c>
      <c r="L194" s="5" t="str">
        <f>TEXT(Table1[[#This Row],[Order_Date]],"MMM")</f>
        <v>Nov</v>
      </c>
      <c r="M194" s="5" t="str">
        <f>IF(Table1[[#This Row],[Profit]]&gt;=1000,"Excellent",IF(Table1[[#This Row],[Profit]]&gt;=500,"Good", IF(Table1[[#This Row],[Profit]]&lt;500,"Low")))</f>
        <v>Low</v>
      </c>
      <c r="N194" s="7" t="str">
        <f>TEXT(Table1[[#This Row],[Order_Date]],"YYY")</f>
        <v>2023</v>
      </c>
    </row>
    <row r="195" spans="1:14" x14ac:dyDescent="0.3">
      <c r="A195" s="4">
        <v>45234</v>
      </c>
      <c r="B195" s="5" t="s">
        <v>0</v>
      </c>
      <c r="C195" s="5" t="s">
        <v>26</v>
      </c>
      <c r="D195" s="23">
        <v>586.83000000000004</v>
      </c>
      <c r="E195" s="23">
        <v>194.74</v>
      </c>
      <c r="F195" s="23">
        <v>392.09</v>
      </c>
      <c r="G195" s="5" t="s">
        <v>20</v>
      </c>
      <c r="H195" s="5" t="s">
        <v>7</v>
      </c>
      <c r="I195" s="5" t="s">
        <v>17</v>
      </c>
      <c r="J195" s="6">
        <f>Table1[[#This Row],[Profit]]/Table1[[#This Row],[Sales]]</f>
        <v>0.66814920845900849</v>
      </c>
      <c r="K195" s="5" t="str">
        <f t="shared" si="3"/>
        <v>Low</v>
      </c>
      <c r="L195" s="5" t="str">
        <f>TEXT(Table1[[#This Row],[Order_Date]],"MMM")</f>
        <v>Nov</v>
      </c>
      <c r="M195" s="5" t="str">
        <f>IF(Table1[[#This Row],[Profit]]&gt;=1000,"Excellent",IF(Table1[[#This Row],[Profit]]&gt;=500,"Good", IF(Table1[[#This Row],[Profit]]&lt;500,"Low")))</f>
        <v>Low</v>
      </c>
      <c r="N195" s="7" t="str">
        <f>TEXT(Table1[[#This Row],[Order_Date]],"YYY")</f>
        <v>2023</v>
      </c>
    </row>
    <row r="196" spans="1:14" x14ac:dyDescent="0.3">
      <c r="A196" s="4">
        <v>45235</v>
      </c>
      <c r="B196" s="5" t="s">
        <v>8</v>
      </c>
      <c r="C196" s="5" t="s">
        <v>1</v>
      </c>
      <c r="D196" s="23">
        <v>882.49</v>
      </c>
      <c r="E196" s="23">
        <v>499.68</v>
      </c>
      <c r="F196" s="23">
        <v>382.81</v>
      </c>
      <c r="G196" s="5" t="s">
        <v>32</v>
      </c>
      <c r="H196" s="5" t="s">
        <v>10</v>
      </c>
      <c r="I196" s="5" t="s">
        <v>22</v>
      </c>
      <c r="J196" s="6">
        <f>Table1[[#This Row],[Profit]]/Table1[[#This Row],[Sales]]</f>
        <v>0.43378395222608757</v>
      </c>
      <c r="K196" s="5" t="str">
        <f t="shared" si="3"/>
        <v>Low</v>
      </c>
      <c r="L196" s="5" t="str">
        <f>TEXT(Table1[[#This Row],[Order_Date]],"MMM")</f>
        <v>Nov</v>
      </c>
      <c r="M196" s="5" t="str">
        <f>IF(Table1[[#This Row],[Profit]]&gt;=1000,"Excellent",IF(Table1[[#This Row],[Profit]]&gt;=500,"Good", IF(Table1[[#This Row],[Profit]]&lt;500,"Low")))</f>
        <v>Low</v>
      </c>
      <c r="N196" s="7" t="str">
        <f>TEXT(Table1[[#This Row],[Order_Date]],"YYY")</f>
        <v>2023</v>
      </c>
    </row>
    <row r="197" spans="1:14" x14ac:dyDescent="0.3">
      <c r="A197" s="4">
        <v>45236</v>
      </c>
      <c r="B197" s="5" t="s">
        <v>0</v>
      </c>
      <c r="C197" s="5" t="s">
        <v>23</v>
      </c>
      <c r="D197" s="23">
        <v>251.23</v>
      </c>
      <c r="E197" s="23">
        <v>79.239999999999995</v>
      </c>
      <c r="F197" s="23">
        <v>171.99</v>
      </c>
      <c r="G197" s="5" t="s">
        <v>32</v>
      </c>
      <c r="H197" s="5" t="s">
        <v>29</v>
      </c>
      <c r="I197" s="5" t="s">
        <v>11</v>
      </c>
      <c r="J197" s="6">
        <f>Table1[[#This Row],[Profit]]/Table1[[#This Row],[Sales]]</f>
        <v>0.68459180830314859</v>
      </c>
      <c r="K197" s="5" t="str">
        <f t="shared" si="3"/>
        <v>Low</v>
      </c>
      <c r="L197" s="5" t="str">
        <f>TEXT(Table1[[#This Row],[Order_Date]],"MMM")</f>
        <v>Nov</v>
      </c>
      <c r="M197" s="5" t="str">
        <f>IF(Table1[[#This Row],[Profit]]&gt;=1000,"Excellent",IF(Table1[[#This Row],[Profit]]&gt;=500,"Good", IF(Table1[[#This Row],[Profit]]&lt;500,"Low")))</f>
        <v>Low</v>
      </c>
      <c r="N197" s="7" t="str">
        <f>TEXT(Table1[[#This Row],[Order_Date]],"YYY")</f>
        <v>2023</v>
      </c>
    </row>
    <row r="198" spans="1:14" x14ac:dyDescent="0.3">
      <c r="A198" s="4">
        <v>45236</v>
      </c>
      <c r="B198" s="5" t="s">
        <v>16</v>
      </c>
      <c r="C198" s="5" t="s">
        <v>31</v>
      </c>
      <c r="D198" s="23">
        <v>115.64</v>
      </c>
      <c r="E198" s="23">
        <v>42.84</v>
      </c>
      <c r="F198" s="23">
        <v>72.8</v>
      </c>
      <c r="G198" s="5" t="s">
        <v>9</v>
      </c>
      <c r="H198" s="5" t="s">
        <v>33</v>
      </c>
      <c r="I198" s="5" t="s">
        <v>11</v>
      </c>
      <c r="J198" s="6">
        <f>Table1[[#This Row],[Profit]]/Table1[[#This Row],[Sales]]</f>
        <v>0.6295399515738499</v>
      </c>
      <c r="K198" s="5" t="str">
        <f t="shared" si="3"/>
        <v>Low</v>
      </c>
      <c r="L198" s="5" t="str">
        <f>TEXT(Table1[[#This Row],[Order_Date]],"MMM")</f>
        <v>Nov</v>
      </c>
      <c r="M198" s="5" t="str">
        <f>IF(Table1[[#This Row],[Profit]]&gt;=1000,"Excellent",IF(Table1[[#This Row],[Profit]]&gt;=500,"Good", IF(Table1[[#This Row],[Profit]]&lt;500,"Low")))</f>
        <v>Low</v>
      </c>
      <c r="N198" s="7" t="str">
        <f>TEXT(Table1[[#This Row],[Order_Date]],"YYY")</f>
        <v>2023</v>
      </c>
    </row>
    <row r="199" spans="1:14" x14ac:dyDescent="0.3">
      <c r="A199" s="4">
        <v>45237</v>
      </c>
      <c r="B199" s="5" t="s">
        <v>16</v>
      </c>
      <c r="C199" s="5" t="s">
        <v>1</v>
      </c>
      <c r="D199" s="23">
        <v>193.89</v>
      </c>
      <c r="E199" s="23">
        <v>98.75</v>
      </c>
      <c r="F199" s="23">
        <v>95.14</v>
      </c>
      <c r="G199" s="5" t="s">
        <v>9</v>
      </c>
      <c r="H199" s="5" t="s">
        <v>12</v>
      </c>
      <c r="I199" s="5" t="s">
        <v>11</v>
      </c>
      <c r="J199" s="6">
        <f>Table1[[#This Row],[Profit]]/Table1[[#This Row],[Sales]]</f>
        <v>0.49069059776161744</v>
      </c>
      <c r="K199" s="5" t="str">
        <f t="shared" si="3"/>
        <v>Low</v>
      </c>
      <c r="L199" s="5" t="str">
        <f>TEXT(Table1[[#This Row],[Order_Date]],"MMM")</f>
        <v>Nov</v>
      </c>
      <c r="M199" s="5" t="str">
        <f>IF(Table1[[#This Row],[Profit]]&gt;=1000,"Excellent",IF(Table1[[#This Row],[Profit]]&gt;=500,"Good", IF(Table1[[#This Row],[Profit]]&lt;500,"Low")))</f>
        <v>Low</v>
      </c>
      <c r="N199" s="7" t="str">
        <f>TEXT(Table1[[#This Row],[Order_Date]],"YYY")</f>
        <v>2023</v>
      </c>
    </row>
    <row r="200" spans="1:14" x14ac:dyDescent="0.3">
      <c r="A200" s="4">
        <v>45237</v>
      </c>
      <c r="B200" s="5" t="s">
        <v>13</v>
      </c>
      <c r="C200" s="5" t="s">
        <v>31</v>
      </c>
      <c r="D200" s="23">
        <v>238.86</v>
      </c>
      <c r="E200" s="23">
        <v>66.02</v>
      </c>
      <c r="F200" s="23">
        <v>172.84</v>
      </c>
      <c r="G200" s="5" t="s">
        <v>32</v>
      </c>
      <c r="H200" s="5" t="s">
        <v>29</v>
      </c>
      <c r="I200" s="5" t="s">
        <v>11</v>
      </c>
      <c r="J200" s="6">
        <f>Table1[[#This Row],[Profit]]/Table1[[#This Row],[Sales]]</f>
        <v>0.72360378464372432</v>
      </c>
      <c r="K200" s="5" t="str">
        <f t="shared" si="3"/>
        <v>Low</v>
      </c>
      <c r="L200" s="5" t="str">
        <f>TEXT(Table1[[#This Row],[Order_Date]],"MMM")</f>
        <v>Nov</v>
      </c>
      <c r="M200" s="5" t="str">
        <f>IF(Table1[[#This Row],[Profit]]&gt;=1000,"Excellent",IF(Table1[[#This Row],[Profit]]&gt;=500,"Good", IF(Table1[[#This Row],[Profit]]&lt;500,"Low")))</f>
        <v>Low</v>
      </c>
      <c r="N200" s="7" t="str">
        <f>TEXT(Table1[[#This Row],[Order_Date]],"YYY")</f>
        <v>2023</v>
      </c>
    </row>
    <row r="201" spans="1:14" x14ac:dyDescent="0.3">
      <c r="A201" s="4">
        <v>45238</v>
      </c>
      <c r="B201" s="5" t="s">
        <v>13</v>
      </c>
      <c r="C201" s="5" t="s">
        <v>26</v>
      </c>
      <c r="D201" s="23">
        <v>202.65</v>
      </c>
      <c r="E201" s="23">
        <v>71.87</v>
      </c>
      <c r="F201" s="23">
        <v>130.78</v>
      </c>
      <c r="G201" s="5" t="s">
        <v>20</v>
      </c>
      <c r="H201" s="5" t="s">
        <v>37</v>
      </c>
      <c r="I201" s="5" t="s">
        <v>25</v>
      </c>
      <c r="J201" s="6">
        <f>Table1[[#This Row],[Profit]]/Table1[[#This Row],[Sales]]</f>
        <v>0.64534912410560075</v>
      </c>
      <c r="K201" s="5" t="str">
        <f t="shared" si="3"/>
        <v>Low</v>
      </c>
      <c r="L201" s="5" t="str">
        <f>TEXT(Table1[[#This Row],[Order_Date]],"MMM")</f>
        <v>Nov</v>
      </c>
      <c r="M201" s="5" t="str">
        <f>IF(Table1[[#This Row],[Profit]]&gt;=1000,"Excellent",IF(Table1[[#This Row],[Profit]]&gt;=500,"Good", IF(Table1[[#This Row],[Profit]]&lt;500,"Low")))</f>
        <v>Low</v>
      </c>
      <c r="N201" s="7" t="str">
        <f>TEXT(Table1[[#This Row],[Order_Date]],"YYY")</f>
        <v>2023</v>
      </c>
    </row>
    <row r="202" spans="1:14" x14ac:dyDescent="0.3">
      <c r="A202" s="4">
        <v>45238</v>
      </c>
      <c r="B202" s="5" t="s">
        <v>18</v>
      </c>
      <c r="C202" s="5" t="s">
        <v>23</v>
      </c>
      <c r="D202" s="23">
        <v>484.65</v>
      </c>
      <c r="E202" s="23">
        <v>139.37</v>
      </c>
      <c r="F202" s="23">
        <v>345.28</v>
      </c>
      <c r="G202" s="5" t="s">
        <v>2</v>
      </c>
      <c r="H202" s="5" t="s">
        <v>3</v>
      </c>
      <c r="I202" s="5" t="s">
        <v>22</v>
      </c>
      <c r="J202" s="6">
        <f>Table1[[#This Row],[Profit]]/Table1[[#This Row],[Sales]]</f>
        <v>0.71243165170741773</v>
      </c>
      <c r="K202" s="5" t="str">
        <f t="shared" si="3"/>
        <v>Low</v>
      </c>
      <c r="L202" s="5" t="str">
        <f>TEXT(Table1[[#This Row],[Order_Date]],"MMM")</f>
        <v>Nov</v>
      </c>
      <c r="M202" s="5" t="str">
        <f>IF(Table1[[#This Row],[Profit]]&gt;=1000,"Excellent",IF(Table1[[#This Row],[Profit]]&gt;=500,"Good", IF(Table1[[#This Row],[Profit]]&lt;500,"Low")))</f>
        <v>Low</v>
      </c>
      <c r="N202" s="7" t="str">
        <f>TEXT(Table1[[#This Row],[Order_Date]],"YYY")</f>
        <v>2023</v>
      </c>
    </row>
    <row r="203" spans="1:14" x14ac:dyDescent="0.3">
      <c r="A203" s="4">
        <v>45238</v>
      </c>
      <c r="B203" s="5" t="s">
        <v>13</v>
      </c>
      <c r="C203" s="5" t="s">
        <v>19</v>
      </c>
      <c r="D203" s="23">
        <v>112.8</v>
      </c>
      <c r="E203" s="23">
        <v>27.66</v>
      </c>
      <c r="F203" s="23">
        <v>85.14</v>
      </c>
      <c r="G203" s="5" t="s">
        <v>6</v>
      </c>
      <c r="H203" s="5" t="s">
        <v>36</v>
      </c>
      <c r="I203" s="5" t="s">
        <v>11</v>
      </c>
      <c r="J203" s="6">
        <f>Table1[[#This Row],[Profit]]/Table1[[#This Row],[Sales]]</f>
        <v>0.75478723404255321</v>
      </c>
      <c r="K203" s="5" t="str">
        <f t="shared" si="3"/>
        <v>Low</v>
      </c>
      <c r="L203" s="5" t="str">
        <f>TEXT(Table1[[#This Row],[Order_Date]],"MMM")</f>
        <v>Nov</v>
      </c>
      <c r="M203" s="5" t="str">
        <f>IF(Table1[[#This Row],[Profit]]&gt;=1000,"Excellent",IF(Table1[[#This Row],[Profit]]&gt;=500,"Good", IF(Table1[[#This Row],[Profit]]&lt;500,"Low")))</f>
        <v>Low</v>
      </c>
      <c r="N203" s="7" t="str">
        <f>TEXT(Table1[[#This Row],[Order_Date]],"YYY")</f>
        <v>2023</v>
      </c>
    </row>
    <row r="204" spans="1:14" x14ac:dyDescent="0.3">
      <c r="A204" s="4">
        <v>45239</v>
      </c>
      <c r="B204" s="5" t="s">
        <v>8</v>
      </c>
      <c r="C204" s="5" t="s">
        <v>31</v>
      </c>
      <c r="D204" s="23">
        <v>249.26</v>
      </c>
      <c r="E204" s="23">
        <v>74.7</v>
      </c>
      <c r="F204" s="23">
        <v>174.56</v>
      </c>
      <c r="G204" s="5" t="s">
        <v>6</v>
      </c>
      <c r="H204" s="5" t="s">
        <v>30</v>
      </c>
      <c r="I204" s="5" t="s">
        <v>22</v>
      </c>
      <c r="J204" s="6">
        <f>Table1[[#This Row],[Profit]]/Table1[[#This Row],[Sales]]</f>
        <v>0.7003129262617348</v>
      </c>
      <c r="K204" s="5" t="str">
        <f t="shared" si="3"/>
        <v>Low</v>
      </c>
      <c r="L204" s="5" t="str">
        <f>TEXT(Table1[[#This Row],[Order_Date]],"MMM")</f>
        <v>Nov</v>
      </c>
      <c r="M204" s="5" t="str">
        <f>IF(Table1[[#This Row],[Profit]]&gt;=1000,"Excellent",IF(Table1[[#This Row],[Profit]]&gt;=500,"Good", IF(Table1[[#This Row],[Profit]]&lt;500,"Low")))</f>
        <v>Low</v>
      </c>
      <c r="N204" s="7" t="str">
        <f>TEXT(Table1[[#This Row],[Order_Date]],"YYY")</f>
        <v>2023</v>
      </c>
    </row>
    <row r="205" spans="1:14" x14ac:dyDescent="0.3">
      <c r="A205" s="4">
        <v>45239</v>
      </c>
      <c r="B205" s="5" t="s">
        <v>16</v>
      </c>
      <c r="C205" s="5" t="s">
        <v>23</v>
      </c>
      <c r="D205" s="23">
        <v>212.55</v>
      </c>
      <c r="E205" s="23">
        <v>71.680000000000007</v>
      </c>
      <c r="F205" s="23">
        <v>140.87</v>
      </c>
      <c r="G205" s="5" t="s">
        <v>6</v>
      </c>
      <c r="H205" s="5" t="s">
        <v>15</v>
      </c>
      <c r="I205" s="5" t="s">
        <v>4</v>
      </c>
      <c r="J205" s="6">
        <f>Table1[[#This Row],[Profit]]/Table1[[#This Row],[Sales]]</f>
        <v>0.66276170312867555</v>
      </c>
      <c r="K205" s="5" t="str">
        <f t="shared" si="3"/>
        <v>Low</v>
      </c>
      <c r="L205" s="5" t="str">
        <f>TEXT(Table1[[#This Row],[Order_Date]],"MMM")</f>
        <v>Nov</v>
      </c>
      <c r="M205" s="5" t="str">
        <f>IF(Table1[[#This Row],[Profit]]&gt;=1000,"Excellent",IF(Table1[[#This Row],[Profit]]&gt;=500,"Good", IF(Table1[[#This Row],[Profit]]&lt;500,"Low")))</f>
        <v>Low</v>
      </c>
      <c r="N205" s="7" t="str">
        <f>TEXT(Table1[[#This Row],[Order_Date]],"YYY")</f>
        <v>2023</v>
      </c>
    </row>
    <row r="206" spans="1:14" x14ac:dyDescent="0.3">
      <c r="A206" s="4">
        <v>45240</v>
      </c>
      <c r="B206" s="5" t="s">
        <v>18</v>
      </c>
      <c r="C206" s="5" t="s">
        <v>26</v>
      </c>
      <c r="D206" s="23">
        <v>466.54</v>
      </c>
      <c r="E206" s="23">
        <v>151.51</v>
      </c>
      <c r="F206" s="23">
        <v>315.02999999999997</v>
      </c>
      <c r="G206" s="5" t="s">
        <v>32</v>
      </c>
      <c r="H206" s="5" t="s">
        <v>30</v>
      </c>
      <c r="I206" s="5" t="s">
        <v>11</v>
      </c>
      <c r="J206" s="6">
        <f>Table1[[#This Row],[Profit]]/Table1[[#This Row],[Sales]]</f>
        <v>0.67524756719681045</v>
      </c>
      <c r="K206" s="5" t="str">
        <f t="shared" si="3"/>
        <v>Low</v>
      </c>
      <c r="L206" s="5" t="str">
        <f>TEXT(Table1[[#This Row],[Order_Date]],"MMM")</f>
        <v>Nov</v>
      </c>
      <c r="M206" s="5" t="str">
        <f>IF(Table1[[#This Row],[Profit]]&gt;=1000,"Excellent",IF(Table1[[#This Row],[Profit]]&gt;=500,"Good", IF(Table1[[#This Row],[Profit]]&lt;500,"Low")))</f>
        <v>Low</v>
      </c>
      <c r="N206" s="7" t="str">
        <f>TEXT(Table1[[#This Row],[Order_Date]],"YYY")</f>
        <v>2023</v>
      </c>
    </row>
    <row r="207" spans="1:14" x14ac:dyDescent="0.3">
      <c r="A207" s="4">
        <v>45241</v>
      </c>
      <c r="B207" s="5" t="s">
        <v>8</v>
      </c>
      <c r="C207" s="5" t="s">
        <v>14</v>
      </c>
      <c r="D207" s="23">
        <v>136.59</v>
      </c>
      <c r="E207" s="23">
        <v>61.28</v>
      </c>
      <c r="F207" s="23">
        <v>75.31</v>
      </c>
      <c r="G207" s="5" t="s">
        <v>20</v>
      </c>
      <c r="H207" s="5" t="s">
        <v>10</v>
      </c>
      <c r="I207" s="5" t="s">
        <v>11</v>
      </c>
      <c r="J207" s="6">
        <f>Table1[[#This Row],[Profit]]/Table1[[#This Row],[Sales]]</f>
        <v>0.55135807892232225</v>
      </c>
      <c r="K207" s="5" t="str">
        <f t="shared" si="3"/>
        <v>Low</v>
      </c>
      <c r="L207" s="5" t="str">
        <f>TEXT(Table1[[#This Row],[Order_Date]],"MMM")</f>
        <v>Nov</v>
      </c>
      <c r="M207" s="5" t="str">
        <f>IF(Table1[[#This Row],[Profit]]&gt;=1000,"Excellent",IF(Table1[[#This Row],[Profit]]&gt;=500,"Good", IF(Table1[[#This Row],[Profit]]&lt;500,"Low")))</f>
        <v>Low</v>
      </c>
      <c r="N207" s="7" t="str">
        <f>TEXT(Table1[[#This Row],[Order_Date]],"YYY")</f>
        <v>2023</v>
      </c>
    </row>
    <row r="208" spans="1:14" x14ac:dyDescent="0.3">
      <c r="A208" s="4">
        <v>45241</v>
      </c>
      <c r="B208" s="5" t="s">
        <v>18</v>
      </c>
      <c r="C208" s="5" t="s">
        <v>1</v>
      </c>
      <c r="D208" s="23">
        <v>1448.12</v>
      </c>
      <c r="E208" s="23">
        <v>927.97</v>
      </c>
      <c r="F208" s="23">
        <v>520.15</v>
      </c>
      <c r="G208" s="5" t="s">
        <v>6</v>
      </c>
      <c r="H208" s="5" t="s">
        <v>35</v>
      </c>
      <c r="I208" s="5" t="s">
        <v>27</v>
      </c>
      <c r="J208" s="6">
        <f>Table1[[#This Row],[Profit]]/Table1[[#This Row],[Sales]]</f>
        <v>0.3591898461453471</v>
      </c>
      <c r="K208" s="5" t="str">
        <f t="shared" si="3"/>
        <v>Low</v>
      </c>
      <c r="L208" s="5" t="str">
        <f>TEXT(Table1[[#This Row],[Order_Date]],"MMM")</f>
        <v>Nov</v>
      </c>
      <c r="M208" s="5" t="str">
        <f>IF(Table1[[#This Row],[Profit]]&gt;=1000,"Excellent",IF(Table1[[#This Row],[Profit]]&gt;=500,"Good", IF(Table1[[#This Row],[Profit]]&lt;500,"Low")))</f>
        <v>Good</v>
      </c>
      <c r="N208" s="7" t="str">
        <f>TEXT(Table1[[#This Row],[Order_Date]],"YYY")</f>
        <v>2023</v>
      </c>
    </row>
    <row r="209" spans="1:14" x14ac:dyDescent="0.3">
      <c r="A209" s="4">
        <v>45242</v>
      </c>
      <c r="B209" s="5" t="s">
        <v>16</v>
      </c>
      <c r="C209" s="5" t="s">
        <v>26</v>
      </c>
      <c r="D209" s="23">
        <v>989.48</v>
      </c>
      <c r="E209" s="23">
        <v>339.02</v>
      </c>
      <c r="F209" s="23">
        <v>650.46</v>
      </c>
      <c r="G209" s="5" t="s">
        <v>6</v>
      </c>
      <c r="H209" s="5" t="s">
        <v>15</v>
      </c>
      <c r="I209" s="5" t="s">
        <v>22</v>
      </c>
      <c r="J209" s="6">
        <f>Table1[[#This Row],[Profit]]/Table1[[#This Row],[Sales]]</f>
        <v>0.65737559121963052</v>
      </c>
      <c r="K209" s="5" t="str">
        <f t="shared" si="3"/>
        <v>Low</v>
      </c>
      <c r="L209" s="5" t="str">
        <f>TEXT(Table1[[#This Row],[Order_Date]],"MMM")</f>
        <v>Nov</v>
      </c>
      <c r="M209" s="5" t="str">
        <f>IF(Table1[[#This Row],[Profit]]&gt;=1000,"Excellent",IF(Table1[[#This Row],[Profit]]&gt;=500,"Good", IF(Table1[[#This Row],[Profit]]&lt;500,"Low")))</f>
        <v>Good</v>
      </c>
      <c r="N209" s="7" t="str">
        <f>TEXT(Table1[[#This Row],[Order_Date]],"YYY")</f>
        <v>2023</v>
      </c>
    </row>
    <row r="210" spans="1:14" x14ac:dyDescent="0.3">
      <c r="A210" s="4">
        <v>45243</v>
      </c>
      <c r="B210" s="5" t="s">
        <v>18</v>
      </c>
      <c r="C210" s="5" t="s">
        <v>1</v>
      </c>
      <c r="D210" s="23">
        <v>488.18</v>
      </c>
      <c r="E210" s="23">
        <v>291.89999999999998</v>
      </c>
      <c r="F210" s="23">
        <v>196.28</v>
      </c>
      <c r="G210" s="5" t="s">
        <v>9</v>
      </c>
      <c r="H210" s="5" t="s">
        <v>24</v>
      </c>
      <c r="I210" s="5" t="s">
        <v>25</v>
      </c>
      <c r="J210" s="6">
        <f>Table1[[#This Row],[Profit]]/Table1[[#This Row],[Sales]]</f>
        <v>0.40206481215944939</v>
      </c>
      <c r="K210" s="5" t="str">
        <f t="shared" si="3"/>
        <v>Low</v>
      </c>
      <c r="L210" s="5" t="str">
        <f>TEXT(Table1[[#This Row],[Order_Date]],"MMM")</f>
        <v>Nov</v>
      </c>
      <c r="M210" s="5" t="str">
        <f>IF(Table1[[#This Row],[Profit]]&gt;=1000,"Excellent",IF(Table1[[#This Row],[Profit]]&gt;=500,"Good", IF(Table1[[#This Row],[Profit]]&lt;500,"Low")))</f>
        <v>Low</v>
      </c>
      <c r="N210" s="7" t="str">
        <f>TEXT(Table1[[#This Row],[Order_Date]],"YYY")</f>
        <v>2023</v>
      </c>
    </row>
    <row r="211" spans="1:14" x14ac:dyDescent="0.3">
      <c r="A211" s="4">
        <v>45243</v>
      </c>
      <c r="B211" s="5" t="s">
        <v>16</v>
      </c>
      <c r="C211" s="5" t="s">
        <v>26</v>
      </c>
      <c r="D211" s="23">
        <v>885.93</v>
      </c>
      <c r="E211" s="23">
        <v>385.81</v>
      </c>
      <c r="F211" s="23">
        <v>500.12</v>
      </c>
      <c r="G211" s="5" t="s">
        <v>20</v>
      </c>
      <c r="H211" s="5" t="s">
        <v>30</v>
      </c>
      <c r="I211" s="5" t="s">
        <v>27</v>
      </c>
      <c r="J211" s="6">
        <f>Table1[[#This Row],[Profit]]/Table1[[#This Row],[Sales]]</f>
        <v>0.56451412639824816</v>
      </c>
      <c r="K211" s="5" t="str">
        <f t="shared" si="3"/>
        <v>Low</v>
      </c>
      <c r="L211" s="5" t="str">
        <f>TEXT(Table1[[#This Row],[Order_Date]],"MMM")</f>
        <v>Nov</v>
      </c>
      <c r="M211" s="5" t="str">
        <f>IF(Table1[[#This Row],[Profit]]&gt;=1000,"Excellent",IF(Table1[[#This Row],[Profit]]&gt;=500,"Good", IF(Table1[[#This Row],[Profit]]&lt;500,"Low")))</f>
        <v>Good</v>
      </c>
      <c r="N211" s="7" t="str">
        <f>TEXT(Table1[[#This Row],[Order_Date]],"YYY")</f>
        <v>2023</v>
      </c>
    </row>
    <row r="212" spans="1:14" x14ac:dyDescent="0.3">
      <c r="A212" s="4">
        <v>45243</v>
      </c>
      <c r="B212" s="5" t="s">
        <v>13</v>
      </c>
      <c r="C212" s="5" t="s">
        <v>5</v>
      </c>
      <c r="D212" s="23">
        <v>1185.79</v>
      </c>
      <c r="E212" s="23">
        <v>473.97</v>
      </c>
      <c r="F212" s="23">
        <v>711.82</v>
      </c>
      <c r="G212" s="5" t="s">
        <v>32</v>
      </c>
      <c r="H212" s="5" t="s">
        <v>29</v>
      </c>
      <c r="I212" s="5" t="s">
        <v>11</v>
      </c>
      <c r="J212" s="6">
        <f>Table1[[#This Row],[Profit]]/Table1[[#This Row],[Sales]]</f>
        <v>0.60029178859663179</v>
      </c>
      <c r="K212" s="5" t="str">
        <f t="shared" si="3"/>
        <v>Low</v>
      </c>
      <c r="L212" s="5" t="str">
        <f>TEXT(Table1[[#This Row],[Order_Date]],"MMM")</f>
        <v>Nov</v>
      </c>
      <c r="M212" s="5" t="str">
        <f>IF(Table1[[#This Row],[Profit]]&gt;=1000,"Excellent",IF(Table1[[#This Row],[Profit]]&gt;=500,"Good", IF(Table1[[#This Row],[Profit]]&lt;500,"Low")))</f>
        <v>Good</v>
      </c>
      <c r="N212" s="7" t="str">
        <f>TEXT(Table1[[#This Row],[Order_Date]],"YYY")</f>
        <v>2023</v>
      </c>
    </row>
    <row r="213" spans="1:14" x14ac:dyDescent="0.3">
      <c r="A213" s="4">
        <v>45244</v>
      </c>
      <c r="B213" s="5" t="s">
        <v>18</v>
      </c>
      <c r="C213" s="5" t="s">
        <v>14</v>
      </c>
      <c r="D213" s="23">
        <v>315.64999999999998</v>
      </c>
      <c r="E213" s="23">
        <v>133.11000000000001</v>
      </c>
      <c r="F213" s="23">
        <v>182.54</v>
      </c>
      <c r="G213" s="5" t="s">
        <v>32</v>
      </c>
      <c r="H213" s="5" t="s">
        <v>29</v>
      </c>
      <c r="I213" s="5" t="s">
        <v>4</v>
      </c>
      <c r="J213" s="6">
        <f>Table1[[#This Row],[Profit]]/Table1[[#This Row],[Sales]]</f>
        <v>0.57829874861397124</v>
      </c>
      <c r="K213" s="5" t="str">
        <f t="shared" si="3"/>
        <v>Low</v>
      </c>
      <c r="L213" s="5" t="str">
        <f>TEXT(Table1[[#This Row],[Order_Date]],"MMM")</f>
        <v>Nov</v>
      </c>
      <c r="M213" s="5" t="str">
        <f>IF(Table1[[#This Row],[Profit]]&gt;=1000,"Excellent",IF(Table1[[#This Row],[Profit]]&gt;=500,"Good", IF(Table1[[#This Row],[Profit]]&lt;500,"Low")))</f>
        <v>Low</v>
      </c>
      <c r="N213" s="7" t="str">
        <f>TEXT(Table1[[#This Row],[Order_Date]],"YYY")</f>
        <v>2023</v>
      </c>
    </row>
    <row r="214" spans="1:14" x14ac:dyDescent="0.3">
      <c r="A214" s="4">
        <v>45244</v>
      </c>
      <c r="B214" s="5" t="s">
        <v>13</v>
      </c>
      <c r="C214" s="5" t="s">
        <v>1</v>
      </c>
      <c r="D214" s="23">
        <v>1463.82</v>
      </c>
      <c r="E214" s="23">
        <v>795.03</v>
      </c>
      <c r="F214" s="23">
        <v>668.79</v>
      </c>
      <c r="G214" s="5" t="s">
        <v>2</v>
      </c>
      <c r="H214" s="5" t="s">
        <v>29</v>
      </c>
      <c r="I214" s="5" t="s">
        <v>4</v>
      </c>
      <c r="J214" s="6">
        <f>Table1[[#This Row],[Profit]]/Table1[[#This Row],[Sales]]</f>
        <v>0.45687994425544126</v>
      </c>
      <c r="K214" s="5" t="str">
        <f t="shared" si="3"/>
        <v>Low</v>
      </c>
      <c r="L214" s="5" t="str">
        <f>TEXT(Table1[[#This Row],[Order_Date]],"MMM")</f>
        <v>Nov</v>
      </c>
      <c r="M214" s="5" t="str">
        <f>IF(Table1[[#This Row],[Profit]]&gt;=1000,"Excellent",IF(Table1[[#This Row],[Profit]]&gt;=500,"Good", IF(Table1[[#This Row],[Profit]]&lt;500,"Low")))</f>
        <v>Good</v>
      </c>
      <c r="N214" s="7" t="str">
        <f>TEXT(Table1[[#This Row],[Order_Date]],"YYY")</f>
        <v>2023</v>
      </c>
    </row>
    <row r="215" spans="1:14" x14ac:dyDescent="0.3">
      <c r="A215" s="4">
        <v>45244</v>
      </c>
      <c r="B215" s="5" t="s">
        <v>13</v>
      </c>
      <c r="C215" s="5" t="s">
        <v>1</v>
      </c>
      <c r="D215" s="23">
        <v>654.85</v>
      </c>
      <c r="E215" s="23">
        <v>380.9</v>
      </c>
      <c r="F215" s="23">
        <v>273.95</v>
      </c>
      <c r="G215" s="5" t="s">
        <v>2</v>
      </c>
      <c r="H215" s="5" t="s">
        <v>3</v>
      </c>
      <c r="I215" s="5" t="s">
        <v>11</v>
      </c>
      <c r="J215" s="6">
        <f>Table1[[#This Row],[Profit]]/Table1[[#This Row],[Sales]]</f>
        <v>0.41834007788043059</v>
      </c>
      <c r="K215" s="5" t="str">
        <f t="shared" si="3"/>
        <v>Low</v>
      </c>
      <c r="L215" s="5" t="str">
        <f>TEXT(Table1[[#This Row],[Order_Date]],"MMM")</f>
        <v>Nov</v>
      </c>
      <c r="M215" s="5" t="str">
        <f>IF(Table1[[#This Row],[Profit]]&gt;=1000,"Excellent",IF(Table1[[#This Row],[Profit]]&gt;=500,"Good", IF(Table1[[#This Row],[Profit]]&lt;500,"Low")))</f>
        <v>Low</v>
      </c>
      <c r="N215" s="7" t="str">
        <f>TEXT(Table1[[#This Row],[Order_Date]],"YYY")</f>
        <v>2023</v>
      </c>
    </row>
    <row r="216" spans="1:14" x14ac:dyDescent="0.3">
      <c r="A216" s="4">
        <v>45245</v>
      </c>
      <c r="B216" s="5" t="s">
        <v>18</v>
      </c>
      <c r="C216" s="5" t="s">
        <v>14</v>
      </c>
      <c r="D216" s="23">
        <v>145.72999999999999</v>
      </c>
      <c r="E216" s="23">
        <v>63.18</v>
      </c>
      <c r="F216" s="23">
        <v>82.55</v>
      </c>
      <c r="G216" s="5" t="s">
        <v>32</v>
      </c>
      <c r="H216" s="5" t="s">
        <v>34</v>
      </c>
      <c r="I216" s="5" t="s">
        <v>17</v>
      </c>
      <c r="J216" s="6">
        <f>Table1[[#This Row],[Profit]]/Table1[[#This Row],[Sales]]</f>
        <v>0.56645851917930423</v>
      </c>
      <c r="K216" s="5" t="str">
        <f t="shared" si="3"/>
        <v>Low</v>
      </c>
      <c r="L216" s="5" t="str">
        <f>TEXT(Table1[[#This Row],[Order_Date]],"MMM")</f>
        <v>Nov</v>
      </c>
      <c r="M216" s="5" t="str">
        <f>IF(Table1[[#This Row],[Profit]]&gt;=1000,"Excellent",IF(Table1[[#This Row],[Profit]]&gt;=500,"Good", IF(Table1[[#This Row],[Profit]]&lt;500,"Low")))</f>
        <v>Low</v>
      </c>
      <c r="N216" s="7" t="str">
        <f>TEXT(Table1[[#This Row],[Order_Date]],"YYY")</f>
        <v>2023</v>
      </c>
    </row>
    <row r="217" spans="1:14" x14ac:dyDescent="0.3">
      <c r="A217" s="4">
        <v>45245</v>
      </c>
      <c r="B217" s="5" t="s">
        <v>18</v>
      </c>
      <c r="C217" s="5" t="s">
        <v>31</v>
      </c>
      <c r="D217" s="23">
        <v>84.82</v>
      </c>
      <c r="E217" s="23">
        <v>20.58</v>
      </c>
      <c r="F217" s="23">
        <v>64.239999999999995</v>
      </c>
      <c r="G217" s="5" t="s">
        <v>6</v>
      </c>
      <c r="H217" s="5" t="s">
        <v>35</v>
      </c>
      <c r="I217" s="5" t="s">
        <v>17</v>
      </c>
      <c r="J217" s="6">
        <f>Table1[[#This Row],[Profit]]/Table1[[#This Row],[Sales]]</f>
        <v>0.75736854515444474</v>
      </c>
      <c r="K217" s="5" t="str">
        <f t="shared" si="3"/>
        <v>Low</v>
      </c>
      <c r="L217" s="5" t="str">
        <f>TEXT(Table1[[#This Row],[Order_Date]],"MMM")</f>
        <v>Nov</v>
      </c>
      <c r="M217" s="5" t="str">
        <f>IF(Table1[[#This Row],[Profit]]&gt;=1000,"Excellent",IF(Table1[[#This Row],[Profit]]&gt;=500,"Good", IF(Table1[[#This Row],[Profit]]&lt;500,"Low")))</f>
        <v>Low</v>
      </c>
      <c r="N217" s="7" t="str">
        <f>TEXT(Table1[[#This Row],[Order_Date]],"YYY")</f>
        <v>2023</v>
      </c>
    </row>
    <row r="218" spans="1:14" x14ac:dyDescent="0.3">
      <c r="A218" s="4">
        <v>45246</v>
      </c>
      <c r="B218" s="5" t="s">
        <v>0</v>
      </c>
      <c r="C218" s="5" t="s">
        <v>19</v>
      </c>
      <c r="D218" s="23">
        <v>61.28</v>
      </c>
      <c r="E218" s="23">
        <v>15.14</v>
      </c>
      <c r="F218" s="23">
        <v>46.14</v>
      </c>
      <c r="G218" s="5" t="s">
        <v>20</v>
      </c>
      <c r="H218" s="5" t="s">
        <v>15</v>
      </c>
      <c r="I218" s="5" t="s">
        <v>17</v>
      </c>
      <c r="J218" s="6">
        <f>Table1[[#This Row],[Profit]]/Table1[[#This Row],[Sales]]</f>
        <v>0.75293733681462138</v>
      </c>
      <c r="K218" s="5" t="str">
        <f t="shared" si="3"/>
        <v>Low</v>
      </c>
      <c r="L218" s="5" t="str">
        <f>TEXT(Table1[[#This Row],[Order_Date]],"MMM")</f>
        <v>Nov</v>
      </c>
      <c r="M218" s="5" t="str">
        <f>IF(Table1[[#This Row],[Profit]]&gt;=1000,"Excellent",IF(Table1[[#This Row],[Profit]]&gt;=500,"Good", IF(Table1[[#This Row],[Profit]]&lt;500,"Low")))</f>
        <v>Low</v>
      </c>
      <c r="N218" s="7" t="str">
        <f>TEXT(Table1[[#This Row],[Order_Date]],"YYY")</f>
        <v>2023</v>
      </c>
    </row>
    <row r="219" spans="1:14" x14ac:dyDescent="0.3">
      <c r="A219" s="4">
        <v>45246</v>
      </c>
      <c r="B219" s="5" t="s">
        <v>13</v>
      </c>
      <c r="C219" s="5" t="s">
        <v>14</v>
      </c>
      <c r="D219" s="23">
        <v>365.86</v>
      </c>
      <c r="E219" s="23">
        <v>133.27000000000001</v>
      </c>
      <c r="F219" s="23">
        <v>232.59</v>
      </c>
      <c r="G219" s="5" t="s">
        <v>2</v>
      </c>
      <c r="H219" s="5" t="s">
        <v>7</v>
      </c>
      <c r="I219" s="5" t="s">
        <v>11</v>
      </c>
      <c r="J219" s="6">
        <f>Table1[[#This Row],[Profit]]/Table1[[#This Row],[Sales]]</f>
        <v>0.63573498059366973</v>
      </c>
      <c r="K219" s="5" t="str">
        <f t="shared" si="3"/>
        <v>Low</v>
      </c>
      <c r="L219" s="5" t="str">
        <f>TEXT(Table1[[#This Row],[Order_Date]],"MMM")</f>
        <v>Nov</v>
      </c>
      <c r="M219" s="5" t="str">
        <f>IF(Table1[[#This Row],[Profit]]&gt;=1000,"Excellent",IF(Table1[[#This Row],[Profit]]&gt;=500,"Good", IF(Table1[[#This Row],[Profit]]&lt;500,"Low")))</f>
        <v>Low</v>
      </c>
      <c r="N219" s="7" t="str">
        <f>TEXT(Table1[[#This Row],[Order_Date]],"YYY")</f>
        <v>2023</v>
      </c>
    </row>
    <row r="220" spans="1:14" x14ac:dyDescent="0.3">
      <c r="A220" s="4">
        <v>45247</v>
      </c>
      <c r="B220" s="5" t="s">
        <v>0</v>
      </c>
      <c r="C220" s="5" t="s">
        <v>5</v>
      </c>
      <c r="D220" s="23">
        <v>2340.5500000000002</v>
      </c>
      <c r="E220" s="23">
        <v>769.82</v>
      </c>
      <c r="F220" s="23">
        <v>1570.73</v>
      </c>
      <c r="G220" s="5" t="s">
        <v>20</v>
      </c>
      <c r="H220" s="5" t="s">
        <v>33</v>
      </c>
      <c r="I220" s="5" t="s">
        <v>27</v>
      </c>
      <c r="J220" s="6">
        <f>Table1[[#This Row],[Profit]]/Table1[[#This Row],[Sales]]</f>
        <v>0.67109440088868</v>
      </c>
      <c r="K220" s="5" t="str">
        <f t="shared" si="3"/>
        <v>High</v>
      </c>
      <c r="L220" s="5" t="str">
        <f>TEXT(Table1[[#This Row],[Order_Date]],"MMM")</f>
        <v>Nov</v>
      </c>
      <c r="M220" s="5" t="str">
        <f>IF(Table1[[#This Row],[Profit]]&gt;=1000,"Excellent",IF(Table1[[#This Row],[Profit]]&gt;=500,"Good", IF(Table1[[#This Row],[Profit]]&lt;500,"Low")))</f>
        <v>Excellent</v>
      </c>
      <c r="N220" s="7" t="str">
        <f>TEXT(Table1[[#This Row],[Order_Date]],"YYY")</f>
        <v>2023</v>
      </c>
    </row>
    <row r="221" spans="1:14" x14ac:dyDescent="0.3">
      <c r="A221" s="4">
        <v>45247</v>
      </c>
      <c r="B221" s="5" t="s">
        <v>18</v>
      </c>
      <c r="C221" s="5" t="s">
        <v>19</v>
      </c>
      <c r="D221" s="23">
        <v>82.47</v>
      </c>
      <c r="E221" s="23">
        <v>25.38</v>
      </c>
      <c r="F221" s="23">
        <v>57.09</v>
      </c>
      <c r="G221" s="5" t="s">
        <v>9</v>
      </c>
      <c r="H221" s="5" t="s">
        <v>33</v>
      </c>
      <c r="I221" s="5" t="s">
        <v>27</v>
      </c>
      <c r="J221" s="6">
        <f>Table1[[#This Row],[Profit]]/Table1[[#This Row],[Sales]]</f>
        <v>0.69225172790105494</v>
      </c>
      <c r="K221" s="5" t="str">
        <f t="shared" si="3"/>
        <v>Low</v>
      </c>
      <c r="L221" s="5" t="str">
        <f>TEXT(Table1[[#This Row],[Order_Date]],"MMM")</f>
        <v>Nov</v>
      </c>
      <c r="M221" s="5" t="str">
        <f>IF(Table1[[#This Row],[Profit]]&gt;=1000,"Excellent",IF(Table1[[#This Row],[Profit]]&gt;=500,"Good", IF(Table1[[#This Row],[Profit]]&lt;500,"Low")))</f>
        <v>Low</v>
      </c>
      <c r="N221" s="7" t="str">
        <f>TEXT(Table1[[#This Row],[Order_Date]],"YYY")</f>
        <v>2023</v>
      </c>
    </row>
    <row r="222" spans="1:14" x14ac:dyDescent="0.3">
      <c r="A222" s="4">
        <v>45247</v>
      </c>
      <c r="B222" s="5" t="s">
        <v>8</v>
      </c>
      <c r="C222" s="5" t="s">
        <v>26</v>
      </c>
      <c r="D222" s="23">
        <v>159.1</v>
      </c>
      <c r="E222" s="23">
        <v>44.16</v>
      </c>
      <c r="F222" s="23">
        <v>114.94</v>
      </c>
      <c r="G222" s="5" t="s">
        <v>32</v>
      </c>
      <c r="H222" s="5" t="s">
        <v>15</v>
      </c>
      <c r="I222" s="5" t="s">
        <v>25</v>
      </c>
      <c r="J222" s="6">
        <f>Table1[[#This Row],[Profit]]/Table1[[#This Row],[Sales]]</f>
        <v>0.72243871778755497</v>
      </c>
      <c r="K222" s="5" t="str">
        <f t="shared" si="3"/>
        <v>Low</v>
      </c>
      <c r="L222" s="5" t="str">
        <f>TEXT(Table1[[#This Row],[Order_Date]],"MMM")</f>
        <v>Nov</v>
      </c>
      <c r="M222" s="5" t="str">
        <f>IF(Table1[[#This Row],[Profit]]&gt;=1000,"Excellent",IF(Table1[[#This Row],[Profit]]&gt;=500,"Good", IF(Table1[[#This Row],[Profit]]&lt;500,"Low")))</f>
        <v>Low</v>
      </c>
      <c r="N222" s="7" t="str">
        <f>TEXT(Table1[[#This Row],[Order_Date]],"YYY")</f>
        <v>2023</v>
      </c>
    </row>
    <row r="223" spans="1:14" x14ac:dyDescent="0.3">
      <c r="A223" s="4">
        <v>45249</v>
      </c>
      <c r="B223" s="5" t="s">
        <v>13</v>
      </c>
      <c r="C223" s="5" t="s">
        <v>1</v>
      </c>
      <c r="D223" s="23">
        <v>684.35</v>
      </c>
      <c r="E223" s="23">
        <v>315.93</v>
      </c>
      <c r="F223" s="23">
        <v>368.42</v>
      </c>
      <c r="G223" s="5" t="s">
        <v>9</v>
      </c>
      <c r="H223" s="5" t="s">
        <v>24</v>
      </c>
      <c r="I223" s="5" t="s">
        <v>22</v>
      </c>
      <c r="J223" s="6">
        <f>Table1[[#This Row],[Profit]]/Table1[[#This Row],[Sales]]</f>
        <v>0.53835025937020531</v>
      </c>
      <c r="K223" s="5" t="str">
        <f t="shared" si="3"/>
        <v>Low</v>
      </c>
      <c r="L223" s="5" t="str">
        <f>TEXT(Table1[[#This Row],[Order_Date]],"MMM")</f>
        <v>Nov</v>
      </c>
      <c r="M223" s="5" t="str">
        <f>IF(Table1[[#This Row],[Profit]]&gt;=1000,"Excellent",IF(Table1[[#This Row],[Profit]]&gt;=500,"Good", IF(Table1[[#This Row],[Profit]]&lt;500,"Low")))</f>
        <v>Low</v>
      </c>
      <c r="N223" s="7" t="str">
        <f>TEXT(Table1[[#This Row],[Order_Date]],"YYY")</f>
        <v>2023</v>
      </c>
    </row>
    <row r="224" spans="1:14" x14ac:dyDescent="0.3">
      <c r="A224" s="4">
        <v>45249</v>
      </c>
      <c r="B224" s="5" t="s">
        <v>0</v>
      </c>
      <c r="C224" s="5" t="s">
        <v>5</v>
      </c>
      <c r="D224" s="23">
        <v>2117.77</v>
      </c>
      <c r="E224" s="23">
        <v>915.24</v>
      </c>
      <c r="F224" s="23">
        <v>1202.53</v>
      </c>
      <c r="G224" s="5" t="s">
        <v>2</v>
      </c>
      <c r="H224" s="5" t="s">
        <v>7</v>
      </c>
      <c r="I224" s="5" t="s">
        <v>4</v>
      </c>
      <c r="J224" s="6">
        <f>Table1[[#This Row],[Profit]]/Table1[[#This Row],[Sales]]</f>
        <v>0.56782842329431427</v>
      </c>
      <c r="K224" s="5" t="str">
        <f t="shared" si="3"/>
        <v>High</v>
      </c>
      <c r="L224" s="5" t="str">
        <f>TEXT(Table1[[#This Row],[Order_Date]],"MMM")</f>
        <v>Nov</v>
      </c>
      <c r="M224" s="5" t="str">
        <f>IF(Table1[[#This Row],[Profit]]&gt;=1000,"Excellent",IF(Table1[[#This Row],[Profit]]&gt;=500,"Good", IF(Table1[[#This Row],[Profit]]&lt;500,"Low")))</f>
        <v>Excellent</v>
      </c>
      <c r="N224" s="7" t="str">
        <f>TEXT(Table1[[#This Row],[Order_Date]],"YYY")</f>
        <v>2023</v>
      </c>
    </row>
    <row r="225" spans="1:14" x14ac:dyDescent="0.3">
      <c r="A225" s="4">
        <v>45249</v>
      </c>
      <c r="B225" s="5" t="s">
        <v>18</v>
      </c>
      <c r="C225" s="5" t="s">
        <v>5</v>
      </c>
      <c r="D225" s="23">
        <v>1544.32</v>
      </c>
      <c r="E225" s="23">
        <v>609.30999999999995</v>
      </c>
      <c r="F225" s="23">
        <v>935.01</v>
      </c>
      <c r="G225" s="5" t="s">
        <v>32</v>
      </c>
      <c r="H225" s="5" t="s">
        <v>28</v>
      </c>
      <c r="I225" s="5" t="s">
        <v>27</v>
      </c>
      <c r="J225" s="6">
        <f>Table1[[#This Row],[Profit]]/Table1[[#This Row],[Sales]]</f>
        <v>0.6054509428097804</v>
      </c>
      <c r="K225" s="5" t="str">
        <f t="shared" si="3"/>
        <v>Medium</v>
      </c>
      <c r="L225" s="5" t="str">
        <f>TEXT(Table1[[#This Row],[Order_Date]],"MMM")</f>
        <v>Nov</v>
      </c>
      <c r="M225" s="5" t="str">
        <f>IF(Table1[[#This Row],[Profit]]&gt;=1000,"Excellent",IF(Table1[[#This Row],[Profit]]&gt;=500,"Good", IF(Table1[[#This Row],[Profit]]&lt;500,"Low")))</f>
        <v>Good</v>
      </c>
      <c r="N225" s="7" t="str">
        <f>TEXT(Table1[[#This Row],[Order_Date]],"YYY")</f>
        <v>2023</v>
      </c>
    </row>
    <row r="226" spans="1:14" x14ac:dyDescent="0.3">
      <c r="A226" s="4">
        <v>45250</v>
      </c>
      <c r="B226" s="5" t="s">
        <v>13</v>
      </c>
      <c r="C226" s="5" t="s">
        <v>1</v>
      </c>
      <c r="D226" s="23">
        <v>860.78</v>
      </c>
      <c r="E226" s="23">
        <v>553.91</v>
      </c>
      <c r="F226" s="23">
        <v>306.87</v>
      </c>
      <c r="G226" s="5" t="s">
        <v>32</v>
      </c>
      <c r="H226" s="5" t="s">
        <v>10</v>
      </c>
      <c r="I226" s="5" t="s">
        <v>22</v>
      </c>
      <c r="J226" s="6">
        <f>Table1[[#This Row],[Profit]]/Table1[[#This Row],[Sales]]</f>
        <v>0.3565022421524664</v>
      </c>
      <c r="K226" s="5" t="str">
        <f t="shared" si="3"/>
        <v>Low</v>
      </c>
      <c r="L226" s="5" t="str">
        <f>TEXT(Table1[[#This Row],[Order_Date]],"MMM")</f>
        <v>Nov</v>
      </c>
      <c r="M226" s="5" t="str">
        <f>IF(Table1[[#This Row],[Profit]]&gt;=1000,"Excellent",IF(Table1[[#This Row],[Profit]]&gt;=500,"Good", IF(Table1[[#This Row],[Profit]]&lt;500,"Low")))</f>
        <v>Low</v>
      </c>
      <c r="N226" s="7" t="str">
        <f>TEXT(Table1[[#This Row],[Order_Date]],"YYY")</f>
        <v>2023</v>
      </c>
    </row>
    <row r="227" spans="1:14" x14ac:dyDescent="0.3">
      <c r="A227" s="4">
        <v>45250</v>
      </c>
      <c r="B227" s="5" t="s">
        <v>8</v>
      </c>
      <c r="C227" s="5" t="s">
        <v>23</v>
      </c>
      <c r="D227" s="23">
        <v>387.03</v>
      </c>
      <c r="E227" s="23">
        <v>181.27</v>
      </c>
      <c r="F227" s="23">
        <v>205.76</v>
      </c>
      <c r="G227" s="5" t="s">
        <v>9</v>
      </c>
      <c r="H227" s="5" t="s">
        <v>36</v>
      </c>
      <c r="I227" s="5" t="s">
        <v>22</v>
      </c>
      <c r="J227" s="6">
        <f>Table1[[#This Row],[Profit]]/Table1[[#This Row],[Sales]]</f>
        <v>0.53163837428623106</v>
      </c>
      <c r="K227" s="5" t="str">
        <f t="shared" si="3"/>
        <v>Low</v>
      </c>
      <c r="L227" s="5" t="str">
        <f>TEXT(Table1[[#This Row],[Order_Date]],"MMM")</f>
        <v>Nov</v>
      </c>
      <c r="M227" s="5" t="str">
        <f>IF(Table1[[#This Row],[Profit]]&gt;=1000,"Excellent",IF(Table1[[#This Row],[Profit]]&gt;=500,"Good", IF(Table1[[#This Row],[Profit]]&lt;500,"Low")))</f>
        <v>Low</v>
      </c>
      <c r="N227" s="7" t="str">
        <f>TEXT(Table1[[#This Row],[Order_Date]],"YYY")</f>
        <v>2023</v>
      </c>
    </row>
    <row r="228" spans="1:14" x14ac:dyDescent="0.3">
      <c r="A228" s="4">
        <v>45251</v>
      </c>
      <c r="B228" s="5" t="s">
        <v>0</v>
      </c>
      <c r="C228" s="5" t="s">
        <v>23</v>
      </c>
      <c r="D228" s="23">
        <v>591.29</v>
      </c>
      <c r="E228" s="23">
        <v>248.54</v>
      </c>
      <c r="F228" s="23">
        <v>342.75</v>
      </c>
      <c r="G228" s="5" t="s">
        <v>20</v>
      </c>
      <c r="H228" s="5" t="s">
        <v>24</v>
      </c>
      <c r="I228" s="5" t="s">
        <v>4</v>
      </c>
      <c r="J228" s="6">
        <f>Table1[[#This Row],[Profit]]/Table1[[#This Row],[Sales]]</f>
        <v>0.5796648006900168</v>
      </c>
      <c r="K228" s="5" t="str">
        <f t="shared" si="3"/>
        <v>Low</v>
      </c>
      <c r="L228" s="5" t="str">
        <f>TEXT(Table1[[#This Row],[Order_Date]],"MMM")</f>
        <v>Nov</v>
      </c>
      <c r="M228" s="5" t="str">
        <f>IF(Table1[[#This Row],[Profit]]&gt;=1000,"Excellent",IF(Table1[[#This Row],[Profit]]&gt;=500,"Good", IF(Table1[[#This Row],[Profit]]&lt;500,"Low")))</f>
        <v>Low</v>
      </c>
      <c r="N228" s="7" t="str">
        <f>TEXT(Table1[[#This Row],[Order_Date]],"YYY")</f>
        <v>2023</v>
      </c>
    </row>
    <row r="229" spans="1:14" x14ac:dyDescent="0.3">
      <c r="A229" s="4">
        <v>45252</v>
      </c>
      <c r="B229" s="5" t="s">
        <v>16</v>
      </c>
      <c r="C229" s="5" t="s">
        <v>19</v>
      </c>
      <c r="D229" s="23">
        <v>78.56</v>
      </c>
      <c r="E229" s="23">
        <v>17.489999999999998</v>
      </c>
      <c r="F229" s="23">
        <v>61.07</v>
      </c>
      <c r="G229" s="5" t="s">
        <v>20</v>
      </c>
      <c r="H229" s="5" t="s">
        <v>24</v>
      </c>
      <c r="I229" s="5" t="s">
        <v>17</v>
      </c>
      <c r="J229" s="6">
        <f>Table1[[#This Row],[Profit]]/Table1[[#This Row],[Sales]]</f>
        <v>0.777367617107943</v>
      </c>
      <c r="K229" s="5" t="str">
        <f t="shared" si="3"/>
        <v>Low</v>
      </c>
      <c r="L229" s="5" t="str">
        <f>TEXT(Table1[[#This Row],[Order_Date]],"MMM")</f>
        <v>Nov</v>
      </c>
      <c r="M229" s="5" t="str">
        <f>IF(Table1[[#This Row],[Profit]]&gt;=1000,"Excellent",IF(Table1[[#This Row],[Profit]]&gt;=500,"Good", IF(Table1[[#This Row],[Profit]]&lt;500,"Low")))</f>
        <v>Low</v>
      </c>
      <c r="N229" s="7" t="str">
        <f>TEXT(Table1[[#This Row],[Order_Date]],"YYY")</f>
        <v>2023</v>
      </c>
    </row>
    <row r="230" spans="1:14" x14ac:dyDescent="0.3">
      <c r="A230" s="4">
        <v>45252</v>
      </c>
      <c r="B230" s="5" t="s">
        <v>0</v>
      </c>
      <c r="C230" s="5" t="s">
        <v>14</v>
      </c>
      <c r="D230" s="23">
        <v>253.82</v>
      </c>
      <c r="E230" s="23">
        <v>111.8</v>
      </c>
      <c r="F230" s="23">
        <v>142.02000000000001</v>
      </c>
      <c r="G230" s="5" t="s">
        <v>9</v>
      </c>
      <c r="H230" s="5" t="s">
        <v>29</v>
      </c>
      <c r="I230" s="5" t="s">
        <v>4</v>
      </c>
      <c r="J230" s="6">
        <f>Table1[[#This Row],[Profit]]/Table1[[#This Row],[Sales]]</f>
        <v>0.55953037585690657</v>
      </c>
      <c r="K230" s="5" t="str">
        <f t="shared" si="3"/>
        <v>Low</v>
      </c>
      <c r="L230" s="5" t="str">
        <f>TEXT(Table1[[#This Row],[Order_Date]],"MMM")</f>
        <v>Nov</v>
      </c>
      <c r="M230" s="5" t="str">
        <f>IF(Table1[[#This Row],[Profit]]&gt;=1000,"Excellent",IF(Table1[[#This Row],[Profit]]&gt;=500,"Good", IF(Table1[[#This Row],[Profit]]&lt;500,"Low")))</f>
        <v>Low</v>
      </c>
      <c r="N230" s="7" t="str">
        <f>TEXT(Table1[[#This Row],[Order_Date]],"YYY")</f>
        <v>2023</v>
      </c>
    </row>
    <row r="231" spans="1:14" x14ac:dyDescent="0.3">
      <c r="A231" s="4">
        <v>45253</v>
      </c>
      <c r="B231" s="5" t="s">
        <v>18</v>
      </c>
      <c r="C231" s="5" t="s">
        <v>14</v>
      </c>
      <c r="D231" s="23">
        <v>259.93</v>
      </c>
      <c r="E231" s="23">
        <v>91.21</v>
      </c>
      <c r="F231" s="23">
        <v>168.72</v>
      </c>
      <c r="G231" s="5" t="s">
        <v>20</v>
      </c>
      <c r="H231" s="5" t="s">
        <v>24</v>
      </c>
      <c r="I231" s="5" t="s">
        <v>27</v>
      </c>
      <c r="J231" s="6">
        <f>Table1[[#This Row],[Profit]]/Table1[[#This Row],[Sales]]</f>
        <v>0.64909783403223942</v>
      </c>
      <c r="K231" s="5" t="str">
        <f t="shared" si="3"/>
        <v>Low</v>
      </c>
      <c r="L231" s="5" t="str">
        <f>TEXT(Table1[[#This Row],[Order_Date]],"MMM")</f>
        <v>Nov</v>
      </c>
      <c r="M231" s="5" t="str">
        <f>IF(Table1[[#This Row],[Profit]]&gt;=1000,"Excellent",IF(Table1[[#This Row],[Profit]]&gt;=500,"Good", IF(Table1[[#This Row],[Profit]]&lt;500,"Low")))</f>
        <v>Low</v>
      </c>
      <c r="N231" s="7" t="str">
        <f>TEXT(Table1[[#This Row],[Order_Date]],"YYY")</f>
        <v>2023</v>
      </c>
    </row>
    <row r="232" spans="1:14" x14ac:dyDescent="0.3">
      <c r="A232" s="4">
        <v>45253</v>
      </c>
      <c r="B232" s="5" t="s">
        <v>8</v>
      </c>
      <c r="C232" s="5" t="s">
        <v>23</v>
      </c>
      <c r="D232" s="23">
        <v>532.98</v>
      </c>
      <c r="E232" s="23">
        <v>264.85000000000002</v>
      </c>
      <c r="F232" s="23">
        <v>268.13</v>
      </c>
      <c r="G232" s="5" t="s">
        <v>9</v>
      </c>
      <c r="H232" s="5" t="s">
        <v>33</v>
      </c>
      <c r="I232" s="5" t="s">
        <v>22</v>
      </c>
      <c r="J232" s="6">
        <f>Table1[[#This Row],[Profit]]/Table1[[#This Row],[Sales]]</f>
        <v>0.50307703853803143</v>
      </c>
      <c r="K232" s="5" t="str">
        <f t="shared" si="3"/>
        <v>Low</v>
      </c>
      <c r="L232" s="5" t="str">
        <f>TEXT(Table1[[#This Row],[Order_Date]],"MMM")</f>
        <v>Nov</v>
      </c>
      <c r="M232" s="5" t="str">
        <f>IF(Table1[[#This Row],[Profit]]&gt;=1000,"Excellent",IF(Table1[[#This Row],[Profit]]&gt;=500,"Good", IF(Table1[[#This Row],[Profit]]&lt;500,"Low")))</f>
        <v>Low</v>
      </c>
      <c r="N232" s="7" t="str">
        <f>TEXT(Table1[[#This Row],[Order_Date]],"YYY")</f>
        <v>2023</v>
      </c>
    </row>
    <row r="233" spans="1:14" x14ac:dyDescent="0.3">
      <c r="A233" s="4">
        <v>45253</v>
      </c>
      <c r="B233" s="5" t="s">
        <v>8</v>
      </c>
      <c r="C233" s="5" t="s">
        <v>19</v>
      </c>
      <c r="D233" s="23">
        <v>100.27</v>
      </c>
      <c r="E233" s="23">
        <v>28.66</v>
      </c>
      <c r="F233" s="23">
        <v>71.61</v>
      </c>
      <c r="G233" s="5" t="s">
        <v>2</v>
      </c>
      <c r="H233" s="5" t="s">
        <v>37</v>
      </c>
      <c r="I233" s="5" t="s">
        <v>17</v>
      </c>
      <c r="J233" s="6">
        <f>Table1[[#This Row],[Profit]]/Table1[[#This Row],[Sales]]</f>
        <v>0.71417173631195774</v>
      </c>
      <c r="K233" s="5" t="str">
        <f t="shared" si="3"/>
        <v>Low</v>
      </c>
      <c r="L233" s="5" t="str">
        <f>TEXT(Table1[[#This Row],[Order_Date]],"MMM")</f>
        <v>Nov</v>
      </c>
      <c r="M233" s="5" t="str">
        <f>IF(Table1[[#This Row],[Profit]]&gt;=1000,"Excellent",IF(Table1[[#This Row],[Profit]]&gt;=500,"Good", IF(Table1[[#This Row],[Profit]]&lt;500,"Low")))</f>
        <v>Low</v>
      </c>
      <c r="N233" s="7" t="str">
        <f>TEXT(Table1[[#This Row],[Order_Date]],"YYY")</f>
        <v>2023</v>
      </c>
    </row>
    <row r="234" spans="1:14" x14ac:dyDescent="0.3">
      <c r="A234" s="4">
        <v>45253</v>
      </c>
      <c r="B234" s="5" t="s">
        <v>18</v>
      </c>
      <c r="C234" s="5" t="s">
        <v>14</v>
      </c>
      <c r="D234" s="23">
        <v>385.77</v>
      </c>
      <c r="E234" s="23">
        <v>153.74</v>
      </c>
      <c r="F234" s="23">
        <v>232.03</v>
      </c>
      <c r="G234" s="5" t="s">
        <v>9</v>
      </c>
      <c r="H234" s="5" t="s">
        <v>3</v>
      </c>
      <c r="I234" s="5" t="s">
        <v>11</v>
      </c>
      <c r="J234" s="6">
        <f>Table1[[#This Row],[Profit]]/Table1[[#This Row],[Sales]]</f>
        <v>0.60147237991549374</v>
      </c>
      <c r="K234" s="5" t="str">
        <f t="shared" si="3"/>
        <v>Low</v>
      </c>
      <c r="L234" s="5" t="str">
        <f>TEXT(Table1[[#This Row],[Order_Date]],"MMM")</f>
        <v>Nov</v>
      </c>
      <c r="M234" s="5" t="str">
        <f>IF(Table1[[#This Row],[Profit]]&gt;=1000,"Excellent",IF(Table1[[#This Row],[Profit]]&gt;=500,"Good", IF(Table1[[#This Row],[Profit]]&lt;500,"Low")))</f>
        <v>Low</v>
      </c>
      <c r="N234" s="7" t="str">
        <f>TEXT(Table1[[#This Row],[Order_Date]],"YYY")</f>
        <v>2023</v>
      </c>
    </row>
    <row r="235" spans="1:14" x14ac:dyDescent="0.3">
      <c r="A235" s="4">
        <v>45254</v>
      </c>
      <c r="B235" s="5" t="s">
        <v>0</v>
      </c>
      <c r="C235" s="5" t="s">
        <v>14</v>
      </c>
      <c r="D235" s="23">
        <v>166.48</v>
      </c>
      <c r="E235" s="23">
        <v>87.05</v>
      </c>
      <c r="F235" s="23">
        <v>79.430000000000007</v>
      </c>
      <c r="G235" s="5" t="s">
        <v>9</v>
      </c>
      <c r="H235" s="5" t="s">
        <v>28</v>
      </c>
      <c r="I235" s="5" t="s">
        <v>4</v>
      </c>
      <c r="J235" s="6">
        <f>Table1[[#This Row],[Profit]]/Table1[[#This Row],[Sales]]</f>
        <v>0.47711436809226343</v>
      </c>
      <c r="K235" s="5" t="str">
        <f t="shared" si="3"/>
        <v>Low</v>
      </c>
      <c r="L235" s="5" t="str">
        <f>TEXT(Table1[[#This Row],[Order_Date]],"MMM")</f>
        <v>Nov</v>
      </c>
      <c r="M235" s="5" t="str">
        <f>IF(Table1[[#This Row],[Profit]]&gt;=1000,"Excellent",IF(Table1[[#This Row],[Profit]]&gt;=500,"Good", IF(Table1[[#This Row],[Profit]]&lt;500,"Low")))</f>
        <v>Low</v>
      </c>
      <c r="N235" s="7" t="str">
        <f>TEXT(Table1[[#This Row],[Order_Date]],"YYY")</f>
        <v>2023</v>
      </c>
    </row>
    <row r="236" spans="1:14" x14ac:dyDescent="0.3">
      <c r="A236" s="4">
        <v>45254</v>
      </c>
      <c r="B236" s="5" t="s">
        <v>13</v>
      </c>
      <c r="C236" s="5" t="s">
        <v>31</v>
      </c>
      <c r="D236" s="23">
        <v>203.68</v>
      </c>
      <c r="E236" s="23">
        <v>53.17</v>
      </c>
      <c r="F236" s="23">
        <v>150.51</v>
      </c>
      <c r="G236" s="5" t="s">
        <v>2</v>
      </c>
      <c r="H236" s="5" t="s">
        <v>3</v>
      </c>
      <c r="I236" s="5" t="s">
        <v>11</v>
      </c>
      <c r="J236" s="6">
        <f>Table1[[#This Row],[Profit]]/Table1[[#This Row],[Sales]]</f>
        <v>0.73895326001571082</v>
      </c>
      <c r="K236" s="5" t="str">
        <f t="shared" si="3"/>
        <v>Low</v>
      </c>
      <c r="L236" s="5" t="str">
        <f>TEXT(Table1[[#This Row],[Order_Date]],"MMM")</f>
        <v>Nov</v>
      </c>
      <c r="M236" s="5" t="str">
        <f>IF(Table1[[#This Row],[Profit]]&gt;=1000,"Excellent",IF(Table1[[#This Row],[Profit]]&gt;=500,"Good", IF(Table1[[#This Row],[Profit]]&lt;500,"Low")))</f>
        <v>Low</v>
      </c>
      <c r="N236" s="7" t="str">
        <f>TEXT(Table1[[#This Row],[Order_Date]],"YYY")</f>
        <v>2023</v>
      </c>
    </row>
    <row r="237" spans="1:14" x14ac:dyDescent="0.3">
      <c r="A237" s="4">
        <v>45256</v>
      </c>
      <c r="B237" s="5" t="s">
        <v>0</v>
      </c>
      <c r="C237" s="5" t="s">
        <v>1</v>
      </c>
      <c r="D237" s="23">
        <v>968.1</v>
      </c>
      <c r="E237" s="23">
        <v>670.25</v>
      </c>
      <c r="F237" s="23">
        <v>297.85000000000002</v>
      </c>
      <c r="G237" s="5" t="s">
        <v>20</v>
      </c>
      <c r="H237" s="5" t="s">
        <v>34</v>
      </c>
      <c r="I237" s="5" t="s">
        <v>17</v>
      </c>
      <c r="J237" s="6">
        <f>Table1[[#This Row],[Profit]]/Table1[[#This Row],[Sales]]</f>
        <v>0.30766449746926972</v>
      </c>
      <c r="K237" s="5" t="str">
        <f t="shared" si="3"/>
        <v>Low</v>
      </c>
      <c r="L237" s="5" t="str">
        <f>TEXT(Table1[[#This Row],[Order_Date]],"MMM")</f>
        <v>Nov</v>
      </c>
      <c r="M237" s="5" t="str">
        <f>IF(Table1[[#This Row],[Profit]]&gt;=1000,"Excellent",IF(Table1[[#This Row],[Profit]]&gt;=500,"Good", IF(Table1[[#This Row],[Profit]]&lt;500,"Low")))</f>
        <v>Low</v>
      </c>
      <c r="N237" s="7" t="str">
        <f>TEXT(Table1[[#This Row],[Order_Date]],"YYY")</f>
        <v>2023</v>
      </c>
    </row>
    <row r="238" spans="1:14" x14ac:dyDescent="0.3">
      <c r="A238" s="4">
        <v>45257</v>
      </c>
      <c r="B238" s="5" t="s">
        <v>13</v>
      </c>
      <c r="C238" s="5" t="s">
        <v>19</v>
      </c>
      <c r="D238" s="23">
        <v>50.52</v>
      </c>
      <c r="E238" s="23">
        <v>12.88</v>
      </c>
      <c r="F238" s="23">
        <v>37.64</v>
      </c>
      <c r="G238" s="5" t="s">
        <v>6</v>
      </c>
      <c r="H238" s="5" t="s">
        <v>28</v>
      </c>
      <c r="I238" s="5" t="s">
        <v>27</v>
      </c>
      <c r="J238" s="6">
        <f>Table1[[#This Row],[Profit]]/Table1[[#This Row],[Sales]]</f>
        <v>0.74505146476642914</v>
      </c>
      <c r="K238" s="5" t="str">
        <f t="shared" si="3"/>
        <v>Low</v>
      </c>
      <c r="L238" s="5" t="str">
        <f>TEXT(Table1[[#This Row],[Order_Date]],"MMM")</f>
        <v>Nov</v>
      </c>
      <c r="M238" s="5" t="str">
        <f>IF(Table1[[#This Row],[Profit]]&gt;=1000,"Excellent",IF(Table1[[#This Row],[Profit]]&gt;=500,"Good", IF(Table1[[#This Row],[Profit]]&lt;500,"Low")))</f>
        <v>Low</v>
      </c>
      <c r="N238" s="7" t="str">
        <f>TEXT(Table1[[#This Row],[Order_Date]],"YYY")</f>
        <v>2023</v>
      </c>
    </row>
    <row r="239" spans="1:14" x14ac:dyDescent="0.3">
      <c r="A239" s="4">
        <v>45257</v>
      </c>
      <c r="B239" s="5" t="s">
        <v>16</v>
      </c>
      <c r="C239" s="5" t="s">
        <v>31</v>
      </c>
      <c r="D239" s="23">
        <v>10.96</v>
      </c>
      <c r="E239" s="23">
        <v>2.29</v>
      </c>
      <c r="F239" s="23">
        <v>8.67</v>
      </c>
      <c r="G239" s="5" t="s">
        <v>2</v>
      </c>
      <c r="H239" s="5" t="s">
        <v>30</v>
      </c>
      <c r="I239" s="5" t="s">
        <v>4</v>
      </c>
      <c r="J239" s="6">
        <f>Table1[[#This Row],[Profit]]/Table1[[#This Row],[Sales]]</f>
        <v>0.79105839416058388</v>
      </c>
      <c r="K239" s="5" t="str">
        <f t="shared" si="3"/>
        <v>Low</v>
      </c>
      <c r="L239" s="5" t="str">
        <f>TEXT(Table1[[#This Row],[Order_Date]],"MMM")</f>
        <v>Nov</v>
      </c>
      <c r="M239" s="5" t="str">
        <f>IF(Table1[[#This Row],[Profit]]&gt;=1000,"Excellent",IF(Table1[[#This Row],[Profit]]&gt;=500,"Good", IF(Table1[[#This Row],[Profit]]&lt;500,"Low")))</f>
        <v>Low</v>
      </c>
      <c r="N239" s="7" t="str">
        <f>TEXT(Table1[[#This Row],[Order_Date]],"YYY")</f>
        <v>2023</v>
      </c>
    </row>
    <row r="240" spans="1:14" x14ac:dyDescent="0.3">
      <c r="A240" s="4">
        <v>45257</v>
      </c>
      <c r="B240" s="5" t="s">
        <v>18</v>
      </c>
      <c r="C240" s="5" t="s">
        <v>19</v>
      </c>
      <c r="D240" s="23">
        <v>65.44</v>
      </c>
      <c r="E240" s="23">
        <v>25.11</v>
      </c>
      <c r="F240" s="23">
        <v>40.33</v>
      </c>
      <c r="G240" s="5" t="s">
        <v>2</v>
      </c>
      <c r="H240" s="5" t="s">
        <v>37</v>
      </c>
      <c r="I240" s="5" t="s">
        <v>22</v>
      </c>
      <c r="J240" s="6">
        <f>Table1[[#This Row],[Profit]]/Table1[[#This Row],[Sales]]</f>
        <v>0.61628973105134477</v>
      </c>
      <c r="K240" s="5" t="str">
        <f t="shared" si="3"/>
        <v>Low</v>
      </c>
      <c r="L240" s="5" t="str">
        <f>TEXT(Table1[[#This Row],[Order_Date]],"MMM")</f>
        <v>Nov</v>
      </c>
      <c r="M240" s="5" t="str">
        <f>IF(Table1[[#This Row],[Profit]]&gt;=1000,"Excellent",IF(Table1[[#This Row],[Profit]]&gt;=500,"Good", IF(Table1[[#This Row],[Profit]]&lt;500,"Low")))</f>
        <v>Low</v>
      </c>
      <c r="N240" s="7" t="str">
        <f>TEXT(Table1[[#This Row],[Order_Date]],"YYY")</f>
        <v>2023</v>
      </c>
    </row>
    <row r="241" spans="1:14" x14ac:dyDescent="0.3">
      <c r="A241" s="4">
        <v>45257</v>
      </c>
      <c r="B241" s="5" t="s">
        <v>8</v>
      </c>
      <c r="C241" s="5" t="s">
        <v>1</v>
      </c>
      <c r="D241" s="23">
        <v>96.87</v>
      </c>
      <c r="E241" s="23">
        <v>51.42</v>
      </c>
      <c r="F241" s="23">
        <v>45.45</v>
      </c>
      <c r="G241" s="5" t="s">
        <v>20</v>
      </c>
      <c r="H241" s="5" t="s">
        <v>29</v>
      </c>
      <c r="I241" s="5" t="s">
        <v>17</v>
      </c>
      <c r="J241" s="6">
        <f>Table1[[#This Row],[Profit]]/Table1[[#This Row],[Sales]]</f>
        <v>0.46918550634871475</v>
      </c>
      <c r="K241" s="5" t="str">
        <f t="shared" si="3"/>
        <v>Low</v>
      </c>
      <c r="L241" s="5" t="str">
        <f>TEXT(Table1[[#This Row],[Order_Date]],"MMM")</f>
        <v>Nov</v>
      </c>
      <c r="M241" s="5" t="str">
        <f>IF(Table1[[#This Row],[Profit]]&gt;=1000,"Excellent",IF(Table1[[#This Row],[Profit]]&gt;=500,"Good", IF(Table1[[#This Row],[Profit]]&lt;500,"Low")))</f>
        <v>Low</v>
      </c>
      <c r="N241" s="7" t="str">
        <f>TEXT(Table1[[#This Row],[Order_Date]],"YYY")</f>
        <v>2023</v>
      </c>
    </row>
    <row r="242" spans="1:14" x14ac:dyDescent="0.3">
      <c r="A242" s="4">
        <v>45258</v>
      </c>
      <c r="B242" s="5" t="s">
        <v>18</v>
      </c>
      <c r="C242" s="5" t="s">
        <v>1</v>
      </c>
      <c r="D242" s="23">
        <v>532.71</v>
      </c>
      <c r="E242" s="23">
        <v>368.54</v>
      </c>
      <c r="F242" s="23">
        <v>164.17</v>
      </c>
      <c r="G242" s="5" t="s">
        <v>2</v>
      </c>
      <c r="H242" s="5" t="s">
        <v>36</v>
      </c>
      <c r="I242" s="5" t="s">
        <v>27</v>
      </c>
      <c r="J242" s="6">
        <f>Table1[[#This Row],[Profit]]/Table1[[#This Row],[Sales]]</f>
        <v>0.30817893412926356</v>
      </c>
      <c r="K242" s="5" t="str">
        <f t="shared" si="3"/>
        <v>Low</v>
      </c>
      <c r="L242" s="5" t="str">
        <f>TEXT(Table1[[#This Row],[Order_Date]],"MMM")</f>
        <v>Nov</v>
      </c>
      <c r="M242" s="5" t="str">
        <f>IF(Table1[[#This Row],[Profit]]&gt;=1000,"Excellent",IF(Table1[[#This Row],[Profit]]&gt;=500,"Good", IF(Table1[[#This Row],[Profit]]&lt;500,"Low")))</f>
        <v>Low</v>
      </c>
      <c r="N242" s="7" t="str">
        <f>TEXT(Table1[[#This Row],[Order_Date]],"YYY")</f>
        <v>2023</v>
      </c>
    </row>
    <row r="243" spans="1:14" x14ac:dyDescent="0.3">
      <c r="A243" s="4">
        <v>45258</v>
      </c>
      <c r="B243" s="5" t="s">
        <v>16</v>
      </c>
      <c r="C243" s="5" t="s">
        <v>19</v>
      </c>
      <c r="D243" s="23">
        <v>60.3</v>
      </c>
      <c r="E243" s="23">
        <v>21.6</v>
      </c>
      <c r="F243" s="23">
        <v>38.700000000000003</v>
      </c>
      <c r="G243" s="5" t="s">
        <v>9</v>
      </c>
      <c r="H243" s="5" t="s">
        <v>34</v>
      </c>
      <c r="I243" s="5" t="s">
        <v>17</v>
      </c>
      <c r="J243" s="6">
        <f>Table1[[#This Row],[Profit]]/Table1[[#This Row],[Sales]]</f>
        <v>0.64179104477611948</v>
      </c>
      <c r="K243" s="5" t="str">
        <f t="shared" si="3"/>
        <v>Low</v>
      </c>
      <c r="L243" s="5" t="str">
        <f>TEXT(Table1[[#This Row],[Order_Date]],"MMM")</f>
        <v>Nov</v>
      </c>
      <c r="M243" s="5" t="str">
        <f>IF(Table1[[#This Row],[Profit]]&gt;=1000,"Excellent",IF(Table1[[#This Row],[Profit]]&gt;=500,"Good", IF(Table1[[#This Row],[Profit]]&lt;500,"Low")))</f>
        <v>Low</v>
      </c>
      <c r="N243" s="7" t="str">
        <f>TEXT(Table1[[#This Row],[Order_Date]],"YYY")</f>
        <v>2023</v>
      </c>
    </row>
    <row r="244" spans="1:14" x14ac:dyDescent="0.3">
      <c r="A244" s="4">
        <v>45258</v>
      </c>
      <c r="B244" s="5" t="s">
        <v>18</v>
      </c>
      <c r="C244" s="5" t="s">
        <v>5</v>
      </c>
      <c r="D244" s="23">
        <v>2220.06</v>
      </c>
      <c r="E244" s="23">
        <v>871.44</v>
      </c>
      <c r="F244" s="23">
        <v>1348.62</v>
      </c>
      <c r="G244" s="5" t="s">
        <v>20</v>
      </c>
      <c r="H244" s="5" t="s">
        <v>7</v>
      </c>
      <c r="I244" s="5" t="s">
        <v>4</v>
      </c>
      <c r="J244" s="6">
        <f>Table1[[#This Row],[Profit]]/Table1[[#This Row],[Sales]]</f>
        <v>0.60747006837653028</v>
      </c>
      <c r="K244" s="5" t="str">
        <f t="shared" si="3"/>
        <v>High</v>
      </c>
      <c r="L244" s="5" t="str">
        <f>TEXT(Table1[[#This Row],[Order_Date]],"MMM")</f>
        <v>Nov</v>
      </c>
      <c r="M244" s="5" t="str">
        <f>IF(Table1[[#This Row],[Profit]]&gt;=1000,"Excellent",IF(Table1[[#This Row],[Profit]]&gt;=500,"Good", IF(Table1[[#This Row],[Profit]]&lt;500,"Low")))</f>
        <v>Excellent</v>
      </c>
      <c r="N244" s="7" t="str">
        <f>TEXT(Table1[[#This Row],[Order_Date]],"YYY")</f>
        <v>2023</v>
      </c>
    </row>
    <row r="245" spans="1:14" x14ac:dyDescent="0.3">
      <c r="A245" s="4">
        <v>45258</v>
      </c>
      <c r="B245" s="5" t="s">
        <v>0</v>
      </c>
      <c r="C245" s="5" t="s">
        <v>5</v>
      </c>
      <c r="D245" s="23">
        <v>437.06</v>
      </c>
      <c r="E245" s="23">
        <v>183.44</v>
      </c>
      <c r="F245" s="23">
        <v>253.62</v>
      </c>
      <c r="G245" s="5" t="s">
        <v>20</v>
      </c>
      <c r="H245" s="5" t="s">
        <v>7</v>
      </c>
      <c r="I245" s="5" t="s">
        <v>22</v>
      </c>
      <c r="J245" s="6">
        <f>Table1[[#This Row],[Profit]]/Table1[[#This Row],[Sales]]</f>
        <v>0.58028645952500801</v>
      </c>
      <c r="K245" s="5" t="str">
        <f t="shared" si="3"/>
        <v>Low</v>
      </c>
      <c r="L245" s="5" t="str">
        <f>TEXT(Table1[[#This Row],[Order_Date]],"MMM")</f>
        <v>Nov</v>
      </c>
      <c r="M245" s="5" t="str">
        <f>IF(Table1[[#This Row],[Profit]]&gt;=1000,"Excellent",IF(Table1[[#This Row],[Profit]]&gt;=500,"Good", IF(Table1[[#This Row],[Profit]]&lt;500,"Low")))</f>
        <v>Low</v>
      </c>
      <c r="N245" s="7" t="str">
        <f>TEXT(Table1[[#This Row],[Order_Date]],"YYY")</f>
        <v>2023</v>
      </c>
    </row>
    <row r="246" spans="1:14" x14ac:dyDescent="0.3">
      <c r="A246" s="4">
        <v>45259</v>
      </c>
      <c r="B246" s="5" t="s">
        <v>18</v>
      </c>
      <c r="C246" s="5" t="s">
        <v>31</v>
      </c>
      <c r="D246" s="23">
        <v>155.13999999999999</v>
      </c>
      <c r="E246" s="23">
        <v>35.14</v>
      </c>
      <c r="F246" s="23">
        <v>120</v>
      </c>
      <c r="G246" s="5" t="s">
        <v>2</v>
      </c>
      <c r="H246" s="5" t="s">
        <v>28</v>
      </c>
      <c r="I246" s="5" t="s">
        <v>27</v>
      </c>
      <c r="J246" s="6">
        <f>Table1[[#This Row],[Profit]]/Table1[[#This Row],[Sales]]</f>
        <v>0.77349490782519026</v>
      </c>
      <c r="K246" s="5" t="str">
        <f t="shared" si="3"/>
        <v>Low</v>
      </c>
      <c r="L246" s="5" t="str">
        <f>TEXT(Table1[[#This Row],[Order_Date]],"MMM")</f>
        <v>Nov</v>
      </c>
      <c r="M246" s="5" t="str">
        <f>IF(Table1[[#This Row],[Profit]]&gt;=1000,"Excellent",IF(Table1[[#This Row],[Profit]]&gt;=500,"Good", IF(Table1[[#This Row],[Profit]]&lt;500,"Low")))</f>
        <v>Low</v>
      </c>
      <c r="N246" s="7" t="str">
        <f>TEXT(Table1[[#This Row],[Order_Date]],"YYY")</f>
        <v>2023</v>
      </c>
    </row>
    <row r="247" spans="1:14" x14ac:dyDescent="0.3">
      <c r="A247" s="4">
        <v>45259</v>
      </c>
      <c r="B247" s="5" t="s">
        <v>8</v>
      </c>
      <c r="C247" s="5" t="s">
        <v>31</v>
      </c>
      <c r="D247" s="23">
        <v>200.17</v>
      </c>
      <c r="E247" s="23">
        <v>42.9</v>
      </c>
      <c r="F247" s="23">
        <v>157.27000000000001</v>
      </c>
      <c r="G247" s="5" t="s">
        <v>32</v>
      </c>
      <c r="H247" s="5" t="s">
        <v>29</v>
      </c>
      <c r="I247" s="5" t="s">
        <v>11</v>
      </c>
      <c r="J247" s="6">
        <f>Table1[[#This Row],[Profit]]/Table1[[#This Row],[Sales]]</f>
        <v>0.78568217015536801</v>
      </c>
      <c r="K247" s="5" t="str">
        <f t="shared" si="3"/>
        <v>Low</v>
      </c>
      <c r="L247" s="5" t="str">
        <f>TEXT(Table1[[#This Row],[Order_Date]],"MMM")</f>
        <v>Nov</v>
      </c>
      <c r="M247" s="5" t="str">
        <f>IF(Table1[[#This Row],[Profit]]&gt;=1000,"Excellent",IF(Table1[[#This Row],[Profit]]&gt;=500,"Good", IF(Table1[[#This Row],[Profit]]&lt;500,"Low")))</f>
        <v>Low</v>
      </c>
      <c r="N247" s="7" t="str">
        <f>TEXT(Table1[[#This Row],[Order_Date]],"YYY")</f>
        <v>2023</v>
      </c>
    </row>
    <row r="248" spans="1:14" x14ac:dyDescent="0.3">
      <c r="A248" s="4">
        <v>45259</v>
      </c>
      <c r="B248" s="5" t="s">
        <v>13</v>
      </c>
      <c r="C248" s="5" t="s">
        <v>19</v>
      </c>
      <c r="D248" s="23">
        <v>71.84</v>
      </c>
      <c r="E248" s="23">
        <v>22.57</v>
      </c>
      <c r="F248" s="23">
        <v>49.27</v>
      </c>
      <c r="G248" s="5" t="s">
        <v>9</v>
      </c>
      <c r="H248" s="5" t="s">
        <v>3</v>
      </c>
      <c r="I248" s="5" t="s">
        <v>22</v>
      </c>
      <c r="J248" s="6">
        <f>Table1[[#This Row],[Profit]]/Table1[[#This Row],[Sales]]</f>
        <v>0.68582962138084635</v>
      </c>
      <c r="K248" s="5" t="str">
        <f t="shared" si="3"/>
        <v>Low</v>
      </c>
      <c r="L248" s="5" t="str">
        <f>TEXT(Table1[[#This Row],[Order_Date]],"MMM")</f>
        <v>Nov</v>
      </c>
      <c r="M248" s="5" t="str">
        <f>IF(Table1[[#This Row],[Profit]]&gt;=1000,"Excellent",IF(Table1[[#This Row],[Profit]]&gt;=500,"Good", IF(Table1[[#This Row],[Profit]]&lt;500,"Low")))</f>
        <v>Low</v>
      </c>
      <c r="N248" s="7" t="str">
        <f>TEXT(Table1[[#This Row],[Order_Date]],"YYY")</f>
        <v>2023</v>
      </c>
    </row>
    <row r="249" spans="1:14" x14ac:dyDescent="0.3">
      <c r="A249" s="4">
        <v>45260</v>
      </c>
      <c r="B249" s="5" t="s">
        <v>16</v>
      </c>
      <c r="C249" s="5" t="s">
        <v>14</v>
      </c>
      <c r="D249" s="23">
        <v>89.01</v>
      </c>
      <c r="E249" s="23">
        <v>29.02</v>
      </c>
      <c r="F249" s="23">
        <v>59.99</v>
      </c>
      <c r="G249" s="5" t="s">
        <v>6</v>
      </c>
      <c r="H249" s="5" t="s">
        <v>35</v>
      </c>
      <c r="I249" s="5" t="s">
        <v>17</v>
      </c>
      <c r="J249" s="6">
        <f>Table1[[#This Row],[Profit]]/Table1[[#This Row],[Sales]]</f>
        <v>0.67396921694191658</v>
      </c>
      <c r="K249" s="5" t="str">
        <f t="shared" si="3"/>
        <v>Low</v>
      </c>
      <c r="L249" s="5" t="str">
        <f>TEXT(Table1[[#This Row],[Order_Date]],"MMM")</f>
        <v>Nov</v>
      </c>
      <c r="M249" s="5" t="str">
        <f>IF(Table1[[#This Row],[Profit]]&gt;=1000,"Excellent",IF(Table1[[#This Row],[Profit]]&gt;=500,"Good", IF(Table1[[#This Row],[Profit]]&lt;500,"Low")))</f>
        <v>Low</v>
      </c>
      <c r="N249" s="7" t="str">
        <f>TEXT(Table1[[#This Row],[Order_Date]],"YYY")</f>
        <v>2023</v>
      </c>
    </row>
    <row r="250" spans="1:14" x14ac:dyDescent="0.3">
      <c r="A250" s="4">
        <v>45260</v>
      </c>
      <c r="B250" s="5" t="s">
        <v>13</v>
      </c>
      <c r="C250" s="5" t="s">
        <v>23</v>
      </c>
      <c r="D250" s="23">
        <v>404.16</v>
      </c>
      <c r="E250" s="23">
        <v>141.19999999999999</v>
      </c>
      <c r="F250" s="23">
        <v>262.95999999999998</v>
      </c>
      <c r="G250" s="5" t="s">
        <v>20</v>
      </c>
      <c r="H250" s="5" t="s">
        <v>30</v>
      </c>
      <c r="I250" s="5" t="s">
        <v>25</v>
      </c>
      <c r="J250" s="6">
        <f>Table1[[#This Row],[Profit]]/Table1[[#This Row],[Sales]]</f>
        <v>0.65063341250989692</v>
      </c>
      <c r="K250" s="5" t="str">
        <f t="shared" si="3"/>
        <v>Low</v>
      </c>
      <c r="L250" s="5" t="str">
        <f>TEXT(Table1[[#This Row],[Order_Date]],"MMM")</f>
        <v>Nov</v>
      </c>
      <c r="M250" s="5" t="str">
        <f>IF(Table1[[#This Row],[Profit]]&gt;=1000,"Excellent",IF(Table1[[#This Row],[Profit]]&gt;=500,"Good", IF(Table1[[#This Row],[Profit]]&lt;500,"Low")))</f>
        <v>Low</v>
      </c>
      <c r="N250" s="7" t="str">
        <f>TEXT(Table1[[#This Row],[Order_Date]],"YYY")</f>
        <v>2023</v>
      </c>
    </row>
    <row r="251" spans="1:14" x14ac:dyDescent="0.3">
      <c r="A251" s="4">
        <v>45260</v>
      </c>
      <c r="B251" s="5" t="s">
        <v>8</v>
      </c>
      <c r="C251" s="5" t="s">
        <v>31</v>
      </c>
      <c r="D251" s="23">
        <v>219.19</v>
      </c>
      <c r="E251" s="23">
        <v>66.34</v>
      </c>
      <c r="F251" s="23">
        <v>152.85</v>
      </c>
      <c r="G251" s="5" t="s">
        <v>2</v>
      </c>
      <c r="H251" s="5" t="s">
        <v>37</v>
      </c>
      <c r="I251" s="5" t="s">
        <v>25</v>
      </c>
      <c r="J251" s="6">
        <f>Table1[[#This Row],[Profit]]/Table1[[#This Row],[Sales]]</f>
        <v>0.69734020712623745</v>
      </c>
      <c r="K251" s="5" t="str">
        <f t="shared" si="3"/>
        <v>Low</v>
      </c>
      <c r="L251" s="5" t="str">
        <f>TEXT(Table1[[#This Row],[Order_Date]],"MMM")</f>
        <v>Nov</v>
      </c>
      <c r="M251" s="5" t="str">
        <f>IF(Table1[[#This Row],[Profit]]&gt;=1000,"Excellent",IF(Table1[[#This Row],[Profit]]&gt;=500,"Good", IF(Table1[[#This Row],[Profit]]&lt;500,"Low")))</f>
        <v>Low</v>
      </c>
      <c r="N251" s="7" t="str">
        <f>TEXT(Table1[[#This Row],[Order_Date]],"YYY")</f>
        <v>2023</v>
      </c>
    </row>
    <row r="252" spans="1:14" x14ac:dyDescent="0.3">
      <c r="A252" s="4">
        <v>45261</v>
      </c>
      <c r="B252" s="5" t="s">
        <v>13</v>
      </c>
      <c r="C252" s="5" t="s">
        <v>31</v>
      </c>
      <c r="D252" s="23">
        <v>207.88</v>
      </c>
      <c r="E252" s="23">
        <v>43.33</v>
      </c>
      <c r="F252" s="23">
        <v>164.55</v>
      </c>
      <c r="G252" s="5" t="s">
        <v>20</v>
      </c>
      <c r="H252" s="5" t="s">
        <v>29</v>
      </c>
      <c r="I252" s="5" t="s">
        <v>22</v>
      </c>
      <c r="J252" s="6">
        <f>Table1[[#This Row],[Profit]]/Table1[[#This Row],[Sales]]</f>
        <v>0.79156243986915531</v>
      </c>
      <c r="K252" s="5" t="str">
        <f t="shared" si="3"/>
        <v>Low</v>
      </c>
      <c r="L252" s="5" t="str">
        <f>TEXT(Table1[[#This Row],[Order_Date]],"MMM")</f>
        <v>Dec</v>
      </c>
      <c r="M252" s="5" t="str">
        <f>IF(Table1[[#This Row],[Profit]]&gt;=1000,"Excellent",IF(Table1[[#This Row],[Profit]]&gt;=500,"Good", IF(Table1[[#This Row],[Profit]]&lt;500,"Low")))</f>
        <v>Low</v>
      </c>
      <c r="N252" s="7" t="str">
        <f>TEXT(Table1[[#This Row],[Order_Date]],"YYY")</f>
        <v>2023</v>
      </c>
    </row>
    <row r="253" spans="1:14" x14ac:dyDescent="0.3">
      <c r="A253" s="4">
        <v>45262</v>
      </c>
      <c r="B253" s="5" t="s">
        <v>16</v>
      </c>
      <c r="C253" s="5" t="s">
        <v>5</v>
      </c>
      <c r="D253" s="23">
        <v>915.92</v>
      </c>
      <c r="E253" s="23">
        <v>436.53</v>
      </c>
      <c r="F253" s="23">
        <v>479.39</v>
      </c>
      <c r="G253" s="5" t="s">
        <v>20</v>
      </c>
      <c r="H253" s="5" t="s">
        <v>12</v>
      </c>
      <c r="I253" s="5" t="s">
        <v>4</v>
      </c>
      <c r="J253" s="6">
        <f>Table1[[#This Row],[Profit]]/Table1[[#This Row],[Sales]]</f>
        <v>0.52339723993361864</v>
      </c>
      <c r="K253" s="5" t="str">
        <f t="shared" si="3"/>
        <v>Low</v>
      </c>
      <c r="L253" s="5" t="str">
        <f>TEXT(Table1[[#This Row],[Order_Date]],"MMM")</f>
        <v>Dec</v>
      </c>
      <c r="M253" s="5" t="str">
        <f>IF(Table1[[#This Row],[Profit]]&gt;=1000,"Excellent",IF(Table1[[#This Row],[Profit]]&gt;=500,"Good", IF(Table1[[#This Row],[Profit]]&lt;500,"Low")))</f>
        <v>Low</v>
      </c>
      <c r="N253" s="7" t="str">
        <f>TEXT(Table1[[#This Row],[Order_Date]],"YYY")</f>
        <v>2023</v>
      </c>
    </row>
    <row r="254" spans="1:14" x14ac:dyDescent="0.3">
      <c r="A254" s="4">
        <v>45262</v>
      </c>
      <c r="B254" s="5" t="s">
        <v>0</v>
      </c>
      <c r="C254" s="5" t="s">
        <v>1</v>
      </c>
      <c r="D254" s="23">
        <v>588.91</v>
      </c>
      <c r="E254" s="23">
        <v>390.88</v>
      </c>
      <c r="F254" s="23">
        <v>198.03</v>
      </c>
      <c r="G254" s="5" t="s">
        <v>6</v>
      </c>
      <c r="H254" s="5" t="s">
        <v>30</v>
      </c>
      <c r="I254" s="5" t="s">
        <v>25</v>
      </c>
      <c r="J254" s="6">
        <f>Table1[[#This Row],[Profit]]/Table1[[#This Row],[Sales]]</f>
        <v>0.33626530369665997</v>
      </c>
      <c r="K254" s="5" t="str">
        <f t="shared" si="3"/>
        <v>Low</v>
      </c>
      <c r="L254" s="5" t="str">
        <f>TEXT(Table1[[#This Row],[Order_Date]],"MMM")</f>
        <v>Dec</v>
      </c>
      <c r="M254" s="5" t="str">
        <f>IF(Table1[[#This Row],[Profit]]&gt;=1000,"Excellent",IF(Table1[[#This Row],[Profit]]&gt;=500,"Good", IF(Table1[[#This Row],[Profit]]&lt;500,"Low")))</f>
        <v>Low</v>
      </c>
      <c r="N254" s="7" t="str">
        <f>TEXT(Table1[[#This Row],[Order_Date]],"YYY")</f>
        <v>2023</v>
      </c>
    </row>
    <row r="255" spans="1:14" x14ac:dyDescent="0.3">
      <c r="A255" s="4">
        <v>45263</v>
      </c>
      <c r="B255" s="5" t="s">
        <v>8</v>
      </c>
      <c r="C255" s="5" t="s">
        <v>31</v>
      </c>
      <c r="D255" s="23">
        <v>137.49</v>
      </c>
      <c r="E255" s="23">
        <v>41.68</v>
      </c>
      <c r="F255" s="23">
        <v>95.81</v>
      </c>
      <c r="G255" s="5" t="s">
        <v>9</v>
      </c>
      <c r="H255" s="5" t="s">
        <v>15</v>
      </c>
      <c r="I255" s="5" t="s">
        <v>4</v>
      </c>
      <c r="J255" s="6">
        <f>Table1[[#This Row],[Profit]]/Table1[[#This Row],[Sales]]</f>
        <v>0.69685068004945816</v>
      </c>
      <c r="K255" s="5" t="str">
        <f t="shared" si="3"/>
        <v>Low</v>
      </c>
      <c r="L255" s="5" t="str">
        <f>TEXT(Table1[[#This Row],[Order_Date]],"MMM")</f>
        <v>Dec</v>
      </c>
      <c r="M255" s="5" t="str">
        <f>IF(Table1[[#This Row],[Profit]]&gt;=1000,"Excellent",IF(Table1[[#This Row],[Profit]]&gt;=500,"Good", IF(Table1[[#This Row],[Profit]]&lt;500,"Low")))</f>
        <v>Low</v>
      </c>
      <c r="N255" s="7" t="str">
        <f>TEXT(Table1[[#This Row],[Order_Date]],"YYY")</f>
        <v>2023</v>
      </c>
    </row>
    <row r="256" spans="1:14" x14ac:dyDescent="0.3">
      <c r="A256" s="4">
        <v>45263</v>
      </c>
      <c r="B256" s="5" t="s">
        <v>13</v>
      </c>
      <c r="C256" s="5" t="s">
        <v>1</v>
      </c>
      <c r="D256" s="23">
        <v>147.68</v>
      </c>
      <c r="E256" s="23">
        <v>99.75</v>
      </c>
      <c r="F256" s="23">
        <v>47.93</v>
      </c>
      <c r="G256" s="5" t="s">
        <v>20</v>
      </c>
      <c r="H256" s="5" t="s">
        <v>29</v>
      </c>
      <c r="I256" s="5" t="s">
        <v>27</v>
      </c>
      <c r="J256" s="6">
        <f>Table1[[#This Row],[Profit]]/Table1[[#This Row],[Sales]]</f>
        <v>0.32455308775731312</v>
      </c>
      <c r="K256" s="5" t="str">
        <f t="shared" si="3"/>
        <v>Low</v>
      </c>
      <c r="L256" s="5" t="str">
        <f>TEXT(Table1[[#This Row],[Order_Date]],"MMM")</f>
        <v>Dec</v>
      </c>
      <c r="M256" s="5" t="str">
        <f>IF(Table1[[#This Row],[Profit]]&gt;=1000,"Excellent",IF(Table1[[#This Row],[Profit]]&gt;=500,"Good", IF(Table1[[#This Row],[Profit]]&lt;500,"Low")))</f>
        <v>Low</v>
      </c>
      <c r="N256" s="7" t="str">
        <f>TEXT(Table1[[#This Row],[Order_Date]],"YYY")</f>
        <v>2023</v>
      </c>
    </row>
    <row r="257" spans="1:14" x14ac:dyDescent="0.3">
      <c r="A257" s="4">
        <v>45263</v>
      </c>
      <c r="B257" s="5" t="s">
        <v>8</v>
      </c>
      <c r="C257" s="5" t="s">
        <v>19</v>
      </c>
      <c r="D257" s="23">
        <v>110.49</v>
      </c>
      <c r="E257" s="23">
        <v>29.97</v>
      </c>
      <c r="F257" s="23">
        <v>80.52</v>
      </c>
      <c r="G257" s="5" t="s">
        <v>32</v>
      </c>
      <c r="H257" s="5" t="s">
        <v>10</v>
      </c>
      <c r="I257" s="5" t="s">
        <v>17</v>
      </c>
      <c r="J257" s="6">
        <f>Table1[[#This Row],[Profit]]/Table1[[#This Row],[Sales]]</f>
        <v>0.72875373336953575</v>
      </c>
      <c r="K257" s="5" t="str">
        <f t="shared" si="3"/>
        <v>Low</v>
      </c>
      <c r="L257" s="5" t="str">
        <f>TEXT(Table1[[#This Row],[Order_Date]],"MMM")</f>
        <v>Dec</v>
      </c>
      <c r="M257" s="5" t="str">
        <f>IF(Table1[[#This Row],[Profit]]&gt;=1000,"Excellent",IF(Table1[[#This Row],[Profit]]&gt;=500,"Good", IF(Table1[[#This Row],[Profit]]&lt;500,"Low")))</f>
        <v>Low</v>
      </c>
      <c r="N257" s="7" t="str">
        <f>TEXT(Table1[[#This Row],[Order_Date]],"YYY")</f>
        <v>2023</v>
      </c>
    </row>
    <row r="258" spans="1:14" x14ac:dyDescent="0.3">
      <c r="A258" s="4">
        <v>45263</v>
      </c>
      <c r="B258" s="5" t="s">
        <v>16</v>
      </c>
      <c r="C258" s="5" t="s">
        <v>19</v>
      </c>
      <c r="D258" s="23">
        <v>68.59</v>
      </c>
      <c r="E258" s="23">
        <v>29.36</v>
      </c>
      <c r="F258" s="23">
        <v>39.229999999999997</v>
      </c>
      <c r="G258" s="5" t="s">
        <v>2</v>
      </c>
      <c r="H258" s="5" t="s">
        <v>3</v>
      </c>
      <c r="I258" s="5" t="s">
        <v>25</v>
      </c>
      <c r="J258" s="6">
        <f>Table1[[#This Row],[Profit]]/Table1[[#This Row],[Sales]]</f>
        <v>0.57194926374107002</v>
      </c>
      <c r="K258" s="5" t="str">
        <f t="shared" ref="K258:K321" si="4">IF(D258&gt;=2000,"High",IF(D258&gt;=1500,"Medium","Low"))</f>
        <v>Low</v>
      </c>
      <c r="L258" s="5" t="str">
        <f>TEXT(Table1[[#This Row],[Order_Date]],"MMM")</f>
        <v>Dec</v>
      </c>
      <c r="M258" s="5" t="str">
        <f>IF(Table1[[#This Row],[Profit]]&gt;=1000,"Excellent",IF(Table1[[#This Row],[Profit]]&gt;=500,"Good", IF(Table1[[#This Row],[Profit]]&lt;500,"Low")))</f>
        <v>Low</v>
      </c>
      <c r="N258" s="7" t="str">
        <f>TEXT(Table1[[#This Row],[Order_Date]],"YYY")</f>
        <v>2023</v>
      </c>
    </row>
    <row r="259" spans="1:14" x14ac:dyDescent="0.3">
      <c r="A259" s="4">
        <v>45263</v>
      </c>
      <c r="B259" s="5" t="s">
        <v>18</v>
      </c>
      <c r="C259" s="5" t="s">
        <v>23</v>
      </c>
      <c r="D259" s="23">
        <v>355.66</v>
      </c>
      <c r="E259" s="23">
        <v>128.43</v>
      </c>
      <c r="F259" s="23">
        <v>227.23</v>
      </c>
      <c r="G259" s="5" t="s">
        <v>32</v>
      </c>
      <c r="H259" s="5" t="s">
        <v>10</v>
      </c>
      <c r="I259" s="5" t="s">
        <v>22</v>
      </c>
      <c r="J259" s="6">
        <f>Table1[[#This Row],[Profit]]/Table1[[#This Row],[Sales]]</f>
        <v>0.63889669909464086</v>
      </c>
      <c r="K259" s="5" t="str">
        <f t="shared" si="4"/>
        <v>Low</v>
      </c>
      <c r="L259" s="5" t="str">
        <f>TEXT(Table1[[#This Row],[Order_Date]],"MMM")</f>
        <v>Dec</v>
      </c>
      <c r="M259" s="5" t="str">
        <f>IF(Table1[[#This Row],[Profit]]&gt;=1000,"Excellent",IF(Table1[[#This Row],[Profit]]&gt;=500,"Good", IF(Table1[[#This Row],[Profit]]&lt;500,"Low")))</f>
        <v>Low</v>
      </c>
      <c r="N259" s="7" t="str">
        <f>TEXT(Table1[[#This Row],[Order_Date]],"YYY")</f>
        <v>2023</v>
      </c>
    </row>
    <row r="260" spans="1:14" x14ac:dyDescent="0.3">
      <c r="A260" s="4">
        <v>45263</v>
      </c>
      <c r="B260" s="5" t="s">
        <v>0</v>
      </c>
      <c r="C260" s="5" t="s">
        <v>19</v>
      </c>
      <c r="D260" s="23">
        <v>130.69999999999999</v>
      </c>
      <c r="E260" s="23">
        <v>31.2</v>
      </c>
      <c r="F260" s="23">
        <v>99.5</v>
      </c>
      <c r="G260" s="5" t="s">
        <v>2</v>
      </c>
      <c r="H260" s="5" t="s">
        <v>15</v>
      </c>
      <c r="I260" s="5" t="s">
        <v>22</v>
      </c>
      <c r="J260" s="6">
        <f>Table1[[#This Row],[Profit]]/Table1[[#This Row],[Sales]]</f>
        <v>0.76128538638102528</v>
      </c>
      <c r="K260" s="5" t="str">
        <f t="shared" si="4"/>
        <v>Low</v>
      </c>
      <c r="L260" s="5" t="str">
        <f>TEXT(Table1[[#This Row],[Order_Date]],"MMM")</f>
        <v>Dec</v>
      </c>
      <c r="M260" s="5" t="str">
        <f>IF(Table1[[#This Row],[Profit]]&gt;=1000,"Excellent",IF(Table1[[#This Row],[Profit]]&gt;=500,"Good", IF(Table1[[#This Row],[Profit]]&lt;500,"Low")))</f>
        <v>Low</v>
      </c>
      <c r="N260" s="7" t="str">
        <f>TEXT(Table1[[#This Row],[Order_Date]],"YYY")</f>
        <v>2023</v>
      </c>
    </row>
    <row r="261" spans="1:14" x14ac:dyDescent="0.3">
      <c r="A261" s="4">
        <v>45264</v>
      </c>
      <c r="B261" s="5" t="s">
        <v>18</v>
      </c>
      <c r="C261" s="5" t="s">
        <v>19</v>
      </c>
      <c r="D261" s="23">
        <v>75.239999999999995</v>
      </c>
      <c r="E261" s="23">
        <v>18.45</v>
      </c>
      <c r="F261" s="23">
        <v>56.79</v>
      </c>
      <c r="G261" s="5" t="s">
        <v>9</v>
      </c>
      <c r="H261" s="5" t="s">
        <v>34</v>
      </c>
      <c r="I261" s="5" t="s">
        <v>4</v>
      </c>
      <c r="J261" s="6">
        <f>Table1[[#This Row],[Profit]]/Table1[[#This Row],[Sales]]</f>
        <v>0.75478468899521534</v>
      </c>
      <c r="K261" s="5" t="str">
        <f t="shared" si="4"/>
        <v>Low</v>
      </c>
      <c r="L261" s="5" t="str">
        <f>TEXT(Table1[[#This Row],[Order_Date]],"MMM")</f>
        <v>Dec</v>
      </c>
      <c r="M261" s="5" t="str">
        <f>IF(Table1[[#This Row],[Profit]]&gt;=1000,"Excellent",IF(Table1[[#This Row],[Profit]]&gt;=500,"Good", IF(Table1[[#This Row],[Profit]]&lt;500,"Low")))</f>
        <v>Low</v>
      </c>
      <c r="N261" s="7" t="str">
        <f>TEXT(Table1[[#This Row],[Order_Date]],"YYY")</f>
        <v>2023</v>
      </c>
    </row>
    <row r="262" spans="1:14" x14ac:dyDescent="0.3">
      <c r="A262" s="4">
        <v>45265</v>
      </c>
      <c r="B262" s="5" t="s">
        <v>18</v>
      </c>
      <c r="C262" s="5" t="s">
        <v>19</v>
      </c>
      <c r="D262" s="23">
        <v>74.489999999999995</v>
      </c>
      <c r="E262" s="23">
        <v>26.65</v>
      </c>
      <c r="F262" s="23">
        <v>47.84</v>
      </c>
      <c r="G262" s="5" t="s">
        <v>20</v>
      </c>
      <c r="H262" s="5" t="s">
        <v>10</v>
      </c>
      <c r="I262" s="5" t="s">
        <v>11</v>
      </c>
      <c r="J262" s="6">
        <f>Table1[[#This Row],[Profit]]/Table1[[#This Row],[Sales]]</f>
        <v>0.64223385689354284</v>
      </c>
      <c r="K262" s="5" t="str">
        <f t="shared" si="4"/>
        <v>Low</v>
      </c>
      <c r="L262" s="5" t="str">
        <f>TEXT(Table1[[#This Row],[Order_Date]],"MMM")</f>
        <v>Dec</v>
      </c>
      <c r="M262" s="5" t="str">
        <f>IF(Table1[[#This Row],[Profit]]&gt;=1000,"Excellent",IF(Table1[[#This Row],[Profit]]&gt;=500,"Good", IF(Table1[[#This Row],[Profit]]&lt;500,"Low")))</f>
        <v>Low</v>
      </c>
      <c r="N262" s="7" t="str">
        <f>TEXT(Table1[[#This Row],[Order_Date]],"YYY")</f>
        <v>2023</v>
      </c>
    </row>
    <row r="263" spans="1:14" x14ac:dyDescent="0.3">
      <c r="A263" s="4">
        <v>45265</v>
      </c>
      <c r="B263" s="5" t="s">
        <v>8</v>
      </c>
      <c r="C263" s="5" t="s">
        <v>1</v>
      </c>
      <c r="D263" s="23">
        <v>1244.8</v>
      </c>
      <c r="E263" s="23">
        <v>723.1</v>
      </c>
      <c r="F263" s="23">
        <v>521.70000000000005</v>
      </c>
      <c r="G263" s="5" t="s">
        <v>20</v>
      </c>
      <c r="H263" s="5" t="s">
        <v>7</v>
      </c>
      <c r="I263" s="5" t="s">
        <v>17</v>
      </c>
      <c r="J263" s="6">
        <f>Table1[[#This Row],[Profit]]/Table1[[#This Row],[Sales]]</f>
        <v>0.41910347043701807</v>
      </c>
      <c r="K263" s="5" t="str">
        <f t="shared" si="4"/>
        <v>Low</v>
      </c>
      <c r="L263" s="5" t="str">
        <f>TEXT(Table1[[#This Row],[Order_Date]],"MMM")</f>
        <v>Dec</v>
      </c>
      <c r="M263" s="5" t="str">
        <f>IF(Table1[[#This Row],[Profit]]&gt;=1000,"Excellent",IF(Table1[[#This Row],[Profit]]&gt;=500,"Good", IF(Table1[[#This Row],[Profit]]&lt;500,"Low")))</f>
        <v>Good</v>
      </c>
      <c r="N263" s="7" t="str">
        <f>TEXT(Table1[[#This Row],[Order_Date]],"YYY")</f>
        <v>2023</v>
      </c>
    </row>
    <row r="264" spans="1:14" x14ac:dyDescent="0.3">
      <c r="A264" s="4">
        <v>45266</v>
      </c>
      <c r="B264" s="5" t="s">
        <v>0</v>
      </c>
      <c r="C264" s="5" t="s">
        <v>31</v>
      </c>
      <c r="D264" s="23">
        <v>57.7</v>
      </c>
      <c r="E264" s="23">
        <v>19.489999999999998</v>
      </c>
      <c r="F264" s="23">
        <v>38.21</v>
      </c>
      <c r="G264" s="5" t="s">
        <v>32</v>
      </c>
      <c r="H264" s="5" t="s">
        <v>24</v>
      </c>
      <c r="I264" s="5" t="s">
        <v>17</v>
      </c>
      <c r="J264" s="6">
        <f>Table1[[#This Row],[Profit]]/Table1[[#This Row],[Sales]]</f>
        <v>0.66221837088388213</v>
      </c>
      <c r="K264" s="5" t="str">
        <f t="shared" si="4"/>
        <v>Low</v>
      </c>
      <c r="L264" s="5" t="str">
        <f>TEXT(Table1[[#This Row],[Order_Date]],"MMM")</f>
        <v>Dec</v>
      </c>
      <c r="M264" s="5" t="str">
        <f>IF(Table1[[#This Row],[Profit]]&gt;=1000,"Excellent",IF(Table1[[#This Row],[Profit]]&gt;=500,"Good", IF(Table1[[#This Row],[Profit]]&lt;500,"Low")))</f>
        <v>Low</v>
      </c>
      <c r="N264" s="7" t="str">
        <f>TEXT(Table1[[#This Row],[Order_Date]],"YYY")</f>
        <v>2023</v>
      </c>
    </row>
    <row r="265" spans="1:14" x14ac:dyDescent="0.3">
      <c r="A265" s="4">
        <v>45267</v>
      </c>
      <c r="B265" s="5" t="s">
        <v>8</v>
      </c>
      <c r="C265" s="5" t="s">
        <v>26</v>
      </c>
      <c r="D265" s="23">
        <v>357.64</v>
      </c>
      <c r="E265" s="23">
        <v>114.73</v>
      </c>
      <c r="F265" s="23">
        <v>242.91</v>
      </c>
      <c r="G265" s="5" t="s">
        <v>9</v>
      </c>
      <c r="H265" s="5" t="s">
        <v>30</v>
      </c>
      <c r="I265" s="5" t="s">
        <v>27</v>
      </c>
      <c r="J265" s="6">
        <f>Table1[[#This Row],[Profit]]/Table1[[#This Row],[Sales]]</f>
        <v>0.67920255005032992</v>
      </c>
      <c r="K265" s="5" t="str">
        <f t="shared" si="4"/>
        <v>Low</v>
      </c>
      <c r="L265" s="5" t="str">
        <f>TEXT(Table1[[#This Row],[Order_Date]],"MMM")</f>
        <v>Dec</v>
      </c>
      <c r="M265" s="5" t="str">
        <f>IF(Table1[[#This Row],[Profit]]&gt;=1000,"Excellent",IF(Table1[[#This Row],[Profit]]&gt;=500,"Good", IF(Table1[[#This Row],[Profit]]&lt;500,"Low")))</f>
        <v>Low</v>
      </c>
      <c r="N265" s="7" t="str">
        <f>TEXT(Table1[[#This Row],[Order_Date]],"YYY")</f>
        <v>2023</v>
      </c>
    </row>
    <row r="266" spans="1:14" x14ac:dyDescent="0.3">
      <c r="A266" s="4">
        <v>45267</v>
      </c>
      <c r="B266" s="5" t="s">
        <v>16</v>
      </c>
      <c r="C266" s="5" t="s">
        <v>1</v>
      </c>
      <c r="D266" s="23">
        <v>661.54</v>
      </c>
      <c r="E266" s="23">
        <v>338.01</v>
      </c>
      <c r="F266" s="23">
        <v>323.52999999999997</v>
      </c>
      <c r="G266" s="5" t="s">
        <v>6</v>
      </c>
      <c r="H266" s="5" t="s">
        <v>35</v>
      </c>
      <c r="I266" s="5" t="s">
        <v>27</v>
      </c>
      <c r="J266" s="6">
        <f>Table1[[#This Row],[Profit]]/Table1[[#This Row],[Sales]]</f>
        <v>0.48905583940502462</v>
      </c>
      <c r="K266" s="5" t="str">
        <f t="shared" si="4"/>
        <v>Low</v>
      </c>
      <c r="L266" s="5" t="str">
        <f>TEXT(Table1[[#This Row],[Order_Date]],"MMM")</f>
        <v>Dec</v>
      </c>
      <c r="M266" s="5" t="str">
        <f>IF(Table1[[#This Row],[Profit]]&gt;=1000,"Excellent",IF(Table1[[#This Row],[Profit]]&gt;=500,"Good", IF(Table1[[#This Row],[Profit]]&lt;500,"Low")))</f>
        <v>Low</v>
      </c>
      <c r="N266" s="7" t="str">
        <f>TEXT(Table1[[#This Row],[Order_Date]],"YYY")</f>
        <v>2023</v>
      </c>
    </row>
    <row r="267" spans="1:14" x14ac:dyDescent="0.3">
      <c r="A267" s="4">
        <v>45267</v>
      </c>
      <c r="B267" s="5" t="s">
        <v>18</v>
      </c>
      <c r="C267" s="5" t="s">
        <v>26</v>
      </c>
      <c r="D267" s="23">
        <v>373.1</v>
      </c>
      <c r="E267" s="23">
        <v>117.86</v>
      </c>
      <c r="F267" s="23">
        <v>255.24</v>
      </c>
      <c r="G267" s="5" t="s">
        <v>2</v>
      </c>
      <c r="H267" s="5" t="s">
        <v>35</v>
      </c>
      <c r="I267" s="5" t="s">
        <v>17</v>
      </c>
      <c r="J267" s="6">
        <f>Table1[[#This Row],[Profit]]/Table1[[#This Row],[Sales]]</f>
        <v>0.68410613776467433</v>
      </c>
      <c r="K267" s="5" t="str">
        <f t="shared" si="4"/>
        <v>Low</v>
      </c>
      <c r="L267" s="5" t="str">
        <f>TEXT(Table1[[#This Row],[Order_Date]],"MMM")</f>
        <v>Dec</v>
      </c>
      <c r="M267" s="5" t="str">
        <f>IF(Table1[[#This Row],[Profit]]&gt;=1000,"Excellent",IF(Table1[[#This Row],[Profit]]&gt;=500,"Good", IF(Table1[[#This Row],[Profit]]&lt;500,"Low")))</f>
        <v>Low</v>
      </c>
      <c r="N267" s="7" t="str">
        <f>TEXT(Table1[[#This Row],[Order_Date]],"YYY")</f>
        <v>2023</v>
      </c>
    </row>
    <row r="268" spans="1:14" x14ac:dyDescent="0.3">
      <c r="A268" s="4">
        <v>45268</v>
      </c>
      <c r="B268" s="5" t="s">
        <v>0</v>
      </c>
      <c r="C268" s="5" t="s">
        <v>23</v>
      </c>
      <c r="D268" s="23">
        <v>576.32000000000005</v>
      </c>
      <c r="E268" s="23">
        <v>229.34</v>
      </c>
      <c r="F268" s="23">
        <v>346.98</v>
      </c>
      <c r="G268" s="5" t="s">
        <v>20</v>
      </c>
      <c r="H268" s="5" t="s">
        <v>36</v>
      </c>
      <c r="I268" s="5" t="s">
        <v>4</v>
      </c>
      <c r="J268" s="6">
        <f>Table1[[#This Row],[Profit]]/Table1[[#This Row],[Sales]]</f>
        <v>0.60206135480288725</v>
      </c>
      <c r="K268" s="5" t="str">
        <f t="shared" si="4"/>
        <v>Low</v>
      </c>
      <c r="L268" s="5" t="str">
        <f>TEXT(Table1[[#This Row],[Order_Date]],"MMM")</f>
        <v>Dec</v>
      </c>
      <c r="M268" s="5" t="str">
        <f>IF(Table1[[#This Row],[Profit]]&gt;=1000,"Excellent",IF(Table1[[#This Row],[Profit]]&gt;=500,"Good", IF(Table1[[#This Row],[Profit]]&lt;500,"Low")))</f>
        <v>Low</v>
      </c>
      <c r="N268" s="7" t="str">
        <f>TEXT(Table1[[#This Row],[Order_Date]],"YYY")</f>
        <v>2023</v>
      </c>
    </row>
    <row r="269" spans="1:14" x14ac:dyDescent="0.3">
      <c r="A269" s="4">
        <v>45268</v>
      </c>
      <c r="B269" s="5" t="s">
        <v>8</v>
      </c>
      <c r="C269" s="5" t="s">
        <v>14</v>
      </c>
      <c r="D269" s="23">
        <v>215.93</v>
      </c>
      <c r="E269" s="23">
        <v>103.74</v>
      </c>
      <c r="F269" s="23">
        <v>112.19</v>
      </c>
      <c r="G269" s="5" t="s">
        <v>6</v>
      </c>
      <c r="H269" s="5" t="s">
        <v>29</v>
      </c>
      <c r="I269" s="5" t="s">
        <v>17</v>
      </c>
      <c r="J269" s="6">
        <f>Table1[[#This Row],[Profit]]/Table1[[#This Row],[Sales]]</f>
        <v>0.51956652618904275</v>
      </c>
      <c r="K269" s="5" t="str">
        <f t="shared" si="4"/>
        <v>Low</v>
      </c>
      <c r="L269" s="5" t="str">
        <f>TEXT(Table1[[#This Row],[Order_Date]],"MMM")</f>
        <v>Dec</v>
      </c>
      <c r="M269" s="5" t="str">
        <f>IF(Table1[[#This Row],[Profit]]&gt;=1000,"Excellent",IF(Table1[[#This Row],[Profit]]&gt;=500,"Good", IF(Table1[[#This Row],[Profit]]&lt;500,"Low")))</f>
        <v>Low</v>
      </c>
      <c r="N269" s="7" t="str">
        <f>TEXT(Table1[[#This Row],[Order_Date]],"YYY")</f>
        <v>2023</v>
      </c>
    </row>
    <row r="270" spans="1:14" x14ac:dyDescent="0.3">
      <c r="A270" s="4">
        <v>45268</v>
      </c>
      <c r="B270" s="5" t="s">
        <v>16</v>
      </c>
      <c r="C270" s="5" t="s">
        <v>31</v>
      </c>
      <c r="D270" s="23">
        <v>93.33</v>
      </c>
      <c r="E270" s="23">
        <v>36.44</v>
      </c>
      <c r="F270" s="23">
        <v>56.89</v>
      </c>
      <c r="G270" s="5" t="s">
        <v>20</v>
      </c>
      <c r="H270" s="5" t="s">
        <v>21</v>
      </c>
      <c r="I270" s="5" t="s">
        <v>22</v>
      </c>
      <c r="J270" s="6">
        <f>Table1[[#This Row],[Profit]]/Table1[[#This Row],[Sales]]</f>
        <v>0.6095574841958642</v>
      </c>
      <c r="K270" s="5" t="str">
        <f t="shared" si="4"/>
        <v>Low</v>
      </c>
      <c r="L270" s="5" t="str">
        <f>TEXT(Table1[[#This Row],[Order_Date]],"MMM")</f>
        <v>Dec</v>
      </c>
      <c r="M270" s="5" t="str">
        <f>IF(Table1[[#This Row],[Profit]]&gt;=1000,"Excellent",IF(Table1[[#This Row],[Profit]]&gt;=500,"Good", IF(Table1[[#This Row],[Profit]]&lt;500,"Low")))</f>
        <v>Low</v>
      </c>
      <c r="N270" s="7" t="str">
        <f>TEXT(Table1[[#This Row],[Order_Date]],"YYY")</f>
        <v>2023</v>
      </c>
    </row>
    <row r="271" spans="1:14" x14ac:dyDescent="0.3">
      <c r="A271" s="4">
        <v>45270</v>
      </c>
      <c r="B271" s="5" t="s">
        <v>16</v>
      </c>
      <c r="C271" s="5" t="s">
        <v>1</v>
      </c>
      <c r="D271" s="23">
        <v>215.34</v>
      </c>
      <c r="E271" s="23">
        <v>123.28</v>
      </c>
      <c r="F271" s="23">
        <v>92.06</v>
      </c>
      <c r="G271" s="5" t="s">
        <v>6</v>
      </c>
      <c r="H271" s="5" t="s">
        <v>15</v>
      </c>
      <c r="I271" s="5" t="s">
        <v>11</v>
      </c>
      <c r="J271" s="6">
        <f>Table1[[#This Row],[Profit]]/Table1[[#This Row],[Sales]]</f>
        <v>0.42750998421101516</v>
      </c>
      <c r="K271" s="5" t="str">
        <f t="shared" si="4"/>
        <v>Low</v>
      </c>
      <c r="L271" s="5" t="str">
        <f>TEXT(Table1[[#This Row],[Order_Date]],"MMM")</f>
        <v>Dec</v>
      </c>
      <c r="M271" s="5" t="str">
        <f>IF(Table1[[#This Row],[Profit]]&gt;=1000,"Excellent",IF(Table1[[#This Row],[Profit]]&gt;=500,"Good", IF(Table1[[#This Row],[Profit]]&lt;500,"Low")))</f>
        <v>Low</v>
      </c>
      <c r="N271" s="7" t="str">
        <f>TEXT(Table1[[#This Row],[Order_Date]],"YYY")</f>
        <v>2023</v>
      </c>
    </row>
    <row r="272" spans="1:14" x14ac:dyDescent="0.3">
      <c r="A272" s="4">
        <v>45270</v>
      </c>
      <c r="B272" s="5" t="s">
        <v>8</v>
      </c>
      <c r="C272" s="5" t="s">
        <v>26</v>
      </c>
      <c r="D272" s="23">
        <v>1042.07</v>
      </c>
      <c r="E272" s="23">
        <v>337.29</v>
      </c>
      <c r="F272" s="23">
        <v>704.78</v>
      </c>
      <c r="G272" s="5" t="s">
        <v>20</v>
      </c>
      <c r="H272" s="5" t="s">
        <v>3</v>
      </c>
      <c r="I272" s="5" t="s">
        <v>17</v>
      </c>
      <c r="J272" s="6">
        <f>Table1[[#This Row],[Profit]]/Table1[[#This Row],[Sales]]</f>
        <v>0.6763269262141699</v>
      </c>
      <c r="K272" s="5" t="str">
        <f t="shared" si="4"/>
        <v>Low</v>
      </c>
      <c r="L272" s="5" t="str">
        <f>TEXT(Table1[[#This Row],[Order_Date]],"MMM")</f>
        <v>Dec</v>
      </c>
      <c r="M272" s="5" t="str">
        <f>IF(Table1[[#This Row],[Profit]]&gt;=1000,"Excellent",IF(Table1[[#This Row],[Profit]]&gt;=500,"Good", IF(Table1[[#This Row],[Profit]]&lt;500,"Low")))</f>
        <v>Good</v>
      </c>
      <c r="N272" s="7" t="str">
        <f>TEXT(Table1[[#This Row],[Order_Date]],"YYY")</f>
        <v>2023</v>
      </c>
    </row>
    <row r="273" spans="1:14" x14ac:dyDescent="0.3">
      <c r="A273" s="4">
        <v>45270</v>
      </c>
      <c r="B273" s="5" t="s">
        <v>8</v>
      </c>
      <c r="C273" s="5" t="s">
        <v>23</v>
      </c>
      <c r="D273" s="23">
        <v>144.16999999999999</v>
      </c>
      <c r="E273" s="23">
        <v>71.53</v>
      </c>
      <c r="F273" s="23">
        <v>72.64</v>
      </c>
      <c r="G273" s="5" t="s">
        <v>6</v>
      </c>
      <c r="H273" s="5" t="s">
        <v>12</v>
      </c>
      <c r="I273" s="5" t="s">
        <v>11</v>
      </c>
      <c r="J273" s="6">
        <f>Table1[[#This Row],[Profit]]/Table1[[#This Row],[Sales]]</f>
        <v>0.50384962197405847</v>
      </c>
      <c r="K273" s="5" t="str">
        <f t="shared" si="4"/>
        <v>Low</v>
      </c>
      <c r="L273" s="5" t="str">
        <f>TEXT(Table1[[#This Row],[Order_Date]],"MMM")</f>
        <v>Dec</v>
      </c>
      <c r="M273" s="5" t="str">
        <f>IF(Table1[[#This Row],[Profit]]&gt;=1000,"Excellent",IF(Table1[[#This Row],[Profit]]&gt;=500,"Good", IF(Table1[[#This Row],[Profit]]&lt;500,"Low")))</f>
        <v>Low</v>
      </c>
      <c r="N273" s="7" t="str">
        <f>TEXT(Table1[[#This Row],[Order_Date]],"YYY")</f>
        <v>2023</v>
      </c>
    </row>
    <row r="274" spans="1:14" x14ac:dyDescent="0.3">
      <c r="A274" s="4">
        <v>45270</v>
      </c>
      <c r="B274" s="5" t="s">
        <v>8</v>
      </c>
      <c r="C274" s="5" t="s">
        <v>23</v>
      </c>
      <c r="D274" s="23">
        <v>841.79</v>
      </c>
      <c r="E274" s="23">
        <v>393.37</v>
      </c>
      <c r="F274" s="23">
        <v>448.42</v>
      </c>
      <c r="G274" s="5" t="s">
        <v>9</v>
      </c>
      <c r="H274" s="5" t="s">
        <v>15</v>
      </c>
      <c r="I274" s="5" t="s">
        <v>22</v>
      </c>
      <c r="J274" s="6">
        <f>Table1[[#This Row],[Profit]]/Table1[[#This Row],[Sales]]</f>
        <v>0.53269817888071846</v>
      </c>
      <c r="K274" s="5" t="str">
        <f t="shared" si="4"/>
        <v>Low</v>
      </c>
      <c r="L274" s="5" t="str">
        <f>TEXT(Table1[[#This Row],[Order_Date]],"MMM")</f>
        <v>Dec</v>
      </c>
      <c r="M274" s="5" t="str">
        <f>IF(Table1[[#This Row],[Profit]]&gt;=1000,"Excellent",IF(Table1[[#This Row],[Profit]]&gt;=500,"Good", IF(Table1[[#This Row],[Profit]]&lt;500,"Low")))</f>
        <v>Low</v>
      </c>
      <c r="N274" s="7" t="str">
        <f>TEXT(Table1[[#This Row],[Order_Date]],"YYY")</f>
        <v>2023</v>
      </c>
    </row>
    <row r="275" spans="1:14" x14ac:dyDescent="0.3">
      <c r="A275" s="4">
        <v>45271</v>
      </c>
      <c r="B275" s="5" t="s">
        <v>8</v>
      </c>
      <c r="C275" s="5" t="s">
        <v>19</v>
      </c>
      <c r="D275" s="23">
        <v>91.14</v>
      </c>
      <c r="E275" s="23">
        <v>32.950000000000003</v>
      </c>
      <c r="F275" s="23">
        <v>58.19</v>
      </c>
      <c r="G275" s="5" t="s">
        <v>20</v>
      </c>
      <c r="H275" s="5" t="s">
        <v>28</v>
      </c>
      <c r="I275" s="5" t="s">
        <v>11</v>
      </c>
      <c r="J275" s="6">
        <f>Table1[[#This Row],[Profit]]/Table1[[#This Row],[Sales]]</f>
        <v>0.63846829054202325</v>
      </c>
      <c r="K275" s="5" t="str">
        <f t="shared" si="4"/>
        <v>Low</v>
      </c>
      <c r="L275" s="5" t="str">
        <f>TEXT(Table1[[#This Row],[Order_Date]],"MMM")</f>
        <v>Dec</v>
      </c>
      <c r="M275" s="5" t="str">
        <f>IF(Table1[[#This Row],[Profit]]&gt;=1000,"Excellent",IF(Table1[[#This Row],[Profit]]&gt;=500,"Good", IF(Table1[[#This Row],[Profit]]&lt;500,"Low")))</f>
        <v>Low</v>
      </c>
      <c r="N275" s="7" t="str">
        <f>TEXT(Table1[[#This Row],[Order_Date]],"YYY")</f>
        <v>2023</v>
      </c>
    </row>
    <row r="276" spans="1:14" x14ac:dyDescent="0.3">
      <c r="A276" s="4">
        <v>45271</v>
      </c>
      <c r="B276" s="5" t="s">
        <v>16</v>
      </c>
      <c r="C276" s="5" t="s">
        <v>31</v>
      </c>
      <c r="D276" s="23">
        <v>232.27</v>
      </c>
      <c r="E276" s="23">
        <v>84.4</v>
      </c>
      <c r="F276" s="23">
        <v>147.87</v>
      </c>
      <c r="G276" s="5" t="s">
        <v>32</v>
      </c>
      <c r="H276" s="5" t="s">
        <v>3</v>
      </c>
      <c r="I276" s="5" t="s">
        <v>22</v>
      </c>
      <c r="J276" s="6">
        <f>Table1[[#This Row],[Profit]]/Table1[[#This Row],[Sales]]</f>
        <v>0.63662978430275108</v>
      </c>
      <c r="K276" s="5" t="str">
        <f t="shared" si="4"/>
        <v>Low</v>
      </c>
      <c r="L276" s="5" t="str">
        <f>TEXT(Table1[[#This Row],[Order_Date]],"MMM")</f>
        <v>Dec</v>
      </c>
      <c r="M276" s="5" t="str">
        <f>IF(Table1[[#This Row],[Profit]]&gt;=1000,"Excellent",IF(Table1[[#This Row],[Profit]]&gt;=500,"Good", IF(Table1[[#This Row],[Profit]]&lt;500,"Low")))</f>
        <v>Low</v>
      </c>
      <c r="N276" s="7" t="str">
        <f>TEXT(Table1[[#This Row],[Order_Date]],"YYY")</f>
        <v>2023</v>
      </c>
    </row>
    <row r="277" spans="1:14" x14ac:dyDescent="0.3">
      <c r="A277" s="4">
        <v>45272</v>
      </c>
      <c r="B277" s="5" t="s">
        <v>0</v>
      </c>
      <c r="C277" s="5" t="s">
        <v>31</v>
      </c>
      <c r="D277" s="23">
        <v>104.48</v>
      </c>
      <c r="E277" s="23">
        <v>34.03</v>
      </c>
      <c r="F277" s="23">
        <v>70.45</v>
      </c>
      <c r="G277" s="5" t="s">
        <v>2</v>
      </c>
      <c r="H277" s="5" t="s">
        <v>30</v>
      </c>
      <c r="I277" s="5" t="s">
        <v>11</v>
      </c>
      <c r="J277" s="6">
        <f>Table1[[#This Row],[Profit]]/Table1[[#This Row],[Sales]]</f>
        <v>0.67429173047473201</v>
      </c>
      <c r="K277" s="5" t="str">
        <f t="shared" si="4"/>
        <v>Low</v>
      </c>
      <c r="L277" s="5" t="str">
        <f>TEXT(Table1[[#This Row],[Order_Date]],"MMM")</f>
        <v>Dec</v>
      </c>
      <c r="M277" s="5" t="str">
        <f>IF(Table1[[#This Row],[Profit]]&gt;=1000,"Excellent",IF(Table1[[#This Row],[Profit]]&gt;=500,"Good", IF(Table1[[#This Row],[Profit]]&lt;500,"Low")))</f>
        <v>Low</v>
      </c>
      <c r="N277" s="7" t="str">
        <f>TEXT(Table1[[#This Row],[Order_Date]],"YYY")</f>
        <v>2023</v>
      </c>
    </row>
    <row r="278" spans="1:14" x14ac:dyDescent="0.3">
      <c r="A278" s="4">
        <v>45273</v>
      </c>
      <c r="B278" s="5" t="s">
        <v>0</v>
      </c>
      <c r="C278" s="5" t="s">
        <v>5</v>
      </c>
      <c r="D278" s="23">
        <v>2457.71</v>
      </c>
      <c r="E278" s="23">
        <v>1146.33</v>
      </c>
      <c r="F278" s="23">
        <v>1311.38</v>
      </c>
      <c r="G278" s="5" t="s">
        <v>32</v>
      </c>
      <c r="H278" s="5" t="s">
        <v>35</v>
      </c>
      <c r="I278" s="5" t="s">
        <v>11</v>
      </c>
      <c r="J278" s="6">
        <f>Table1[[#This Row],[Profit]]/Table1[[#This Row],[Sales]]</f>
        <v>0.53357800554174417</v>
      </c>
      <c r="K278" s="5" t="str">
        <f t="shared" si="4"/>
        <v>High</v>
      </c>
      <c r="L278" s="5" t="str">
        <f>TEXT(Table1[[#This Row],[Order_Date]],"MMM")</f>
        <v>Dec</v>
      </c>
      <c r="M278" s="5" t="str">
        <f>IF(Table1[[#This Row],[Profit]]&gt;=1000,"Excellent",IF(Table1[[#This Row],[Profit]]&gt;=500,"Good", IF(Table1[[#This Row],[Profit]]&lt;500,"Low")))</f>
        <v>Excellent</v>
      </c>
      <c r="N278" s="7" t="str">
        <f>TEXT(Table1[[#This Row],[Order_Date]],"YYY")</f>
        <v>2023</v>
      </c>
    </row>
    <row r="279" spans="1:14" x14ac:dyDescent="0.3">
      <c r="A279" s="4">
        <v>45273</v>
      </c>
      <c r="B279" s="5" t="s">
        <v>16</v>
      </c>
      <c r="C279" s="5" t="s">
        <v>5</v>
      </c>
      <c r="D279" s="23">
        <v>1003.19</v>
      </c>
      <c r="E279" s="23">
        <v>319.57</v>
      </c>
      <c r="F279" s="23">
        <v>683.62</v>
      </c>
      <c r="G279" s="5" t="s">
        <v>20</v>
      </c>
      <c r="H279" s="5" t="s">
        <v>21</v>
      </c>
      <c r="I279" s="5" t="s">
        <v>27</v>
      </c>
      <c r="J279" s="6">
        <f>Table1[[#This Row],[Profit]]/Table1[[#This Row],[Sales]]</f>
        <v>0.68144618666454004</v>
      </c>
      <c r="K279" s="5" t="str">
        <f t="shared" si="4"/>
        <v>Low</v>
      </c>
      <c r="L279" s="5" t="str">
        <f>TEXT(Table1[[#This Row],[Order_Date]],"MMM")</f>
        <v>Dec</v>
      </c>
      <c r="M279" s="5" t="str">
        <f>IF(Table1[[#This Row],[Profit]]&gt;=1000,"Excellent",IF(Table1[[#This Row],[Profit]]&gt;=500,"Good", IF(Table1[[#This Row],[Profit]]&lt;500,"Low")))</f>
        <v>Good</v>
      </c>
      <c r="N279" s="7" t="str">
        <f>TEXT(Table1[[#This Row],[Order_Date]],"YYY")</f>
        <v>2023</v>
      </c>
    </row>
    <row r="280" spans="1:14" x14ac:dyDescent="0.3">
      <c r="A280" s="4">
        <v>45274</v>
      </c>
      <c r="B280" s="5" t="s">
        <v>8</v>
      </c>
      <c r="C280" s="5" t="s">
        <v>31</v>
      </c>
      <c r="D280" s="23">
        <v>173.97</v>
      </c>
      <c r="E280" s="23">
        <v>34.869999999999997</v>
      </c>
      <c r="F280" s="23">
        <v>139.1</v>
      </c>
      <c r="G280" s="5" t="s">
        <v>20</v>
      </c>
      <c r="H280" s="5" t="s">
        <v>33</v>
      </c>
      <c r="I280" s="5" t="s">
        <v>17</v>
      </c>
      <c r="J280" s="6">
        <f>Table1[[#This Row],[Profit]]/Table1[[#This Row],[Sales]]</f>
        <v>0.79956314307064436</v>
      </c>
      <c r="K280" s="5" t="str">
        <f t="shared" si="4"/>
        <v>Low</v>
      </c>
      <c r="L280" s="5" t="str">
        <f>TEXT(Table1[[#This Row],[Order_Date]],"MMM")</f>
        <v>Dec</v>
      </c>
      <c r="M280" s="5" t="str">
        <f>IF(Table1[[#This Row],[Profit]]&gt;=1000,"Excellent",IF(Table1[[#This Row],[Profit]]&gt;=500,"Good", IF(Table1[[#This Row],[Profit]]&lt;500,"Low")))</f>
        <v>Low</v>
      </c>
      <c r="N280" s="7" t="str">
        <f>TEXT(Table1[[#This Row],[Order_Date]],"YYY")</f>
        <v>2023</v>
      </c>
    </row>
    <row r="281" spans="1:14" x14ac:dyDescent="0.3">
      <c r="A281" s="4">
        <v>45275</v>
      </c>
      <c r="B281" s="5" t="s">
        <v>16</v>
      </c>
      <c r="C281" s="5" t="s">
        <v>23</v>
      </c>
      <c r="D281" s="23">
        <v>362.81</v>
      </c>
      <c r="E281" s="23">
        <v>126.88</v>
      </c>
      <c r="F281" s="23">
        <v>235.93</v>
      </c>
      <c r="G281" s="5" t="s">
        <v>2</v>
      </c>
      <c r="H281" s="5" t="s">
        <v>10</v>
      </c>
      <c r="I281" s="5" t="s">
        <v>4</v>
      </c>
      <c r="J281" s="6">
        <f>Table1[[#This Row],[Profit]]/Table1[[#This Row],[Sales]]</f>
        <v>0.6502852732835368</v>
      </c>
      <c r="K281" s="5" t="str">
        <f t="shared" si="4"/>
        <v>Low</v>
      </c>
      <c r="L281" s="5" t="str">
        <f>TEXT(Table1[[#This Row],[Order_Date]],"MMM")</f>
        <v>Dec</v>
      </c>
      <c r="M281" s="5" t="str">
        <f>IF(Table1[[#This Row],[Profit]]&gt;=1000,"Excellent",IF(Table1[[#This Row],[Profit]]&gt;=500,"Good", IF(Table1[[#This Row],[Profit]]&lt;500,"Low")))</f>
        <v>Low</v>
      </c>
      <c r="N281" s="7" t="str">
        <f>TEXT(Table1[[#This Row],[Order_Date]],"YYY")</f>
        <v>2023</v>
      </c>
    </row>
    <row r="282" spans="1:14" x14ac:dyDescent="0.3">
      <c r="A282" s="4">
        <v>45275</v>
      </c>
      <c r="B282" s="5" t="s">
        <v>13</v>
      </c>
      <c r="C282" s="5" t="s">
        <v>31</v>
      </c>
      <c r="D282" s="23">
        <v>194.17</v>
      </c>
      <c r="E282" s="23">
        <v>56.28</v>
      </c>
      <c r="F282" s="23">
        <v>137.88999999999999</v>
      </c>
      <c r="G282" s="5" t="s">
        <v>9</v>
      </c>
      <c r="H282" s="5" t="s">
        <v>7</v>
      </c>
      <c r="I282" s="5" t="s">
        <v>27</v>
      </c>
      <c r="J282" s="6">
        <f>Table1[[#This Row],[Profit]]/Table1[[#This Row],[Sales]]</f>
        <v>0.71015089869701808</v>
      </c>
      <c r="K282" s="5" t="str">
        <f t="shared" si="4"/>
        <v>Low</v>
      </c>
      <c r="L282" s="5" t="str">
        <f>TEXT(Table1[[#This Row],[Order_Date]],"MMM")</f>
        <v>Dec</v>
      </c>
      <c r="M282" s="5" t="str">
        <f>IF(Table1[[#This Row],[Profit]]&gt;=1000,"Excellent",IF(Table1[[#This Row],[Profit]]&gt;=500,"Good", IF(Table1[[#This Row],[Profit]]&lt;500,"Low")))</f>
        <v>Low</v>
      </c>
      <c r="N282" s="7" t="str">
        <f>TEXT(Table1[[#This Row],[Order_Date]],"YYY")</f>
        <v>2023</v>
      </c>
    </row>
    <row r="283" spans="1:14" x14ac:dyDescent="0.3">
      <c r="A283" s="4">
        <v>45275</v>
      </c>
      <c r="B283" s="5" t="s">
        <v>18</v>
      </c>
      <c r="C283" s="5" t="s">
        <v>23</v>
      </c>
      <c r="D283" s="23">
        <v>352.84</v>
      </c>
      <c r="E283" s="23">
        <v>134.84</v>
      </c>
      <c r="F283" s="23">
        <v>218</v>
      </c>
      <c r="G283" s="5" t="s">
        <v>9</v>
      </c>
      <c r="H283" s="5" t="s">
        <v>24</v>
      </c>
      <c r="I283" s="5" t="s">
        <v>27</v>
      </c>
      <c r="J283" s="6">
        <f>Table1[[#This Row],[Profit]]/Table1[[#This Row],[Sales]]</f>
        <v>0.61784378188414013</v>
      </c>
      <c r="K283" s="5" t="str">
        <f t="shared" si="4"/>
        <v>Low</v>
      </c>
      <c r="L283" s="5" t="str">
        <f>TEXT(Table1[[#This Row],[Order_Date]],"MMM")</f>
        <v>Dec</v>
      </c>
      <c r="M283" s="5" t="str">
        <f>IF(Table1[[#This Row],[Profit]]&gt;=1000,"Excellent",IF(Table1[[#This Row],[Profit]]&gt;=500,"Good", IF(Table1[[#This Row],[Profit]]&lt;500,"Low")))</f>
        <v>Low</v>
      </c>
      <c r="N283" s="7" t="str">
        <f>TEXT(Table1[[#This Row],[Order_Date]],"YYY")</f>
        <v>2023</v>
      </c>
    </row>
    <row r="284" spans="1:14" x14ac:dyDescent="0.3">
      <c r="A284" s="4">
        <v>45275</v>
      </c>
      <c r="B284" s="5" t="s">
        <v>16</v>
      </c>
      <c r="C284" s="5" t="s">
        <v>31</v>
      </c>
      <c r="D284" s="23">
        <v>292.55</v>
      </c>
      <c r="E284" s="23">
        <v>107.93</v>
      </c>
      <c r="F284" s="23">
        <v>184.62</v>
      </c>
      <c r="G284" s="5" t="s">
        <v>6</v>
      </c>
      <c r="H284" s="5" t="s">
        <v>21</v>
      </c>
      <c r="I284" s="5" t="s">
        <v>4</v>
      </c>
      <c r="J284" s="6">
        <f>Table1[[#This Row],[Profit]]/Table1[[#This Row],[Sales]]</f>
        <v>0.63107161169030934</v>
      </c>
      <c r="K284" s="5" t="str">
        <f t="shared" si="4"/>
        <v>Low</v>
      </c>
      <c r="L284" s="5" t="str">
        <f>TEXT(Table1[[#This Row],[Order_Date]],"MMM")</f>
        <v>Dec</v>
      </c>
      <c r="M284" s="5" t="str">
        <f>IF(Table1[[#This Row],[Profit]]&gt;=1000,"Excellent",IF(Table1[[#This Row],[Profit]]&gt;=500,"Good", IF(Table1[[#This Row],[Profit]]&lt;500,"Low")))</f>
        <v>Low</v>
      </c>
      <c r="N284" s="7" t="str">
        <f>TEXT(Table1[[#This Row],[Order_Date]],"YYY")</f>
        <v>2023</v>
      </c>
    </row>
    <row r="285" spans="1:14" x14ac:dyDescent="0.3">
      <c r="A285" s="4">
        <v>45275</v>
      </c>
      <c r="B285" s="5" t="s">
        <v>13</v>
      </c>
      <c r="C285" s="5" t="s">
        <v>1</v>
      </c>
      <c r="D285" s="23">
        <v>1136.44</v>
      </c>
      <c r="E285" s="23">
        <v>675.46</v>
      </c>
      <c r="F285" s="23">
        <v>460.98</v>
      </c>
      <c r="G285" s="5" t="s">
        <v>32</v>
      </c>
      <c r="H285" s="5" t="s">
        <v>37</v>
      </c>
      <c r="I285" s="5" t="s">
        <v>11</v>
      </c>
      <c r="J285" s="6">
        <f>Table1[[#This Row],[Profit]]/Table1[[#This Row],[Sales]]</f>
        <v>0.40563514131850337</v>
      </c>
      <c r="K285" s="5" t="str">
        <f t="shared" si="4"/>
        <v>Low</v>
      </c>
      <c r="L285" s="5" t="str">
        <f>TEXT(Table1[[#This Row],[Order_Date]],"MMM")</f>
        <v>Dec</v>
      </c>
      <c r="M285" s="5" t="str">
        <f>IF(Table1[[#This Row],[Profit]]&gt;=1000,"Excellent",IF(Table1[[#This Row],[Profit]]&gt;=500,"Good", IF(Table1[[#This Row],[Profit]]&lt;500,"Low")))</f>
        <v>Low</v>
      </c>
      <c r="N285" s="7" t="str">
        <f>TEXT(Table1[[#This Row],[Order_Date]],"YYY")</f>
        <v>2023</v>
      </c>
    </row>
    <row r="286" spans="1:14" x14ac:dyDescent="0.3">
      <c r="A286" s="4">
        <v>45277</v>
      </c>
      <c r="B286" s="5" t="s">
        <v>0</v>
      </c>
      <c r="C286" s="5" t="s">
        <v>23</v>
      </c>
      <c r="D286" s="23">
        <v>117.87</v>
      </c>
      <c r="E286" s="23">
        <v>51.73</v>
      </c>
      <c r="F286" s="23">
        <v>66.14</v>
      </c>
      <c r="G286" s="5" t="s">
        <v>6</v>
      </c>
      <c r="H286" s="5" t="s">
        <v>37</v>
      </c>
      <c r="I286" s="5" t="s">
        <v>27</v>
      </c>
      <c r="J286" s="6">
        <f>Table1[[#This Row],[Profit]]/Table1[[#This Row],[Sales]]</f>
        <v>0.56112666496988206</v>
      </c>
      <c r="K286" s="5" t="str">
        <f t="shared" si="4"/>
        <v>Low</v>
      </c>
      <c r="L286" s="5" t="str">
        <f>TEXT(Table1[[#This Row],[Order_Date]],"MMM")</f>
        <v>Dec</v>
      </c>
      <c r="M286" s="5" t="str">
        <f>IF(Table1[[#This Row],[Profit]]&gt;=1000,"Excellent",IF(Table1[[#This Row],[Profit]]&gt;=500,"Good", IF(Table1[[#This Row],[Profit]]&lt;500,"Low")))</f>
        <v>Low</v>
      </c>
      <c r="N286" s="7" t="str">
        <f>TEXT(Table1[[#This Row],[Order_Date]],"YYY")</f>
        <v>2023</v>
      </c>
    </row>
    <row r="287" spans="1:14" x14ac:dyDescent="0.3">
      <c r="A287" s="4">
        <v>45277</v>
      </c>
      <c r="B287" s="5" t="s">
        <v>0</v>
      </c>
      <c r="C287" s="5" t="s">
        <v>31</v>
      </c>
      <c r="D287" s="23">
        <v>125.14</v>
      </c>
      <c r="E287" s="23">
        <v>47.66</v>
      </c>
      <c r="F287" s="23">
        <v>77.48</v>
      </c>
      <c r="G287" s="5" t="s">
        <v>2</v>
      </c>
      <c r="H287" s="5" t="s">
        <v>28</v>
      </c>
      <c r="I287" s="5" t="s">
        <v>25</v>
      </c>
      <c r="J287" s="6">
        <f>Table1[[#This Row],[Profit]]/Table1[[#This Row],[Sales]]</f>
        <v>0.61914655585743972</v>
      </c>
      <c r="K287" s="5" t="str">
        <f t="shared" si="4"/>
        <v>Low</v>
      </c>
      <c r="L287" s="5" t="str">
        <f>TEXT(Table1[[#This Row],[Order_Date]],"MMM")</f>
        <v>Dec</v>
      </c>
      <c r="M287" s="5" t="str">
        <f>IF(Table1[[#This Row],[Profit]]&gt;=1000,"Excellent",IF(Table1[[#This Row],[Profit]]&gt;=500,"Good", IF(Table1[[#This Row],[Profit]]&lt;500,"Low")))</f>
        <v>Low</v>
      </c>
      <c r="N287" s="7" t="str">
        <f>TEXT(Table1[[#This Row],[Order_Date]],"YYY")</f>
        <v>2023</v>
      </c>
    </row>
    <row r="288" spans="1:14" x14ac:dyDescent="0.3">
      <c r="A288" s="4">
        <v>45278</v>
      </c>
      <c r="B288" s="5" t="s">
        <v>16</v>
      </c>
      <c r="C288" s="5" t="s">
        <v>31</v>
      </c>
      <c r="D288" s="23">
        <v>264.04000000000002</v>
      </c>
      <c r="E288" s="23">
        <v>96.86</v>
      </c>
      <c r="F288" s="23">
        <v>167.18</v>
      </c>
      <c r="G288" s="5" t="s">
        <v>2</v>
      </c>
      <c r="H288" s="5" t="s">
        <v>12</v>
      </c>
      <c r="I288" s="5" t="s">
        <v>11</v>
      </c>
      <c r="J288" s="6">
        <f>Table1[[#This Row],[Profit]]/Table1[[#This Row],[Sales]]</f>
        <v>0.63316164217542792</v>
      </c>
      <c r="K288" s="5" t="str">
        <f t="shared" si="4"/>
        <v>Low</v>
      </c>
      <c r="L288" s="5" t="str">
        <f>TEXT(Table1[[#This Row],[Order_Date]],"MMM")</f>
        <v>Dec</v>
      </c>
      <c r="M288" s="5" t="str">
        <f>IF(Table1[[#This Row],[Profit]]&gt;=1000,"Excellent",IF(Table1[[#This Row],[Profit]]&gt;=500,"Good", IF(Table1[[#This Row],[Profit]]&lt;500,"Low")))</f>
        <v>Low</v>
      </c>
      <c r="N288" s="7" t="str">
        <f>TEXT(Table1[[#This Row],[Order_Date]],"YYY")</f>
        <v>2023</v>
      </c>
    </row>
    <row r="289" spans="1:14" x14ac:dyDescent="0.3">
      <c r="A289" s="4">
        <v>45279</v>
      </c>
      <c r="B289" s="5" t="s">
        <v>13</v>
      </c>
      <c r="C289" s="5" t="s">
        <v>31</v>
      </c>
      <c r="D289" s="23">
        <v>19.32</v>
      </c>
      <c r="E289" s="23">
        <v>4.12</v>
      </c>
      <c r="F289" s="23">
        <v>15.2</v>
      </c>
      <c r="G289" s="5" t="s">
        <v>9</v>
      </c>
      <c r="H289" s="5" t="s">
        <v>36</v>
      </c>
      <c r="I289" s="5" t="s">
        <v>11</v>
      </c>
      <c r="J289" s="6">
        <f>Table1[[#This Row],[Profit]]/Table1[[#This Row],[Sales]]</f>
        <v>0.78674948240165632</v>
      </c>
      <c r="K289" s="5" t="str">
        <f t="shared" si="4"/>
        <v>Low</v>
      </c>
      <c r="L289" s="5" t="str">
        <f>TEXT(Table1[[#This Row],[Order_Date]],"MMM")</f>
        <v>Dec</v>
      </c>
      <c r="M289" s="5" t="str">
        <f>IF(Table1[[#This Row],[Profit]]&gt;=1000,"Excellent",IF(Table1[[#This Row],[Profit]]&gt;=500,"Good", IF(Table1[[#This Row],[Profit]]&lt;500,"Low")))</f>
        <v>Low</v>
      </c>
      <c r="N289" s="7" t="str">
        <f>TEXT(Table1[[#This Row],[Order_Date]],"YYY")</f>
        <v>2023</v>
      </c>
    </row>
    <row r="290" spans="1:14" x14ac:dyDescent="0.3">
      <c r="A290" s="4">
        <v>45280</v>
      </c>
      <c r="B290" s="5" t="s">
        <v>0</v>
      </c>
      <c r="C290" s="5" t="s">
        <v>31</v>
      </c>
      <c r="D290" s="23">
        <v>60.41</v>
      </c>
      <c r="E290" s="23">
        <v>23.26</v>
      </c>
      <c r="F290" s="23">
        <v>37.15</v>
      </c>
      <c r="G290" s="5" t="s">
        <v>32</v>
      </c>
      <c r="H290" s="5" t="s">
        <v>21</v>
      </c>
      <c r="I290" s="5" t="s">
        <v>17</v>
      </c>
      <c r="J290" s="6">
        <f>Table1[[#This Row],[Profit]]/Table1[[#This Row],[Sales]]</f>
        <v>0.61496440986591627</v>
      </c>
      <c r="K290" s="5" t="str">
        <f t="shared" si="4"/>
        <v>Low</v>
      </c>
      <c r="L290" s="5" t="str">
        <f>TEXT(Table1[[#This Row],[Order_Date]],"MMM")</f>
        <v>Dec</v>
      </c>
      <c r="M290" s="5" t="str">
        <f>IF(Table1[[#This Row],[Profit]]&gt;=1000,"Excellent",IF(Table1[[#This Row],[Profit]]&gt;=500,"Good", IF(Table1[[#This Row],[Profit]]&lt;500,"Low")))</f>
        <v>Low</v>
      </c>
      <c r="N290" s="7" t="str">
        <f>TEXT(Table1[[#This Row],[Order_Date]],"YYY")</f>
        <v>2023</v>
      </c>
    </row>
    <row r="291" spans="1:14" x14ac:dyDescent="0.3">
      <c r="A291" s="4">
        <v>45280</v>
      </c>
      <c r="B291" s="5" t="s">
        <v>18</v>
      </c>
      <c r="C291" s="5" t="s">
        <v>23</v>
      </c>
      <c r="D291" s="23">
        <v>645.70000000000005</v>
      </c>
      <c r="E291" s="23">
        <v>254.68</v>
      </c>
      <c r="F291" s="23">
        <v>391.02</v>
      </c>
      <c r="G291" s="5" t="s">
        <v>6</v>
      </c>
      <c r="H291" s="5" t="s">
        <v>3</v>
      </c>
      <c r="I291" s="5" t="s">
        <v>11</v>
      </c>
      <c r="J291" s="6">
        <f>Table1[[#This Row],[Profit]]/Table1[[#This Row],[Sales]]</f>
        <v>0.60557534458726958</v>
      </c>
      <c r="K291" s="5" t="str">
        <f t="shared" si="4"/>
        <v>Low</v>
      </c>
      <c r="L291" s="5" t="str">
        <f>TEXT(Table1[[#This Row],[Order_Date]],"MMM")</f>
        <v>Dec</v>
      </c>
      <c r="M291" s="5" t="str">
        <f>IF(Table1[[#This Row],[Profit]]&gt;=1000,"Excellent",IF(Table1[[#This Row],[Profit]]&gt;=500,"Good", IF(Table1[[#This Row],[Profit]]&lt;500,"Low")))</f>
        <v>Low</v>
      </c>
      <c r="N291" s="7" t="str">
        <f>TEXT(Table1[[#This Row],[Order_Date]],"YYY")</f>
        <v>2023</v>
      </c>
    </row>
    <row r="292" spans="1:14" x14ac:dyDescent="0.3">
      <c r="A292" s="4">
        <v>45280</v>
      </c>
      <c r="B292" s="5" t="s">
        <v>8</v>
      </c>
      <c r="C292" s="5" t="s">
        <v>19</v>
      </c>
      <c r="D292" s="23">
        <v>9.49</v>
      </c>
      <c r="E292" s="23">
        <v>2.4500000000000002</v>
      </c>
      <c r="F292" s="23">
        <v>7.04</v>
      </c>
      <c r="G292" s="5" t="s">
        <v>2</v>
      </c>
      <c r="H292" s="5" t="s">
        <v>7</v>
      </c>
      <c r="I292" s="5" t="s">
        <v>25</v>
      </c>
      <c r="J292" s="6">
        <f>Table1[[#This Row],[Profit]]/Table1[[#This Row],[Sales]]</f>
        <v>0.74183350895679656</v>
      </c>
      <c r="K292" s="5" t="str">
        <f t="shared" si="4"/>
        <v>Low</v>
      </c>
      <c r="L292" s="5" t="str">
        <f>TEXT(Table1[[#This Row],[Order_Date]],"MMM")</f>
        <v>Dec</v>
      </c>
      <c r="M292" s="5" t="str">
        <f>IF(Table1[[#This Row],[Profit]]&gt;=1000,"Excellent",IF(Table1[[#This Row],[Profit]]&gt;=500,"Good", IF(Table1[[#This Row],[Profit]]&lt;500,"Low")))</f>
        <v>Low</v>
      </c>
      <c r="N292" s="7" t="str">
        <f>TEXT(Table1[[#This Row],[Order_Date]],"YYY")</f>
        <v>2023</v>
      </c>
    </row>
    <row r="293" spans="1:14" x14ac:dyDescent="0.3">
      <c r="A293" s="4">
        <v>45281</v>
      </c>
      <c r="B293" s="5" t="s">
        <v>16</v>
      </c>
      <c r="C293" s="5" t="s">
        <v>14</v>
      </c>
      <c r="D293" s="23">
        <v>220.71</v>
      </c>
      <c r="E293" s="23">
        <v>101.43</v>
      </c>
      <c r="F293" s="23">
        <v>119.28</v>
      </c>
      <c r="G293" s="5" t="s">
        <v>20</v>
      </c>
      <c r="H293" s="5" t="s">
        <v>30</v>
      </c>
      <c r="I293" s="5" t="s">
        <v>25</v>
      </c>
      <c r="J293" s="6">
        <f>Table1[[#This Row],[Profit]]/Table1[[#This Row],[Sales]]</f>
        <v>0.54043767840152235</v>
      </c>
      <c r="K293" s="5" t="str">
        <f t="shared" si="4"/>
        <v>Low</v>
      </c>
      <c r="L293" s="5" t="str">
        <f>TEXT(Table1[[#This Row],[Order_Date]],"MMM")</f>
        <v>Dec</v>
      </c>
      <c r="M293" s="5" t="str">
        <f>IF(Table1[[#This Row],[Profit]]&gt;=1000,"Excellent",IF(Table1[[#This Row],[Profit]]&gt;=500,"Good", IF(Table1[[#This Row],[Profit]]&lt;500,"Low")))</f>
        <v>Low</v>
      </c>
      <c r="N293" s="7" t="str">
        <f>TEXT(Table1[[#This Row],[Order_Date]],"YYY")</f>
        <v>2023</v>
      </c>
    </row>
    <row r="294" spans="1:14" x14ac:dyDescent="0.3">
      <c r="A294" s="4">
        <v>45281</v>
      </c>
      <c r="B294" s="5" t="s">
        <v>13</v>
      </c>
      <c r="C294" s="5" t="s">
        <v>23</v>
      </c>
      <c r="D294" s="23">
        <v>749.01</v>
      </c>
      <c r="E294" s="23">
        <v>227.64</v>
      </c>
      <c r="F294" s="23">
        <v>521.37</v>
      </c>
      <c r="G294" s="5" t="s">
        <v>9</v>
      </c>
      <c r="H294" s="5" t="s">
        <v>12</v>
      </c>
      <c r="I294" s="5" t="s">
        <v>11</v>
      </c>
      <c r="J294" s="6">
        <f>Table1[[#This Row],[Profit]]/Table1[[#This Row],[Sales]]</f>
        <v>0.69607882404774302</v>
      </c>
      <c r="K294" s="5" t="str">
        <f t="shared" si="4"/>
        <v>Low</v>
      </c>
      <c r="L294" s="5" t="str">
        <f>TEXT(Table1[[#This Row],[Order_Date]],"MMM")</f>
        <v>Dec</v>
      </c>
      <c r="M294" s="5" t="str">
        <f>IF(Table1[[#This Row],[Profit]]&gt;=1000,"Excellent",IF(Table1[[#This Row],[Profit]]&gt;=500,"Good", IF(Table1[[#This Row],[Profit]]&lt;500,"Low")))</f>
        <v>Good</v>
      </c>
      <c r="N294" s="7" t="str">
        <f>TEXT(Table1[[#This Row],[Order_Date]],"YYY")</f>
        <v>2023</v>
      </c>
    </row>
    <row r="295" spans="1:14" x14ac:dyDescent="0.3">
      <c r="A295" s="4">
        <v>45283</v>
      </c>
      <c r="B295" s="5" t="s">
        <v>16</v>
      </c>
      <c r="C295" s="5" t="s">
        <v>26</v>
      </c>
      <c r="D295" s="23">
        <v>985.67</v>
      </c>
      <c r="E295" s="23">
        <v>400.08</v>
      </c>
      <c r="F295" s="23">
        <v>585.59</v>
      </c>
      <c r="G295" s="5" t="s">
        <v>32</v>
      </c>
      <c r="H295" s="5" t="s">
        <v>12</v>
      </c>
      <c r="I295" s="5" t="s">
        <v>22</v>
      </c>
      <c r="J295" s="6">
        <f>Table1[[#This Row],[Profit]]/Table1[[#This Row],[Sales]]</f>
        <v>0.59410350320086847</v>
      </c>
      <c r="K295" s="5" t="str">
        <f t="shared" si="4"/>
        <v>Low</v>
      </c>
      <c r="L295" s="5" t="str">
        <f>TEXT(Table1[[#This Row],[Order_Date]],"MMM")</f>
        <v>Dec</v>
      </c>
      <c r="M295" s="5" t="str">
        <f>IF(Table1[[#This Row],[Profit]]&gt;=1000,"Excellent",IF(Table1[[#This Row],[Profit]]&gt;=500,"Good", IF(Table1[[#This Row],[Profit]]&lt;500,"Low")))</f>
        <v>Good</v>
      </c>
      <c r="N295" s="7" t="str">
        <f>TEXT(Table1[[#This Row],[Order_Date]],"YYY")</f>
        <v>2023</v>
      </c>
    </row>
    <row r="296" spans="1:14" x14ac:dyDescent="0.3">
      <c r="A296" s="4">
        <v>45283</v>
      </c>
      <c r="B296" s="5" t="s">
        <v>18</v>
      </c>
      <c r="C296" s="5" t="s">
        <v>19</v>
      </c>
      <c r="D296" s="23">
        <v>113.07</v>
      </c>
      <c r="E296" s="23">
        <v>36.630000000000003</v>
      </c>
      <c r="F296" s="23">
        <v>76.44</v>
      </c>
      <c r="G296" s="5" t="s">
        <v>6</v>
      </c>
      <c r="H296" s="5" t="s">
        <v>30</v>
      </c>
      <c r="I296" s="5" t="s">
        <v>17</v>
      </c>
      <c r="J296" s="6">
        <f>Table1[[#This Row],[Profit]]/Table1[[#This Row],[Sales]]</f>
        <v>0.6760413902892014</v>
      </c>
      <c r="K296" s="5" t="str">
        <f t="shared" si="4"/>
        <v>Low</v>
      </c>
      <c r="L296" s="5" t="str">
        <f>TEXT(Table1[[#This Row],[Order_Date]],"MMM")</f>
        <v>Dec</v>
      </c>
      <c r="M296" s="5" t="str">
        <f>IF(Table1[[#This Row],[Profit]]&gt;=1000,"Excellent",IF(Table1[[#This Row],[Profit]]&gt;=500,"Good", IF(Table1[[#This Row],[Profit]]&lt;500,"Low")))</f>
        <v>Low</v>
      </c>
      <c r="N296" s="7" t="str">
        <f>TEXT(Table1[[#This Row],[Order_Date]],"YYY")</f>
        <v>2023</v>
      </c>
    </row>
    <row r="297" spans="1:14" x14ac:dyDescent="0.3">
      <c r="A297" s="4">
        <v>45283</v>
      </c>
      <c r="B297" s="5" t="s">
        <v>13</v>
      </c>
      <c r="C297" s="5" t="s">
        <v>19</v>
      </c>
      <c r="D297" s="23">
        <v>126.15</v>
      </c>
      <c r="E297" s="23">
        <v>49.74</v>
      </c>
      <c r="F297" s="23">
        <v>76.41</v>
      </c>
      <c r="G297" s="5" t="s">
        <v>9</v>
      </c>
      <c r="H297" s="5" t="s">
        <v>33</v>
      </c>
      <c r="I297" s="5" t="s">
        <v>25</v>
      </c>
      <c r="J297" s="6">
        <f>Table1[[#This Row],[Profit]]/Table1[[#This Row],[Sales]]</f>
        <v>0.60570749108204514</v>
      </c>
      <c r="K297" s="5" t="str">
        <f t="shared" si="4"/>
        <v>Low</v>
      </c>
      <c r="L297" s="5" t="str">
        <f>TEXT(Table1[[#This Row],[Order_Date]],"MMM")</f>
        <v>Dec</v>
      </c>
      <c r="M297" s="5" t="str">
        <f>IF(Table1[[#This Row],[Profit]]&gt;=1000,"Excellent",IF(Table1[[#This Row],[Profit]]&gt;=500,"Good", IF(Table1[[#This Row],[Profit]]&lt;500,"Low")))</f>
        <v>Low</v>
      </c>
      <c r="N297" s="7" t="str">
        <f>TEXT(Table1[[#This Row],[Order_Date]],"YYY")</f>
        <v>2023</v>
      </c>
    </row>
    <row r="298" spans="1:14" x14ac:dyDescent="0.3">
      <c r="A298" s="4">
        <v>45283</v>
      </c>
      <c r="B298" s="5" t="s">
        <v>18</v>
      </c>
      <c r="C298" s="5" t="s">
        <v>23</v>
      </c>
      <c r="D298" s="23">
        <v>765.85</v>
      </c>
      <c r="E298" s="23">
        <v>373.48</v>
      </c>
      <c r="F298" s="23">
        <v>392.37</v>
      </c>
      <c r="G298" s="5" t="s">
        <v>32</v>
      </c>
      <c r="H298" s="5" t="s">
        <v>15</v>
      </c>
      <c r="I298" s="5" t="s">
        <v>25</v>
      </c>
      <c r="J298" s="6">
        <f>Table1[[#This Row],[Profit]]/Table1[[#This Row],[Sales]]</f>
        <v>0.51233270222628446</v>
      </c>
      <c r="K298" s="5" t="str">
        <f t="shared" si="4"/>
        <v>Low</v>
      </c>
      <c r="L298" s="5" t="str">
        <f>TEXT(Table1[[#This Row],[Order_Date]],"MMM")</f>
        <v>Dec</v>
      </c>
      <c r="M298" s="5" t="str">
        <f>IF(Table1[[#This Row],[Profit]]&gt;=1000,"Excellent",IF(Table1[[#This Row],[Profit]]&gt;=500,"Good", IF(Table1[[#This Row],[Profit]]&lt;500,"Low")))</f>
        <v>Low</v>
      </c>
      <c r="N298" s="7" t="str">
        <f>TEXT(Table1[[#This Row],[Order_Date]],"YYY")</f>
        <v>2023</v>
      </c>
    </row>
    <row r="299" spans="1:14" x14ac:dyDescent="0.3">
      <c r="A299" s="4">
        <v>45285</v>
      </c>
      <c r="B299" s="5" t="s">
        <v>13</v>
      </c>
      <c r="C299" s="5" t="s">
        <v>31</v>
      </c>
      <c r="D299" s="23">
        <v>282.19</v>
      </c>
      <c r="E299" s="23">
        <v>79.03</v>
      </c>
      <c r="F299" s="23">
        <v>203.16</v>
      </c>
      <c r="G299" s="5" t="s">
        <v>32</v>
      </c>
      <c r="H299" s="5" t="s">
        <v>36</v>
      </c>
      <c r="I299" s="5" t="s">
        <v>25</v>
      </c>
      <c r="J299" s="6">
        <f>Table1[[#This Row],[Profit]]/Table1[[#This Row],[Sales]]</f>
        <v>0.71994046564371517</v>
      </c>
      <c r="K299" s="5" t="str">
        <f t="shared" si="4"/>
        <v>Low</v>
      </c>
      <c r="L299" s="5" t="str">
        <f>TEXT(Table1[[#This Row],[Order_Date]],"MMM")</f>
        <v>Dec</v>
      </c>
      <c r="M299" s="5" t="str">
        <f>IF(Table1[[#This Row],[Profit]]&gt;=1000,"Excellent",IF(Table1[[#This Row],[Profit]]&gt;=500,"Good", IF(Table1[[#This Row],[Profit]]&lt;500,"Low")))</f>
        <v>Low</v>
      </c>
      <c r="N299" s="7" t="str">
        <f>TEXT(Table1[[#This Row],[Order_Date]],"YYY")</f>
        <v>2023</v>
      </c>
    </row>
    <row r="300" spans="1:14" x14ac:dyDescent="0.3">
      <c r="A300" s="4">
        <v>45286</v>
      </c>
      <c r="B300" s="5" t="s">
        <v>18</v>
      </c>
      <c r="C300" s="5" t="s">
        <v>5</v>
      </c>
      <c r="D300" s="23">
        <v>650.45000000000005</v>
      </c>
      <c r="E300" s="23">
        <v>229.27</v>
      </c>
      <c r="F300" s="23">
        <v>421.18</v>
      </c>
      <c r="G300" s="5" t="s">
        <v>2</v>
      </c>
      <c r="H300" s="5" t="s">
        <v>7</v>
      </c>
      <c r="I300" s="5" t="s">
        <v>22</v>
      </c>
      <c r="J300" s="6">
        <f>Table1[[#This Row],[Profit]]/Table1[[#This Row],[Sales]]</f>
        <v>0.64752094703666685</v>
      </c>
      <c r="K300" s="5" t="str">
        <f t="shared" si="4"/>
        <v>Low</v>
      </c>
      <c r="L300" s="5" t="str">
        <f>TEXT(Table1[[#This Row],[Order_Date]],"MMM")</f>
        <v>Dec</v>
      </c>
      <c r="M300" s="5" t="str">
        <f>IF(Table1[[#This Row],[Profit]]&gt;=1000,"Excellent",IF(Table1[[#This Row],[Profit]]&gt;=500,"Good", IF(Table1[[#This Row],[Profit]]&lt;500,"Low")))</f>
        <v>Low</v>
      </c>
      <c r="N300" s="7" t="str">
        <f>TEXT(Table1[[#This Row],[Order_Date]],"YYY")</f>
        <v>2023</v>
      </c>
    </row>
    <row r="301" spans="1:14" x14ac:dyDescent="0.3">
      <c r="A301" s="4">
        <v>45286</v>
      </c>
      <c r="B301" s="5" t="s">
        <v>8</v>
      </c>
      <c r="C301" s="5" t="s">
        <v>19</v>
      </c>
      <c r="D301" s="23">
        <v>53.5</v>
      </c>
      <c r="E301" s="23">
        <v>15.15</v>
      </c>
      <c r="F301" s="23">
        <v>38.35</v>
      </c>
      <c r="G301" s="5" t="s">
        <v>9</v>
      </c>
      <c r="H301" s="5" t="s">
        <v>28</v>
      </c>
      <c r="I301" s="5" t="s">
        <v>4</v>
      </c>
      <c r="J301" s="6">
        <f>Table1[[#This Row],[Profit]]/Table1[[#This Row],[Sales]]</f>
        <v>0.7168224299065421</v>
      </c>
      <c r="K301" s="5" t="str">
        <f t="shared" si="4"/>
        <v>Low</v>
      </c>
      <c r="L301" s="5" t="str">
        <f>TEXT(Table1[[#This Row],[Order_Date]],"MMM")</f>
        <v>Dec</v>
      </c>
      <c r="M301" s="5" t="str">
        <f>IF(Table1[[#This Row],[Profit]]&gt;=1000,"Excellent",IF(Table1[[#This Row],[Profit]]&gt;=500,"Good", IF(Table1[[#This Row],[Profit]]&lt;500,"Low")))</f>
        <v>Low</v>
      </c>
      <c r="N301" s="7" t="str">
        <f>TEXT(Table1[[#This Row],[Order_Date]],"YYY")</f>
        <v>2023</v>
      </c>
    </row>
    <row r="302" spans="1:14" x14ac:dyDescent="0.3">
      <c r="A302" s="4">
        <v>45286</v>
      </c>
      <c r="B302" s="5" t="s">
        <v>13</v>
      </c>
      <c r="C302" s="5" t="s">
        <v>14</v>
      </c>
      <c r="D302" s="23">
        <v>217.15</v>
      </c>
      <c r="E302" s="23">
        <v>106.94</v>
      </c>
      <c r="F302" s="23">
        <v>110.21</v>
      </c>
      <c r="G302" s="5" t="s">
        <v>32</v>
      </c>
      <c r="H302" s="5" t="s">
        <v>29</v>
      </c>
      <c r="I302" s="5" t="s">
        <v>4</v>
      </c>
      <c r="J302" s="6">
        <f>Table1[[#This Row],[Profit]]/Table1[[#This Row],[Sales]]</f>
        <v>0.50752935758692141</v>
      </c>
      <c r="K302" s="5" t="str">
        <f t="shared" si="4"/>
        <v>Low</v>
      </c>
      <c r="L302" s="5" t="str">
        <f>TEXT(Table1[[#This Row],[Order_Date]],"MMM")</f>
        <v>Dec</v>
      </c>
      <c r="M302" s="5" t="str">
        <f>IF(Table1[[#This Row],[Profit]]&gt;=1000,"Excellent",IF(Table1[[#This Row],[Profit]]&gt;=500,"Good", IF(Table1[[#This Row],[Profit]]&lt;500,"Low")))</f>
        <v>Low</v>
      </c>
      <c r="N302" s="7" t="str">
        <f>TEXT(Table1[[#This Row],[Order_Date]],"YYY")</f>
        <v>2023</v>
      </c>
    </row>
    <row r="303" spans="1:14" x14ac:dyDescent="0.3">
      <c r="A303" s="4">
        <v>45286</v>
      </c>
      <c r="B303" s="5" t="s">
        <v>13</v>
      </c>
      <c r="C303" s="5" t="s">
        <v>14</v>
      </c>
      <c r="D303" s="23">
        <v>100.59</v>
      </c>
      <c r="E303" s="23">
        <v>45.34</v>
      </c>
      <c r="F303" s="23">
        <v>55.25</v>
      </c>
      <c r="G303" s="5" t="s">
        <v>2</v>
      </c>
      <c r="H303" s="5" t="s">
        <v>28</v>
      </c>
      <c r="I303" s="5" t="s">
        <v>27</v>
      </c>
      <c r="J303" s="6">
        <f>Table1[[#This Row],[Profit]]/Table1[[#This Row],[Sales]]</f>
        <v>0.54925936971865985</v>
      </c>
      <c r="K303" s="5" t="str">
        <f t="shared" si="4"/>
        <v>Low</v>
      </c>
      <c r="L303" s="5" t="str">
        <f>TEXT(Table1[[#This Row],[Order_Date]],"MMM")</f>
        <v>Dec</v>
      </c>
      <c r="M303" s="5" t="str">
        <f>IF(Table1[[#This Row],[Profit]]&gt;=1000,"Excellent",IF(Table1[[#This Row],[Profit]]&gt;=500,"Good", IF(Table1[[#This Row],[Profit]]&lt;500,"Low")))</f>
        <v>Low</v>
      </c>
      <c r="N303" s="7" t="str">
        <f>TEXT(Table1[[#This Row],[Order_Date]],"YYY")</f>
        <v>2023</v>
      </c>
    </row>
    <row r="304" spans="1:14" x14ac:dyDescent="0.3">
      <c r="A304" s="4">
        <v>45287</v>
      </c>
      <c r="B304" s="5" t="s">
        <v>8</v>
      </c>
      <c r="C304" s="5" t="s">
        <v>31</v>
      </c>
      <c r="D304" s="23">
        <v>55.65</v>
      </c>
      <c r="E304" s="23">
        <v>15.38</v>
      </c>
      <c r="F304" s="23">
        <v>40.270000000000003</v>
      </c>
      <c r="G304" s="5" t="s">
        <v>32</v>
      </c>
      <c r="H304" s="5" t="s">
        <v>12</v>
      </c>
      <c r="I304" s="5" t="s">
        <v>17</v>
      </c>
      <c r="J304" s="6">
        <f>Table1[[#This Row],[Profit]]/Table1[[#This Row],[Sales]]</f>
        <v>0.72362982929020669</v>
      </c>
      <c r="K304" s="5" t="str">
        <f t="shared" si="4"/>
        <v>Low</v>
      </c>
      <c r="L304" s="5" t="str">
        <f>TEXT(Table1[[#This Row],[Order_Date]],"MMM")</f>
        <v>Dec</v>
      </c>
      <c r="M304" s="5" t="str">
        <f>IF(Table1[[#This Row],[Profit]]&gt;=1000,"Excellent",IF(Table1[[#This Row],[Profit]]&gt;=500,"Good", IF(Table1[[#This Row],[Profit]]&lt;500,"Low")))</f>
        <v>Low</v>
      </c>
      <c r="N304" s="7" t="str">
        <f>TEXT(Table1[[#This Row],[Order_Date]],"YYY")</f>
        <v>2023</v>
      </c>
    </row>
    <row r="305" spans="1:14" x14ac:dyDescent="0.3">
      <c r="A305" s="4">
        <v>45287</v>
      </c>
      <c r="B305" s="5" t="s">
        <v>16</v>
      </c>
      <c r="C305" s="5" t="s">
        <v>26</v>
      </c>
      <c r="D305" s="23">
        <v>680.7</v>
      </c>
      <c r="E305" s="23">
        <v>219.56</v>
      </c>
      <c r="F305" s="23">
        <v>461.14</v>
      </c>
      <c r="G305" s="5" t="s">
        <v>2</v>
      </c>
      <c r="H305" s="5" t="s">
        <v>30</v>
      </c>
      <c r="I305" s="5" t="s">
        <v>4</v>
      </c>
      <c r="J305" s="6">
        <f>Table1[[#This Row],[Profit]]/Table1[[#This Row],[Sales]]</f>
        <v>0.67744968414867046</v>
      </c>
      <c r="K305" s="5" t="str">
        <f t="shared" si="4"/>
        <v>Low</v>
      </c>
      <c r="L305" s="5" t="str">
        <f>TEXT(Table1[[#This Row],[Order_Date]],"MMM")</f>
        <v>Dec</v>
      </c>
      <c r="M305" s="5" t="str">
        <f>IF(Table1[[#This Row],[Profit]]&gt;=1000,"Excellent",IF(Table1[[#This Row],[Profit]]&gt;=500,"Good", IF(Table1[[#This Row],[Profit]]&lt;500,"Low")))</f>
        <v>Low</v>
      </c>
      <c r="N305" s="7" t="str">
        <f>TEXT(Table1[[#This Row],[Order_Date]],"YYY")</f>
        <v>2023</v>
      </c>
    </row>
    <row r="306" spans="1:14" x14ac:dyDescent="0.3">
      <c r="A306" s="4">
        <v>45287</v>
      </c>
      <c r="B306" s="5" t="s">
        <v>8</v>
      </c>
      <c r="C306" s="5" t="s">
        <v>5</v>
      </c>
      <c r="D306" s="23">
        <v>2091.75</v>
      </c>
      <c r="E306" s="23">
        <v>774</v>
      </c>
      <c r="F306" s="23">
        <v>1317.75</v>
      </c>
      <c r="G306" s="5" t="s">
        <v>6</v>
      </c>
      <c r="H306" s="5" t="s">
        <v>3</v>
      </c>
      <c r="I306" s="5" t="s">
        <v>25</v>
      </c>
      <c r="J306" s="6">
        <f>Table1[[#This Row],[Profit]]/Table1[[#This Row],[Sales]]</f>
        <v>0.62997490139835066</v>
      </c>
      <c r="K306" s="5" t="str">
        <f t="shared" si="4"/>
        <v>High</v>
      </c>
      <c r="L306" s="5" t="str">
        <f>TEXT(Table1[[#This Row],[Order_Date]],"MMM")</f>
        <v>Dec</v>
      </c>
      <c r="M306" s="5" t="str">
        <f>IF(Table1[[#This Row],[Profit]]&gt;=1000,"Excellent",IF(Table1[[#This Row],[Profit]]&gt;=500,"Good", IF(Table1[[#This Row],[Profit]]&lt;500,"Low")))</f>
        <v>Excellent</v>
      </c>
      <c r="N306" s="7" t="str">
        <f>TEXT(Table1[[#This Row],[Order_Date]],"YYY")</f>
        <v>2023</v>
      </c>
    </row>
    <row r="307" spans="1:14" x14ac:dyDescent="0.3">
      <c r="A307" s="4">
        <v>45288</v>
      </c>
      <c r="B307" s="5" t="s">
        <v>8</v>
      </c>
      <c r="C307" s="5" t="s">
        <v>23</v>
      </c>
      <c r="D307" s="23">
        <v>245.96</v>
      </c>
      <c r="E307" s="23">
        <v>87.01</v>
      </c>
      <c r="F307" s="23">
        <v>158.94999999999999</v>
      </c>
      <c r="G307" s="5" t="s">
        <v>9</v>
      </c>
      <c r="H307" s="5" t="s">
        <v>7</v>
      </c>
      <c r="I307" s="5" t="s">
        <v>4</v>
      </c>
      <c r="J307" s="6">
        <f>Table1[[#This Row],[Profit]]/Table1[[#This Row],[Sales]]</f>
        <v>0.64624329159212879</v>
      </c>
      <c r="K307" s="5" t="str">
        <f t="shared" si="4"/>
        <v>Low</v>
      </c>
      <c r="L307" s="5" t="str">
        <f>TEXT(Table1[[#This Row],[Order_Date]],"MMM")</f>
        <v>Dec</v>
      </c>
      <c r="M307" s="5" t="str">
        <f>IF(Table1[[#This Row],[Profit]]&gt;=1000,"Excellent",IF(Table1[[#This Row],[Profit]]&gt;=500,"Good", IF(Table1[[#This Row],[Profit]]&lt;500,"Low")))</f>
        <v>Low</v>
      </c>
      <c r="N307" s="7" t="str">
        <f>TEXT(Table1[[#This Row],[Order_Date]],"YYY")</f>
        <v>2023</v>
      </c>
    </row>
    <row r="308" spans="1:14" x14ac:dyDescent="0.3">
      <c r="A308" s="4">
        <v>45289</v>
      </c>
      <c r="B308" s="5" t="s">
        <v>0</v>
      </c>
      <c r="C308" s="5" t="s">
        <v>1</v>
      </c>
      <c r="D308" s="23">
        <v>639.32000000000005</v>
      </c>
      <c r="E308" s="23">
        <v>358.79</v>
      </c>
      <c r="F308" s="23">
        <v>280.52999999999997</v>
      </c>
      <c r="G308" s="5" t="s">
        <v>9</v>
      </c>
      <c r="H308" s="5" t="s">
        <v>33</v>
      </c>
      <c r="I308" s="5" t="s">
        <v>17</v>
      </c>
      <c r="J308" s="6">
        <f>Table1[[#This Row],[Profit]]/Table1[[#This Row],[Sales]]</f>
        <v>0.43879434399048983</v>
      </c>
      <c r="K308" s="5" t="str">
        <f t="shared" si="4"/>
        <v>Low</v>
      </c>
      <c r="L308" s="5" t="str">
        <f>TEXT(Table1[[#This Row],[Order_Date]],"MMM")</f>
        <v>Dec</v>
      </c>
      <c r="M308" s="5" t="str">
        <f>IF(Table1[[#This Row],[Profit]]&gt;=1000,"Excellent",IF(Table1[[#This Row],[Profit]]&gt;=500,"Good", IF(Table1[[#This Row],[Profit]]&lt;500,"Low")))</f>
        <v>Low</v>
      </c>
      <c r="N308" s="7" t="str">
        <f>TEXT(Table1[[#This Row],[Order_Date]],"YYY")</f>
        <v>2023</v>
      </c>
    </row>
    <row r="309" spans="1:14" x14ac:dyDescent="0.3">
      <c r="A309" s="4">
        <v>45289</v>
      </c>
      <c r="B309" s="5" t="s">
        <v>8</v>
      </c>
      <c r="C309" s="5" t="s">
        <v>1</v>
      </c>
      <c r="D309" s="23">
        <v>129.08000000000001</v>
      </c>
      <c r="E309" s="23">
        <v>59.73</v>
      </c>
      <c r="F309" s="23">
        <v>69.349999999999994</v>
      </c>
      <c r="G309" s="5" t="s">
        <v>9</v>
      </c>
      <c r="H309" s="5" t="s">
        <v>35</v>
      </c>
      <c r="I309" s="5" t="s">
        <v>27</v>
      </c>
      <c r="J309" s="6">
        <f>Table1[[#This Row],[Profit]]/Table1[[#This Row],[Sales]]</f>
        <v>0.53726371242640214</v>
      </c>
      <c r="K309" s="5" t="str">
        <f t="shared" si="4"/>
        <v>Low</v>
      </c>
      <c r="L309" s="5" t="str">
        <f>TEXT(Table1[[#This Row],[Order_Date]],"MMM")</f>
        <v>Dec</v>
      </c>
      <c r="M309" s="5" t="str">
        <f>IF(Table1[[#This Row],[Profit]]&gt;=1000,"Excellent",IF(Table1[[#This Row],[Profit]]&gt;=500,"Good", IF(Table1[[#This Row],[Profit]]&lt;500,"Low")))</f>
        <v>Low</v>
      </c>
      <c r="N309" s="7" t="str">
        <f>TEXT(Table1[[#This Row],[Order_Date]],"YYY")</f>
        <v>2023</v>
      </c>
    </row>
    <row r="310" spans="1:14" x14ac:dyDescent="0.3">
      <c r="A310" s="4">
        <v>45289</v>
      </c>
      <c r="B310" s="5" t="s">
        <v>8</v>
      </c>
      <c r="C310" s="5" t="s">
        <v>26</v>
      </c>
      <c r="D310" s="23">
        <v>546.26</v>
      </c>
      <c r="E310" s="23">
        <v>148.57</v>
      </c>
      <c r="F310" s="23">
        <v>397.69</v>
      </c>
      <c r="G310" s="5" t="s">
        <v>32</v>
      </c>
      <c r="H310" s="5" t="s">
        <v>36</v>
      </c>
      <c r="I310" s="5" t="s">
        <v>22</v>
      </c>
      <c r="J310" s="6">
        <f>Table1[[#This Row],[Profit]]/Table1[[#This Row],[Sales]]</f>
        <v>0.7280232856149087</v>
      </c>
      <c r="K310" s="5" t="str">
        <f t="shared" si="4"/>
        <v>Low</v>
      </c>
      <c r="L310" s="5" t="str">
        <f>TEXT(Table1[[#This Row],[Order_Date]],"MMM")</f>
        <v>Dec</v>
      </c>
      <c r="M310" s="5" t="str">
        <f>IF(Table1[[#This Row],[Profit]]&gt;=1000,"Excellent",IF(Table1[[#This Row],[Profit]]&gt;=500,"Good", IF(Table1[[#This Row],[Profit]]&lt;500,"Low")))</f>
        <v>Low</v>
      </c>
      <c r="N310" s="7" t="str">
        <f>TEXT(Table1[[#This Row],[Order_Date]],"YYY")</f>
        <v>2023</v>
      </c>
    </row>
    <row r="311" spans="1:14" x14ac:dyDescent="0.3">
      <c r="A311" s="4">
        <v>45290</v>
      </c>
      <c r="B311" s="5" t="s">
        <v>8</v>
      </c>
      <c r="C311" s="5" t="s">
        <v>5</v>
      </c>
      <c r="D311" s="23">
        <v>1055.58</v>
      </c>
      <c r="E311" s="23">
        <v>376.43</v>
      </c>
      <c r="F311" s="23">
        <v>679.15</v>
      </c>
      <c r="G311" s="5" t="s">
        <v>2</v>
      </c>
      <c r="H311" s="5" t="s">
        <v>28</v>
      </c>
      <c r="I311" s="5" t="s">
        <v>17</v>
      </c>
      <c r="J311" s="6">
        <f>Table1[[#This Row],[Profit]]/Table1[[#This Row],[Sales]]</f>
        <v>0.64339036359157997</v>
      </c>
      <c r="K311" s="5" t="str">
        <f t="shared" si="4"/>
        <v>Low</v>
      </c>
      <c r="L311" s="5" t="str">
        <f>TEXT(Table1[[#This Row],[Order_Date]],"MMM")</f>
        <v>Dec</v>
      </c>
      <c r="M311" s="5" t="str">
        <f>IF(Table1[[#This Row],[Profit]]&gt;=1000,"Excellent",IF(Table1[[#This Row],[Profit]]&gt;=500,"Good", IF(Table1[[#This Row],[Profit]]&lt;500,"Low")))</f>
        <v>Good</v>
      </c>
      <c r="N311" s="7" t="str">
        <f>TEXT(Table1[[#This Row],[Order_Date]],"YYY")</f>
        <v>2023</v>
      </c>
    </row>
    <row r="312" spans="1:14" x14ac:dyDescent="0.3">
      <c r="A312" s="4">
        <v>45290</v>
      </c>
      <c r="B312" s="5" t="s">
        <v>18</v>
      </c>
      <c r="C312" s="5" t="s">
        <v>26</v>
      </c>
      <c r="D312" s="23">
        <v>626.04</v>
      </c>
      <c r="E312" s="23">
        <v>205.49</v>
      </c>
      <c r="F312" s="23">
        <v>420.55</v>
      </c>
      <c r="G312" s="5" t="s">
        <v>6</v>
      </c>
      <c r="H312" s="5" t="s">
        <v>7</v>
      </c>
      <c r="I312" s="5" t="s">
        <v>11</v>
      </c>
      <c r="J312" s="6">
        <f>Table1[[#This Row],[Profit]]/Table1[[#This Row],[Sales]]</f>
        <v>0.67176218771963458</v>
      </c>
      <c r="K312" s="5" t="str">
        <f t="shared" si="4"/>
        <v>Low</v>
      </c>
      <c r="L312" s="5" t="str">
        <f>TEXT(Table1[[#This Row],[Order_Date]],"MMM")</f>
        <v>Dec</v>
      </c>
      <c r="M312" s="5" t="str">
        <f>IF(Table1[[#This Row],[Profit]]&gt;=1000,"Excellent",IF(Table1[[#This Row],[Profit]]&gt;=500,"Good", IF(Table1[[#This Row],[Profit]]&lt;500,"Low")))</f>
        <v>Low</v>
      </c>
      <c r="N312" s="7" t="str">
        <f>TEXT(Table1[[#This Row],[Order_Date]],"YYY")</f>
        <v>2023</v>
      </c>
    </row>
    <row r="313" spans="1:14" x14ac:dyDescent="0.3">
      <c r="A313" s="4">
        <v>45290</v>
      </c>
      <c r="B313" s="5" t="s">
        <v>18</v>
      </c>
      <c r="C313" s="5" t="s">
        <v>31</v>
      </c>
      <c r="D313" s="23">
        <v>60.25</v>
      </c>
      <c r="E313" s="23">
        <v>22.22</v>
      </c>
      <c r="F313" s="23">
        <v>38.03</v>
      </c>
      <c r="G313" s="5" t="s">
        <v>2</v>
      </c>
      <c r="H313" s="5" t="s">
        <v>30</v>
      </c>
      <c r="I313" s="5" t="s">
        <v>17</v>
      </c>
      <c r="J313" s="6">
        <f>Table1[[#This Row],[Profit]]/Table1[[#This Row],[Sales]]</f>
        <v>0.63120331950207476</v>
      </c>
      <c r="K313" s="5" t="str">
        <f t="shared" si="4"/>
        <v>Low</v>
      </c>
      <c r="L313" s="5" t="str">
        <f>TEXT(Table1[[#This Row],[Order_Date]],"MMM")</f>
        <v>Dec</v>
      </c>
      <c r="M313" s="5" t="str">
        <f>IF(Table1[[#This Row],[Profit]]&gt;=1000,"Excellent",IF(Table1[[#This Row],[Profit]]&gt;=500,"Good", IF(Table1[[#This Row],[Profit]]&lt;500,"Low")))</f>
        <v>Low</v>
      </c>
      <c r="N313" s="7" t="str">
        <f>TEXT(Table1[[#This Row],[Order_Date]],"YYY")</f>
        <v>2023</v>
      </c>
    </row>
    <row r="314" spans="1:14" x14ac:dyDescent="0.3">
      <c r="A314" s="4">
        <v>45290</v>
      </c>
      <c r="B314" s="5" t="s">
        <v>16</v>
      </c>
      <c r="C314" s="5" t="s">
        <v>14</v>
      </c>
      <c r="D314" s="23">
        <v>53.5</v>
      </c>
      <c r="E314" s="23">
        <v>17.149999999999999</v>
      </c>
      <c r="F314" s="23">
        <v>36.35</v>
      </c>
      <c r="G314" s="5" t="s">
        <v>9</v>
      </c>
      <c r="H314" s="5" t="s">
        <v>33</v>
      </c>
      <c r="I314" s="5" t="s">
        <v>25</v>
      </c>
      <c r="J314" s="6">
        <f>Table1[[#This Row],[Profit]]/Table1[[#This Row],[Sales]]</f>
        <v>0.67943925233644864</v>
      </c>
      <c r="K314" s="5" t="str">
        <f t="shared" si="4"/>
        <v>Low</v>
      </c>
      <c r="L314" s="5" t="str">
        <f>TEXT(Table1[[#This Row],[Order_Date]],"MMM")</f>
        <v>Dec</v>
      </c>
      <c r="M314" s="5" t="str">
        <f>IF(Table1[[#This Row],[Profit]]&gt;=1000,"Excellent",IF(Table1[[#This Row],[Profit]]&gt;=500,"Good", IF(Table1[[#This Row],[Profit]]&lt;500,"Low")))</f>
        <v>Low</v>
      </c>
      <c r="N314" s="7" t="str">
        <f>TEXT(Table1[[#This Row],[Order_Date]],"YYY")</f>
        <v>2023</v>
      </c>
    </row>
    <row r="315" spans="1:14" x14ac:dyDescent="0.3">
      <c r="A315" s="4">
        <v>45291</v>
      </c>
      <c r="B315" s="5" t="s">
        <v>13</v>
      </c>
      <c r="C315" s="5" t="s">
        <v>14</v>
      </c>
      <c r="D315" s="23">
        <v>112.67</v>
      </c>
      <c r="E315" s="23">
        <v>48.88</v>
      </c>
      <c r="F315" s="23">
        <v>63.79</v>
      </c>
      <c r="G315" s="5" t="s">
        <v>20</v>
      </c>
      <c r="H315" s="5" t="s">
        <v>7</v>
      </c>
      <c r="I315" s="5" t="s">
        <v>17</v>
      </c>
      <c r="J315" s="6">
        <f>Table1[[#This Row],[Profit]]/Table1[[#This Row],[Sales]]</f>
        <v>0.56616668145912841</v>
      </c>
      <c r="K315" s="5" t="str">
        <f t="shared" si="4"/>
        <v>Low</v>
      </c>
      <c r="L315" s="5" t="str">
        <f>TEXT(Table1[[#This Row],[Order_Date]],"MMM")</f>
        <v>Dec</v>
      </c>
      <c r="M315" s="5" t="str">
        <f>IF(Table1[[#This Row],[Profit]]&gt;=1000,"Excellent",IF(Table1[[#This Row],[Profit]]&gt;=500,"Good", IF(Table1[[#This Row],[Profit]]&lt;500,"Low")))</f>
        <v>Low</v>
      </c>
      <c r="N315" s="7" t="str">
        <f>TEXT(Table1[[#This Row],[Order_Date]],"YYY")</f>
        <v>2023</v>
      </c>
    </row>
    <row r="316" spans="1:14" x14ac:dyDescent="0.3">
      <c r="A316" s="4">
        <v>45291</v>
      </c>
      <c r="B316" s="5" t="s">
        <v>16</v>
      </c>
      <c r="C316" s="5" t="s">
        <v>23</v>
      </c>
      <c r="D316" s="23">
        <v>463.23</v>
      </c>
      <c r="E316" s="23">
        <v>218.66</v>
      </c>
      <c r="F316" s="23">
        <v>244.57</v>
      </c>
      <c r="G316" s="5" t="s">
        <v>32</v>
      </c>
      <c r="H316" s="5" t="s">
        <v>29</v>
      </c>
      <c r="I316" s="5" t="s">
        <v>17</v>
      </c>
      <c r="J316" s="6">
        <f>Table1[[#This Row],[Profit]]/Table1[[#This Row],[Sales]]</f>
        <v>0.52796666882542143</v>
      </c>
      <c r="K316" s="5" t="str">
        <f t="shared" si="4"/>
        <v>Low</v>
      </c>
      <c r="L316" s="5" t="str">
        <f>TEXT(Table1[[#This Row],[Order_Date]],"MMM")</f>
        <v>Dec</v>
      </c>
      <c r="M316" s="5" t="str">
        <f>IF(Table1[[#This Row],[Profit]]&gt;=1000,"Excellent",IF(Table1[[#This Row],[Profit]]&gt;=500,"Good", IF(Table1[[#This Row],[Profit]]&lt;500,"Low")))</f>
        <v>Low</v>
      </c>
      <c r="N316" s="7" t="str">
        <f>TEXT(Table1[[#This Row],[Order_Date]],"YYY")</f>
        <v>2023</v>
      </c>
    </row>
    <row r="317" spans="1:14" x14ac:dyDescent="0.3">
      <c r="A317" s="4">
        <v>45292</v>
      </c>
      <c r="B317" s="5" t="s">
        <v>16</v>
      </c>
      <c r="C317" s="5" t="s">
        <v>14</v>
      </c>
      <c r="D317" s="23">
        <v>32.08</v>
      </c>
      <c r="E317" s="23">
        <v>16.89</v>
      </c>
      <c r="F317" s="23">
        <v>15.19</v>
      </c>
      <c r="G317" s="5" t="s">
        <v>9</v>
      </c>
      <c r="H317" s="5" t="s">
        <v>28</v>
      </c>
      <c r="I317" s="5" t="s">
        <v>4</v>
      </c>
      <c r="J317" s="6">
        <f>Table1[[#This Row],[Profit]]/Table1[[#This Row],[Sales]]</f>
        <v>0.47350374064837908</v>
      </c>
      <c r="K317" s="5" t="str">
        <f t="shared" si="4"/>
        <v>Low</v>
      </c>
      <c r="L317" s="5" t="str">
        <f>TEXT(Table1[[#This Row],[Order_Date]],"MMM")</f>
        <v>Jan</v>
      </c>
      <c r="M317" s="5" t="str">
        <f>IF(Table1[[#This Row],[Profit]]&gt;=1000,"Excellent",IF(Table1[[#This Row],[Profit]]&gt;=500,"Good", IF(Table1[[#This Row],[Profit]]&lt;500,"Low")))</f>
        <v>Low</v>
      </c>
      <c r="N317" s="7" t="str">
        <f>TEXT(Table1[[#This Row],[Order_Date]],"YYY")</f>
        <v>2024</v>
      </c>
    </row>
    <row r="318" spans="1:14" x14ac:dyDescent="0.3">
      <c r="A318" s="4">
        <v>45292</v>
      </c>
      <c r="B318" s="5" t="s">
        <v>8</v>
      </c>
      <c r="C318" s="5" t="s">
        <v>14</v>
      </c>
      <c r="D318" s="23">
        <v>361.22</v>
      </c>
      <c r="E318" s="23">
        <v>172.63</v>
      </c>
      <c r="F318" s="23">
        <v>188.59</v>
      </c>
      <c r="G318" s="5" t="s">
        <v>32</v>
      </c>
      <c r="H318" s="5" t="s">
        <v>30</v>
      </c>
      <c r="I318" s="5" t="s">
        <v>22</v>
      </c>
      <c r="J318" s="6">
        <f>Table1[[#This Row],[Profit]]/Table1[[#This Row],[Sales]]</f>
        <v>0.52209180001107358</v>
      </c>
      <c r="K318" s="5" t="str">
        <f t="shared" si="4"/>
        <v>Low</v>
      </c>
      <c r="L318" s="5" t="str">
        <f>TEXT(Table1[[#This Row],[Order_Date]],"MMM")</f>
        <v>Jan</v>
      </c>
      <c r="M318" s="5" t="str">
        <f>IF(Table1[[#This Row],[Profit]]&gt;=1000,"Excellent",IF(Table1[[#This Row],[Profit]]&gt;=500,"Good", IF(Table1[[#This Row],[Profit]]&lt;500,"Low")))</f>
        <v>Low</v>
      </c>
      <c r="N318" s="7" t="str">
        <f>TEXT(Table1[[#This Row],[Order_Date]],"YYY")</f>
        <v>2024</v>
      </c>
    </row>
    <row r="319" spans="1:14" x14ac:dyDescent="0.3">
      <c r="A319" s="4">
        <v>45292</v>
      </c>
      <c r="B319" s="5" t="s">
        <v>16</v>
      </c>
      <c r="C319" s="5" t="s">
        <v>14</v>
      </c>
      <c r="D319" s="23">
        <v>93.89</v>
      </c>
      <c r="E319" s="23">
        <v>44.18</v>
      </c>
      <c r="F319" s="23">
        <v>49.71</v>
      </c>
      <c r="G319" s="5" t="s">
        <v>20</v>
      </c>
      <c r="H319" s="5" t="s">
        <v>28</v>
      </c>
      <c r="I319" s="5" t="s">
        <v>25</v>
      </c>
      <c r="J319" s="6">
        <f>Table1[[#This Row],[Profit]]/Table1[[#This Row],[Sales]]</f>
        <v>0.52944935562892748</v>
      </c>
      <c r="K319" s="5" t="str">
        <f t="shared" si="4"/>
        <v>Low</v>
      </c>
      <c r="L319" s="5" t="str">
        <f>TEXT(Table1[[#This Row],[Order_Date]],"MMM")</f>
        <v>Jan</v>
      </c>
      <c r="M319" s="5" t="str">
        <f>IF(Table1[[#This Row],[Profit]]&gt;=1000,"Excellent",IF(Table1[[#This Row],[Profit]]&gt;=500,"Good", IF(Table1[[#This Row],[Profit]]&lt;500,"Low")))</f>
        <v>Low</v>
      </c>
      <c r="N319" s="7" t="str">
        <f>TEXT(Table1[[#This Row],[Order_Date]],"YYY")</f>
        <v>2024</v>
      </c>
    </row>
    <row r="320" spans="1:14" x14ac:dyDescent="0.3">
      <c r="A320" s="4">
        <v>45292</v>
      </c>
      <c r="B320" s="5" t="s">
        <v>13</v>
      </c>
      <c r="C320" s="5" t="s">
        <v>14</v>
      </c>
      <c r="D320" s="23">
        <v>312.82</v>
      </c>
      <c r="E320" s="23">
        <v>105.95</v>
      </c>
      <c r="F320" s="23">
        <v>206.87</v>
      </c>
      <c r="G320" s="5" t="s">
        <v>32</v>
      </c>
      <c r="H320" s="5" t="s">
        <v>30</v>
      </c>
      <c r="I320" s="5" t="s">
        <v>11</v>
      </c>
      <c r="J320" s="6">
        <f>Table1[[#This Row],[Profit]]/Table1[[#This Row],[Sales]]</f>
        <v>0.66130682181446199</v>
      </c>
      <c r="K320" s="5" t="str">
        <f t="shared" si="4"/>
        <v>Low</v>
      </c>
      <c r="L320" s="5" t="str">
        <f>TEXT(Table1[[#This Row],[Order_Date]],"MMM")</f>
        <v>Jan</v>
      </c>
      <c r="M320" s="5" t="str">
        <f>IF(Table1[[#This Row],[Profit]]&gt;=1000,"Excellent",IF(Table1[[#This Row],[Profit]]&gt;=500,"Good", IF(Table1[[#This Row],[Profit]]&lt;500,"Low")))</f>
        <v>Low</v>
      </c>
      <c r="N320" s="7" t="str">
        <f>TEXT(Table1[[#This Row],[Order_Date]],"YYY")</f>
        <v>2024</v>
      </c>
    </row>
    <row r="321" spans="1:14" x14ac:dyDescent="0.3">
      <c r="A321" s="4">
        <v>45293</v>
      </c>
      <c r="B321" s="5" t="s">
        <v>18</v>
      </c>
      <c r="C321" s="5" t="s">
        <v>19</v>
      </c>
      <c r="D321" s="23">
        <v>144.29</v>
      </c>
      <c r="E321" s="23">
        <v>44.61</v>
      </c>
      <c r="F321" s="23">
        <v>99.68</v>
      </c>
      <c r="G321" s="5" t="s">
        <v>9</v>
      </c>
      <c r="H321" s="5" t="s">
        <v>21</v>
      </c>
      <c r="I321" s="5" t="s">
        <v>22</v>
      </c>
      <c r="J321" s="6">
        <f>Table1[[#This Row],[Profit]]/Table1[[#This Row],[Sales]]</f>
        <v>0.69083096541686884</v>
      </c>
      <c r="K321" s="5" t="str">
        <f t="shared" si="4"/>
        <v>Low</v>
      </c>
      <c r="L321" s="5" t="str">
        <f>TEXT(Table1[[#This Row],[Order_Date]],"MMM")</f>
        <v>Jan</v>
      </c>
      <c r="M321" s="5" t="str">
        <f>IF(Table1[[#This Row],[Profit]]&gt;=1000,"Excellent",IF(Table1[[#This Row],[Profit]]&gt;=500,"Good", IF(Table1[[#This Row],[Profit]]&lt;500,"Low")))</f>
        <v>Low</v>
      </c>
      <c r="N321" s="7" t="str">
        <f>TEXT(Table1[[#This Row],[Order_Date]],"YYY")</f>
        <v>2024</v>
      </c>
    </row>
    <row r="322" spans="1:14" x14ac:dyDescent="0.3">
      <c r="A322" s="4">
        <v>45293</v>
      </c>
      <c r="B322" s="5" t="s">
        <v>0</v>
      </c>
      <c r="C322" s="5" t="s">
        <v>31</v>
      </c>
      <c r="D322" s="23">
        <v>14.02</v>
      </c>
      <c r="E322" s="23">
        <v>5.29</v>
      </c>
      <c r="F322" s="23">
        <v>8.73</v>
      </c>
      <c r="G322" s="5" t="s">
        <v>32</v>
      </c>
      <c r="H322" s="5" t="s">
        <v>33</v>
      </c>
      <c r="I322" s="5" t="s">
        <v>22</v>
      </c>
      <c r="J322" s="6">
        <f>Table1[[#This Row],[Profit]]/Table1[[#This Row],[Sales]]</f>
        <v>0.62268188302425109</v>
      </c>
      <c r="K322" s="5" t="str">
        <f t="shared" ref="K322:K385" si="5">IF(D322&gt;=2000,"High",IF(D322&gt;=1500,"Medium","Low"))</f>
        <v>Low</v>
      </c>
      <c r="L322" s="5" t="str">
        <f>TEXT(Table1[[#This Row],[Order_Date]],"MMM")</f>
        <v>Jan</v>
      </c>
      <c r="M322" s="5" t="str">
        <f>IF(Table1[[#This Row],[Profit]]&gt;=1000,"Excellent",IF(Table1[[#This Row],[Profit]]&gt;=500,"Good", IF(Table1[[#This Row],[Profit]]&lt;500,"Low")))</f>
        <v>Low</v>
      </c>
      <c r="N322" s="7" t="str">
        <f>TEXT(Table1[[#This Row],[Order_Date]],"YYY")</f>
        <v>2024</v>
      </c>
    </row>
    <row r="323" spans="1:14" x14ac:dyDescent="0.3">
      <c r="A323" s="4">
        <v>45294</v>
      </c>
      <c r="B323" s="5" t="s">
        <v>13</v>
      </c>
      <c r="C323" s="5" t="s">
        <v>5</v>
      </c>
      <c r="D323" s="23">
        <v>875.86</v>
      </c>
      <c r="E323" s="23">
        <v>267.98</v>
      </c>
      <c r="F323" s="23">
        <v>607.88</v>
      </c>
      <c r="G323" s="5" t="s">
        <v>2</v>
      </c>
      <c r="H323" s="5" t="s">
        <v>35</v>
      </c>
      <c r="I323" s="5" t="s">
        <v>4</v>
      </c>
      <c r="J323" s="6">
        <f>Table1[[#This Row],[Profit]]/Table1[[#This Row],[Sales]]</f>
        <v>0.69403785993195255</v>
      </c>
      <c r="K323" s="5" t="str">
        <f t="shared" si="5"/>
        <v>Low</v>
      </c>
      <c r="L323" s="5" t="str">
        <f>TEXT(Table1[[#This Row],[Order_Date]],"MMM")</f>
        <v>Jan</v>
      </c>
      <c r="M323" s="5" t="str">
        <f>IF(Table1[[#This Row],[Profit]]&gt;=1000,"Excellent",IF(Table1[[#This Row],[Profit]]&gt;=500,"Good", IF(Table1[[#This Row],[Profit]]&lt;500,"Low")))</f>
        <v>Good</v>
      </c>
      <c r="N323" s="7" t="str">
        <f>TEXT(Table1[[#This Row],[Order_Date]],"YYY")</f>
        <v>2024</v>
      </c>
    </row>
    <row r="324" spans="1:14" x14ac:dyDescent="0.3">
      <c r="A324" s="4">
        <v>45295</v>
      </c>
      <c r="B324" s="5" t="s">
        <v>0</v>
      </c>
      <c r="C324" s="5" t="s">
        <v>19</v>
      </c>
      <c r="D324" s="23">
        <v>136.49</v>
      </c>
      <c r="E324" s="23">
        <v>36.729999999999997</v>
      </c>
      <c r="F324" s="23">
        <v>99.76</v>
      </c>
      <c r="G324" s="5" t="s">
        <v>20</v>
      </c>
      <c r="H324" s="5" t="s">
        <v>28</v>
      </c>
      <c r="I324" s="5" t="s">
        <v>27</v>
      </c>
      <c r="J324" s="6">
        <f>Table1[[#This Row],[Profit]]/Table1[[#This Row],[Sales]]</f>
        <v>0.73089603633965861</v>
      </c>
      <c r="K324" s="5" t="str">
        <f t="shared" si="5"/>
        <v>Low</v>
      </c>
      <c r="L324" s="5" t="str">
        <f>TEXT(Table1[[#This Row],[Order_Date]],"MMM")</f>
        <v>Jan</v>
      </c>
      <c r="M324" s="5" t="str">
        <f>IF(Table1[[#This Row],[Profit]]&gt;=1000,"Excellent",IF(Table1[[#This Row],[Profit]]&gt;=500,"Good", IF(Table1[[#This Row],[Profit]]&lt;500,"Low")))</f>
        <v>Low</v>
      </c>
      <c r="N324" s="7" t="str">
        <f>TEXT(Table1[[#This Row],[Order_Date]],"YYY")</f>
        <v>2024</v>
      </c>
    </row>
    <row r="325" spans="1:14" x14ac:dyDescent="0.3">
      <c r="A325" s="4">
        <v>45296</v>
      </c>
      <c r="B325" s="5" t="s">
        <v>0</v>
      </c>
      <c r="C325" s="5" t="s">
        <v>14</v>
      </c>
      <c r="D325" s="23">
        <v>100.33</v>
      </c>
      <c r="E325" s="23">
        <v>34.51</v>
      </c>
      <c r="F325" s="23">
        <v>65.819999999999993</v>
      </c>
      <c r="G325" s="5" t="s">
        <v>2</v>
      </c>
      <c r="H325" s="5" t="s">
        <v>36</v>
      </c>
      <c r="I325" s="5" t="s">
        <v>4</v>
      </c>
      <c r="J325" s="6">
        <f>Table1[[#This Row],[Profit]]/Table1[[#This Row],[Sales]]</f>
        <v>0.65603508422206713</v>
      </c>
      <c r="K325" s="5" t="str">
        <f t="shared" si="5"/>
        <v>Low</v>
      </c>
      <c r="L325" s="5" t="str">
        <f>TEXT(Table1[[#This Row],[Order_Date]],"MMM")</f>
        <v>Jan</v>
      </c>
      <c r="M325" s="5" t="str">
        <f>IF(Table1[[#This Row],[Profit]]&gt;=1000,"Excellent",IF(Table1[[#This Row],[Profit]]&gt;=500,"Good", IF(Table1[[#This Row],[Profit]]&lt;500,"Low")))</f>
        <v>Low</v>
      </c>
      <c r="N325" s="7" t="str">
        <f>TEXT(Table1[[#This Row],[Order_Date]],"YYY")</f>
        <v>2024</v>
      </c>
    </row>
    <row r="326" spans="1:14" x14ac:dyDescent="0.3">
      <c r="A326" s="4">
        <v>45296</v>
      </c>
      <c r="B326" s="5" t="s">
        <v>8</v>
      </c>
      <c r="C326" s="5" t="s">
        <v>23</v>
      </c>
      <c r="D326" s="23">
        <v>211.15</v>
      </c>
      <c r="E326" s="23">
        <v>87.53</v>
      </c>
      <c r="F326" s="23">
        <v>123.62</v>
      </c>
      <c r="G326" s="5" t="s">
        <v>2</v>
      </c>
      <c r="H326" s="5" t="s">
        <v>12</v>
      </c>
      <c r="I326" s="5" t="s">
        <v>11</v>
      </c>
      <c r="J326" s="6">
        <f>Table1[[#This Row],[Profit]]/Table1[[#This Row],[Sales]]</f>
        <v>0.58546057305233246</v>
      </c>
      <c r="K326" s="5" t="str">
        <f t="shared" si="5"/>
        <v>Low</v>
      </c>
      <c r="L326" s="5" t="str">
        <f>TEXT(Table1[[#This Row],[Order_Date]],"MMM")</f>
        <v>Jan</v>
      </c>
      <c r="M326" s="5" t="str">
        <f>IF(Table1[[#This Row],[Profit]]&gt;=1000,"Excellent",IF(Table1[[#This Row],[Profit]]&gt;=500,"Good", IF(Table1[[#This Row],[Profit]]&lt;500,"Low")))</f>
        <v>Low</v>
      </c>
      <c r="N326" s="7" t="str">
        <f>TEXT(Table1[[#This Row],[Order_Date]],"YYY")</f>
        <v>2024</v>
      </c>
    </row>
    <row r="327" spans="1:14" x14ac:dyDescent="0.3">
      <c r="A327" s="4">
        <v>45296</v>
      </c>
      <c r="B327" s="5" t="s">
        <v>8</v>
      </c>
      <c r="C327" s="5" t="s">
        <v>1</v>
      </c>
      <c r="D327" s="23">
        <v>880.29</v>
      </c>
      <c r="E327" s="23">
        <v>440.69</v>
      </c>
      <c r="F327" s="23">
        <v>439.6</v>
      </c>
      <c r="G327" s="5" t="s">
        <v>9</v>
      </c>
      <c r="H327" s="5" t="s">
        <v>12</v>
      </c>
      <c r="I327" s="5" t="s">
        <v>11</v>
      </c>
      <c r="J327" s="6">
        <f>Table1[[#This Row],[Profit]]/Table1[[#This Row],[Sales]]</f>
        <v>0.49938088584443768</v>
      </c>
      <c r="K327" s="5" t="str">
        <f t="shared" si="5"/>
        <v>Low</v>
      </c>
      <c r="L327" s="5" t="str">
        <f>TEXT(Table1[[#This Row],[Order_Date]],"MMM")</f>
        <v>Jan</v>
      </c>
      <c r="M327" s="5" t="str">
        <f>IF(Table1[[#This Row],[Profit]]&gt;=1000,"Excellent",IF(Table1[[#This Row],[Profit]]&gt;=500,"Good", IF(Table1[[#This Row],[Profit]]&lt;500,"Low")))</f>
        <v>Low</v>
      </c>
      <c r="N327" s="7" t="str">
        <f>TEXT(Table1[[#This Row],[Order_Date]],"YYY")</f>
        <v>2024</v>
      </c>
    </row>
    <row r="328" spans="1:14" x14ac:dyDescent="0.3">
      <c r="A328" s="4">
        <v>45296</v>
      </c>
      <c r="B328" s="5" t="s">
        <v>0</v>
      </c>
      <c r="C328" s="5" t="s">
        <v>14</v>
      </c>
      <c r="D328" s="23">
        <v>262.72000000000003</v>
      </c>
      <c r="E328" s="23">
        <v>81.09</v>
      </c>
      <c r="F328" s="23">
        <v>181.63</v>
      </c>
      <c r="G328" s="5" t="s">
        <v>20</v>
      </c>
      <c r="H328" s="5" t="s">
        <v>10</v>
      </c>
      <c r="I328" s="5" t="s">
        <v>17</v>
      </c>
      <c r="J328" s="6">
        <f>Table1[[#This Row],[Profit]]/Table1[[#This Row],[Sales]]</f>
        <v>0.69134439707673556</v>
      </c>
      <c r="K328" s="5" t="str">
        <f t="shared" si="5"/>
        <v>Low</v>
      </c>
      <c r="L328" s="5" t="str">
        <f>TEXT(Table1[[#This Row],[Order_Date]],"MMM")</f>
        <v>Jan</v>
      </c>
      <c r="M328" s="5" t="str">
        <f>IF(Table1[[#This Row],[Profit]]&gt;=1000,"Excellent",IF(Table1[[#This Row],[Profit]]&gt;=500,"Good", IF(Table1[[#This Row],[Profit]]&lt;500,"Low")))</f>
        <v>Low</v>
      </c>
      <c r="N328" s="7" t="str">
        <f>TEXT(Table1[[#This Row],[Order_Date]],"YYY")</f>
        <v>2024</v>
      </c>
    </row>
    <row r="329" spans="1:14" x14ac:dyDescent="0.3">
      <c r="A329" s="4">
        <v>45297</v>
      </c>
      <c r="B329" s="5" t="s">
        <v>8</v>
      </c>
      <c r="C329" s="5" t="s">
        <v>14</v>
      </c>
      <c r="D329" s="23">
        <v>397.48</v>
      </c>
      <c r="E329" s="23">
        <v>215.71</v>
      </c>
      <c r="F329" s="23">
        <v>181.77</v>
      </c>
      <c r="G329" s="5" t="s">
        <v>6</v>
      </c>
      <c r="H329" s="5" t="s">
        <v>10</v>
      </c>
      <c r="I329" s="5" t="s">
        <v>17</v>
      </c>
      <c r="J329" s="6">
        <f>Table1[[#This Row],[Profit]]/Table1[[#This Row],[Sales]]</f>
        <v>0.45730602797625036</v>
      </c>
      <c r="K329" s="5" t="str">
        <f t="shared" si="5"/>
        <v>Low</v>
      </c>
      <c r="L329" s="5" t="str">
        <f>TEXT(Table1[[#This Row],[Order_Date]],"MMM")</f>
        <v>Jan</v>
      </c>
      <c r="M329" s="5" t="str">
        <f>IF(Table1[[#This Row],[Profit]]&gt;=1000,"Excellent",IF(Table1[[#This Row],[Profit]]&gt;=500,"Good", IF(Table1[[#This Row],[Profit]]&lt;500,"Low")))</f>
        <v>Low</v>
      </c>
      <c r="N329" s="7" t="str">
        <f>TEXT(Table1[[#This Row],[Order_Date]],"YYY")</f>
        <v>2024</v>
      </c>
    </row>
    <row r="330" spans="1:14" x14ac:dyDescent="0.3">
      <c r="A330" s="4">
        <v>45297</v>
      </c>
      <c r="B330" s="5" t="s">
        <v>18</v>
      </c>
      <c r="C330" s="5" t="s">
        <v>23</v>
      </c>
      <c r="D330" s="23">
        <v>741.83</v>
      </c>
      <c r="E330" s="23">
        <v>308.56</v>
      </c>
      <c r="F330" s="23">
        <v>433.27</v>
      </c>
      <c r="G330" s="5" t="s">
        <v>2</v>
      </c>
      <c r="H330" s="5" t="s">
        <v>15</v>
      </c>
      <c r="I330" s="5" t="s">
        <v>25</v>
      </c>
      <c r="J330" s="6">
        <f>Table1[[#This Row],[Profit]]/Table1[[#This Row],[Sales]]</f>
        <v>0.58405564617230354</v>
      </c>
      <c r="K330" s="5" t="str">
        <f t="shared" si="5"/>
        <v>Low</v>
      </c>
      <c r="L330" s="5" t="str">
        <f>TEXT(Table1[[#This Row],[Order_Date]],"MMM")</f>
        <v>Jan</v>
      </c>
      <c r="M330" s="5" t="str">
        <f>IF(Table1[[#This Row],[Profit]]&gt;=1000,"Excellent",IF(Table1[[#This Row],[Profit]]&gt;=500,"Good", IF(Table1[[#This Row],[Profit]]&lt;500,"Low")))</f>
        <v>Low</v>
      </c>
      <c r="N330" s="7" t="str">
        <f>TEXT(Table1[[#This Row],[Order_Date]],"YYY")</f>
        <v>2024</v>
      </c>
    </row>
    <row r="331" spans="1:14" x14ac:dyDescent="0.3">
      <c r="A331" s="4">
        <v>45298</v>
      </c>
      <c r="B331" s="5" t="s">
        <v>0</v>
      </c>
      <c r="C331" s="5" t="s">
        <v>19</v>
      </c>
      <c r="D331" s="23">
        <v>22.73</v>
      </c>
      <c r="E331" s="23">
        <v>6.01</v>
      </c>
      <c r="F331" s="23">
        <v>16.72</v>
      </c>
      <c r="G331" s="5" t="s">
        <v>6</v>
      </c>
      <c r="H331" s="5" t="s">
        <v>35</v>
      </c>
      <c r="I331" s="5" t="s">
        <v>4</v>
      </c>
      <c r="J331" s="6">
        <f>Table1[[#This Row],[Profit]]/Table1[[#This Row],[Sales]]</f>
        <v>0.73559172899252079</v>
      </c>
      <c r="K331" s="5" t="str">
        <f t="shared" si="5"/>
        <v>Low</v>
      </c>
      <c r="L331" s="5" t="str">
        <f>TEXT(Table1[[#This Row],[Order_Date]],"MMM")</f>
        <v>Jan</v>
      </c>
      <c r="M331" s="5" t="str">
        <f>IF(Table1[[#This Row],[Profit]]&gt;=1000,"Excellent",IF(Table1[[#This Row],[Profit]]&gt;=500,"Good", IF(Table1[[#This Row],[Profit]]&lt;500,"Low")))</f>
        <v>Low</v>
      </c>
      <c r="N331" s="7" t="str">
        <f>TEXT(Table1[[#This Row],[Order_Date]],"YYY")</f>
        <v>2024</v>
      </c>
    </row>
    <row r="332" spans="1:14" x14ac:dyDescent="0.3">
      <c r="A332" s="4">
        <v>45298</v>
      </c>
      <c r="B332" s="5" t="s">
        <v>13</v>
      </c>
      <c r="C332" s="5" t="s">
        <v>5</v>
      </c>
      <c r="D332" s="23">
        <v>1940.42</v>
      </c>
      <c r="E332" s="23">
        <v>755.64</v>
      </c>
      <c r="F332" s="23">
        <v>1184.78</v>
      </c>
      <c r="G332" s="5" t="s">
        <v>32</v>
      </c>
      <c r="H332" s="5" t="s">
        <v>28</v>
      </c>
      <c r="I332" s="5" t="s">
        <v>22</v>
      </c>
      <c r="J332" s="6">
        <f>Table1[[#This Row],[Profit]]/Table1[[#This Row],[Sales]]</f>
        <v>0.61057915296688348</v>
      </c>
      <c r="K332" s="5" t="str">
        <f t="shared" si="5"/>
        <v>Medium</v>
      </c>
      <c r="L332" s="5" t="str">
        <f>TEXT(Table1[[#This Row],[Order_Date]],"MMM")</f>
        <v>Jan</v>
      </c>
      <c r="M332" s="5" t="str">
        <f>IF(Table1[[#This Row],[Profit]]&gt;=1000,"Excellent",IF(Table1[[#This Row],[Profit]]&gt;=500,"Good", IF(Table1[[#This Row],[Profit]]&lt;500,"Low")))</f>
        <v>Excellent</v>
      </c>
      <c r="N332" s="7" t="str">
        <f>TEXT(Table1[[#This Row],[Order_Date]],"YYY")</f>
        <v>2024</v>
      </c>
    </row>
    <row r="333" spans="1:14" x14ac:dyDescent="0.3">
      <c r="A333" s="4">
        <v>45299</v>
      </c>
      <c r="B333" s="5" t="s">
        <v>18</v>
      </c>
      <c r="C333" s="5" t="s">
        <v>26</v>
      </c>
      <c r="D333" s="23">
        <v>948.39</v>
      </c>
      <c r="E333" s="23">
        <v>293.26</v>
      </c>
      <c r="F333" s="23">
        <v>655.13</v>
      </c>
      <c r="G333" s="5" t="s">
        <v>32</v>
      </c>
      <c r="H333" s="5" t="s">
        <v>29</v>
      </c>
      <c r="I333" s="5" t="s">
        <v>22</v>
      </c>
      <c r="J333" s="6">
        <f>Table1[[#This Row],[Profit]]/Table1[[#This Row],[Sales]]</f>
        <v>0.69078121869694953</v>
      </c>
      <c r="K333" s="5" t="str">
        <f t="shared" si="5"/>
        <v>Low</v>
      </c>
      <c r="L333" s="5" t="str">
        <f>TEXT(Table1[[#This Row],[Order_Date]],"MMM")</f>
        <v>Jan</v>
      </c>
      <c r="M333" s="5" t="str">
        <f>IF(Table1[[#This Row],[Profit]]&gt;=1000,"Excellent",IF(Table1[[#This Row],[Profit]]&gt;=500,"Good", IF(Table1[[#This Row],[Profit]]&lt;500,"Low")))</f>
        <v>Good</v>
      </c>
      <c r="N333" s="7" t="str">
        <f>TEXT(Table1[[#This Row],[Order_Date]],"YYY")</f>
        <v>2024</v>
      </c>
    </row>
    <row r="334" spans="1:14" x14ac:dyDescent="0.3">
      <c r="A334" s="4">
        <v>45300</v>
      </c>
      <c r="B334" s="5" t="s">
        <v>8</v>
      </c>
      <c r="C334" s="5" t="s">
        <v>26</v>
      </c>
      <c r="D334" s="23">
        <v>374.09</v>
      </c>
      <c r="E334" s="23">
        <v>162.51</v>
      </c>
      <c r="F334" s="23">
        <v>211.58</v>
      </c>
      <c r="G334" s="5" t="s">
        <v>20</v>
      </c>
      <c r="H334" s="5" t="s">
        <v>34</v>
      </c>
      <c r="I334" s="5" t="s">
        <v>4</v>
      </c>
      <c r="J334" s="6">
        <f>Table1[[#This Row],[Profit]]/Table1[[#This Row],[Sales]]</f>
        <v>0.56558582159373416</v>
      </c>
      <c r="K334" s="5" t="str">
        <f t="shared" si="5"/>
        <v>Low</v>
      </c>
      <c r="L334" s="5" t="str">
        <f>TEXT(Table1[[#This Row],[Order_Date]],"MMM")</f>
        <v>Jan</v>
      </c>
      <c r="M334" s="5" t="str">
        <f>IF(Table1[[#This Row],[Profit]]&gt;=1000,"Excellent",IF(Table1[[#This Row],[Profit]]&gt;=500,"Good", IF(Table1[[#This Row],[Profit]]&lt;500,"Low")))</f>
        <v>Low</v>
      </c>
      <c r="N334" s="7" t="str">
        <f>TEXT(Table1[[#This Row],[Order_Date]],"YYY")</f>
        <v>2024</v>
      </c>
    </row>
    <row r="335" spans="1:14" x14ac:dyDescent="0.3">
      <c r="A335" s="4">
        <v>45301</v>
      </c>
      <c r="B335" s="5" t="s">
        <v>0</v>
      </c>
      <c r="C335" s="5" t="s">
        <v>23</v>
      </c>
      <c r="D335" s="23">
        <v>422.48</v>
      </c>
      <c r="E335" s="23">
        <v>178.75</v>
      </c>
      <c r="F335" s="23">
        <v>243.73</v>
      </c>
      <c r="G335" s="5" t="s">
        <v>32</v>
      </c>
      <c r="H335" s="5" t="s">
        <v>21</v>
      </c>
      <c r="I335" s="5" t="s">
        <v>25</v>
      </c>
      <c r="J335" s="6">
        <f>Table1[[#This Row],[Profit]]/Table1[[#This Row],[Sales]]</f>
        <v>0.57690304866502551</v>
      </c>
      <c r="K335" s="5" t="str">
        <f t="shared" si="5"/>
        <v>Low</v>
      </c>
      <c r="L335" s="5" t="str">
        <f>TEXT(Table1[[#This Row],[Order_Date]],"MMM")</f>
        <v>Jan</v>
      </c>
      <c r="M335" s="5" t="str">
        <f>IF(Table1[[#This Row],[Profit]]&gt;=1000,"Excellent",IF(Table1[[#This Row],[Profit]]&gt;=500,"Good", IF(Table1[[#This Row],[Profit]]&lt;500,"Low")))</f>
        <v>Low</v>
      </c>
      <c r="N335" s="7" t="str">
        <f>TEXT(Table1[[#This Row],[Order_Date]],"YYY")</f>
        <v>2024</v>
      </c>
    </row>
    <row r="336" spans="1:14" x14ac:dyDescent="0.3">
      <c r="A336" s="4">
        <v>45302</v>
      </c>
      <c r="B336" s="5" t="s">
        <v>13</v>
      </c>
      <c r="C336" s="5" t="s">
        <v>31</v>
      </c>
      <c r="D336" s="23">
        <v>266.19</v>
      </c>
      <c r="E336" s="23">
        <v>71.16</v>
      </c>
      <c r="F336" s="23">
        <v>195.03</v>
      </c>
      <c r="G336" s="5" t="s">
        <v>6</v>
      </c>
      <c r="H336" s="5" t="s">
        <v>15</v>
      </c>
      <c r="I336" s="5" t="s">
        <v>27</v>
      </c>
      <c r="J336" s="6">
        <f>Table1[[#This Row],[Profit]]/Table1[[#This Row],[Sales]]</f>
        <v>0.73267215147075393</v>
      </c>
      <c r="K336" s="5" t="str">
        <f t="shared" si="5"/>
        <v>Low</v>
      </c>
      <c r="L336" s="5" t="str">
        <f>TEXT(Table1[[#This Row],[Order_Date]],"MMM")</f>
        <v>Jan</v>
      </c>
      <c r="M336" s="5" t="str">
        <f>IF(Table1[[#This Row],[Profit]]&gt;=1000,"Excellent",IF(Table1[[#This Row],[Profit]]&gt;=500,"Good", IF(Table1[[#This Row],[Profit]]&lt;500,"Low")))</f>
        <v>Low</v>
      </c>
      <c r="N336" s="7" t="str">
        <f>TEXT(Table1[[#This Row],[Order_Date]],"YYY")</f>
        <v>2024</v>
      </c>
    </row>
    <row r="337" spans="1:14" x14ac:dyDescent="0.3">
      <c r="A337" s="4">
        <v>45302</v>
      </c>
      <c r="B337" s="5" t="s">
        <v>16</v>
      </c>
      <c r="C337" s="5" t="s">
        <v>14</v>
      </c>
      <c r="D337" s="23">
        <v>236.24</v>
      </c>
      <c r="E337" s="23">
        <v>117.09</v>
      </c>
      <c r="F337" s="23">
        <v>119.15</v>
      </c>
      <c r="G337" s="5" t="s">
        <v>32</v>
      </c>
      <c r="H337" s="5" t="s">
        <v>33</v>
      </c>
      <c r="I337" s="5" t="s">
        <v>27</v>
      </c>
      <c r="J337" s="6">
        <f>Table1[[#This Row],[Profit]]/Table1[[#This Row],[Sales]]</f>
        <v>0.50435997290890622</v>
      </c>
      <c r="K337" s="5" t="str">
        <f t="shared" si="5"/>
        <v>Low</v>
      </c>
      <c r="L337" s="5" t="str">
        <f>TEXT(Table1[[#This Row],[Order_Date]],"MMM")</f>
        <v>Jan</v>
      </c>
      <c r="M337" s="5" t="str">
        <f>IF(Table1[[#This Row],[Profit]]&gt;=1000,"Excellent",IF(Table1[[#This Row],[Profit]]&gt;=500,"Good", IF(Table1[[#This Row],[Profit]]&lt;500,"Low")))</f>
        <v>Low</v>
      </c>
      <c r="N337" s="7" t="str">
        <f>TEXT(Table1[[#This Row],[Order_Date]],"YYY")</f>
        <v>2024</v>
      </c>
    </row>
    <row r="338" spans="1:14" x14ac:dyDescent="0.3">
      <c r="A338" s="4">
        <v>45302</v>
      </c>
      <c r="B338" s="5" t="s">
        <v>16</v>
      </c>
      <c r="C338" s="5" t="s">
        <v>26</v>
      </c>
      <c r="D338" s="23">
        <v>771.46</v>
      </c>
      <c r="E338" s="23">
        <v>304.98</v>
      </c>
      <c r="F338" s="23">
        <v>466.48</v>
      </c>
      <c r="G338" s="5" t="s">
        <v>20</v>
      </c>
      <c r="H338" s="5" t="s">
        <v>36</v>
      </c>
      <c r="I338" s="5" t="s">
        <v>4</v>
      </c>
      <c r="J338" s="6">
        <f>Table1[[#This Row],[Profit]]/Table1[[#This Row],[Sales]]</f>
        <v>0.60467166152490082</v>
      </c>
      <c r="K338" s="5" t="str">
        <f t="shared" si="5"/>
        <v>Low</v>
      </c>
      <c r="L338" s="5" t="str">
        <f>TEXT(Table1[[#This Row],[Order_Date]],"MMM")</f>
        <v>Jan</v>
      </c>
      <c r="M338" s="5" t="str">
        <f>IF(Table1[[#This Row],[Profit]]&gt;=1000,"Excellent",IF(Table1[[#This Row],[Profit]]&gt;=500,"Good", IF(Table1[[#This Row],[Profit]]&lt;500,"Low")))</f>
        <v>Low</v>
      </c>
      <c r="N338" s="7" t="str">
        <f>TEXT(Table1[[#This Row],[Order_Date]],"YYY")</f>
        <v>2024</v>
      </c>
    </row>
    <row r="339" spans="1:14" x14ac:dyDescent="0.3">
      <c r="A339" s="4">
        <v>45303</v>
      </c>
      <c r="B339" s="5" t="s">
        <v>18</v>
      </c>
      <c r="C339" s="5" t="s">
        <v>23</v>
      </c>
      <c r="D339" s="23">
        <v>270.70999999999998</v>
      </c>
      <c r="E339" s="23">
        <v>135.13999999999999</v>
      </c>
      <c r="F339" s="23">
        <v>135.57</v>
      </c>
      <c r="G339" s="5" t="s">
        <v>9</v>
      </c>
      <c r="H339" s="5" t="s">
        <v>7</v>
      </c>
      <c r="I339" s="5" t="s">
        <v>27</v>
      </c>
      <c r="J339" s="6">
        <f>Table1[[#This Row],[Profit]]/Table1[[#This Row],[Sales]]</f>
        <v>0.50079420782387063</v>
      </c>
      <c r="K339" s="5" t="str">
        <f t="shared" si="5"/>
        <v>Low</v>
      </c>
      <c r="L339" s="5" t="str">
        <f>TEXT(Table1[[#This Row],[Order_Date]],"MMM")</f>
        <v>Jan</v>
      </c>
      <c r="M339" s="5" t="str">
        <f>IF(Table1[[#This Row],[Profit]]&gt;=1000,"Excellent",IF(Table1[[#This Row],[Profit]]&gt;=500,"Good", IF(Table1[[#This Row],[Profit]]&lt;500,"Low")))</f>
        <v>Low</v>
      </c>
      <c r="N339" s="7" t="str">
        <f>TEXT(Table1[[#This Row],[Order_Date]],"YYY")</f>
        <v>2024</v>
      </c>
    </row>
    <row r="340" spans="1:14" x14ac:dyDescent="0.3">
      <c r="A340" s="4">
        <v>45303</v>
      </c>
      <c r="B340" s="5" t="s">
        <v>18</v>
      </c>
      <c r="C340" s="5" t="s">
        <v>19</v>
      </c>
      <c r="D340" s="23">
        <v>8.6199999999999992</v>
      </c>
      <c r="E340" s="23">
        <v>2.92</v>
      </c>
      <c r="F340" s="23">
        <v>5.7</v>
      </c>
      <c r="G340" s="5" t="s">
        <v>20</v>
      </c>
      <c r="H340" s="5" t="s">
        <v>37</v>
      </c>
      <c r="I340" s="5" t="s">
        <v>22</v>
      </c>
      <c r="J340" s="6">
        <f>Table1[[#This Row],[Profit]]/Table1[[#This Row],[Sales]]</f>
        <v>0.66125290023201866</v>
      </c>
      <c r="K340" s="5" t="str">
        <f t="shared" si="5"/>
        <v>Low</v>
      </c>
      <c r="L340" s="5" t="str">
        <f>TEXT(Table1[[#This Row],[Order_Date]],"MMM")</f>
        <v>Jan</v>
      </c>
      <c r="M340" s="5" t="str">
        <f>IF(Table1[[#This Row],[Profit]]&gt;=1000,"Excellent",IF(Table1[[#This Row],[Profit]]&gt;=500,"Good", IF(Table1[[#This Row],[Profit]]&lt;500,"Low")))</f>
        <v>Low</v>
      </c>
      <c r="N340" s="7" t="str">
        <f>TEXT(Table1[[#This Row],[Order_Date]],"YYY")</f>
        <v>2024</v>
      </c>
    </row>
    <row r="341" spans="1:14" x14ac:dyDescent="0.3">
      <c r="A341" s="4">
        <v>45303</v>
      </c>
      <c r="B341" s="5" t="s">
        <v>18</v>
      </c>
      <c r="C341" s="5" t="s">
        <v>5</v>
      </c>
      <c r="D341" s="23">
        <v>2412.08</v>
      </c>
      <c r="E341" s="23">
        <v>1062.81</v>
      </c>
      <c r="F341" s="23">
        <v>1349.27</v>
      </c>
      <c r="G341" s="5" t="s">
        <v>9</v>
      </c>
      <c r="H341" s="5" t="s">
        <v>15</v>
      </c>
      <c r="I341" s="5" t="s">
        <v>17</v>
      </c>
      <c r="J341" s="6">
        <f>Table1[[#This Row],[Profit]]/Table1[[#This Row],[Sales]]</f>
        <v>0.55938028589433186</v>
      </c>
      <c r="K341" s="5" t="str">
        <f t="shared" si="5"/>
        <v>High</v>
      </c>
      <c r="L341" s="5" t="str">
        <f>TEXT(Table1[[#This Row],[Order_Date]],"MMM")</f>
        <v>Jan</v>
      </c>
      <c r="M341" s="5" t="str">
        <f>IF(Table1[[#This Row],[Profit]]&gt;=1000,"Excellent",IF(Table1[[#This Row],[Profit]]&gt;=500,"Good", IF(Table1[[#This Row],[Profit]]&lt;500,"Low")))</f>
        <v>Excellent</v>
      </c>
      <c r="N341" s="7" t="str">
        <f>TEXT(Table1[[#This Row],[Order_Date]],"YYY")</f>
        <v>2024</v>
      </c>
    </row>
    <row r="342" spans="1:14" x14ac:dyDescent="0.3">
      <c r="A342" s="4">
        <v>45304</v>
      </c>
      <c r="B342" s="5" t="s">
        <v>8</v>
      </c>
      <c r="C342" s="5" t="s">
        <v>31</v>
      </c>
      <c r="D342" s="23">
        <v>270.20999999999998</v>
      </c>
      <c r="E342" s="23">
        <v>80</v>
      </c>
      <c r="F342" s="23">
        <v>190.21</v>
      </c>
      <c r="G342" s="5" t="s">
        <v>6</v>
      </c>
      <c r="H342" s="5" t="s">
        <v>29</v>
      </c>
      <c r="I342" s="5" t="s">
        <v>11</v>
      </c>
      <c r="J342" s="6">
        <f>Table1[[#This Row],[Profit]]/Table1[[#This Row],[Sales]]</f>
        <v>0.70393397727693285</v>
      </c>
      <c r="K342" s="5" t="str">
        <f t="shared" si="5"/>
        <v>Low</v>
      </c>
      <c r="L342" s="5" t="str">
        <f>TEXT(Table1[[#This Row],[Order_Date]],"MMM")</f>
        <v>Jan</v>
      </c>
      <c r="M342" s="5" t="str">
        <f>IF(Table1[[#This Row],[Profit]]&gt;=1000,"Excellent",IF(Table1[[#This Row],[Profit]]&gt;=500,"Good", IF(Table1[[#This Row],[Profit]]&lt;500,"Low")))</f>
        <v>Low</v>
      </c>
      <c r="N342" s="7" t="str">
        <f>TEXT(Table1[[#This Row],[Order_Date]],"YYY")</f>
        <v>2024</v>
      </c>
    </row>
    <row r="343" spans="1:14" x14ac:dyDescent="0.3">
      <c r="A343" s="4">
        <v>45304</v>
      </c>
      <c r="B343" s="5" t="s">
        <v>13</v>
      </c>
      <c r="C343" s="5" t="s">
        <v>19</v>
      </c>
      <c r="D343" s="23">
        <v>147.87</v>
      </c>
      <c r="E343" s="23">
        <v>36.159999999999997</v>
      </c>
      <c r="F343" s="23">
        <v>111.71</v>
      </c>
      <c r="G343" s="5" t="s">
        <v>32</v>
      </c>
      <c r="H343" s="5" t="s">
        <v>21</v>
      </c>
      <c r="I343" s="5" t="s">
        <v>11</v>
      </c>
      <c r="J343" s="6">
        <f>Table1[[#This Row],[Profit]]/Table1[[#This Row],[Sales]]</f>
        <v>0.75546087779806581</v>
      </c>
      <c r="K343" s="5" t="str">
        <f t="shared" si="5"/>
        <v>Low</v>
      </c>
      <c r="L343" s="5" t="str">
        <f>TEXT(Table1[[#This Row],[Order_Date]],"MMM")</f>
        <v>Jan</v>
      </c>
      <c r="M343" s="5" t="str">
        <f>IF(Table1[[#This Row],[Profit]]&gt;=1000,"Excellent",IF(Table1[[#This Row],[Profit]]&gt;=500,"Good", IF(Table1[[#This Row],[Profit]]&lt;500,"Low")))</f>
        <v>Low</v>
      </c>
      <c r="N343" s="7" t="str">
        <f>TEXT(Table1[[#This Row],[Order_Date]],"YYY")</f>
        <v>2024</v>
      </c>
    </row>
    <row r="344" spans="1:14" x14ac:dyDescent="0.3">
      <c r="A344" s="4">
        <v>45304</v>
      </c>
      <c r="B344" s="5" t="s">
        <v>13</v>
      </c>
      <c r="C344" s="5" t="s">
        <v>23</v>
      </c>
      <c r="D344" s="23">
        <v>328.17</v>
      </c>
      <c r="E344" s="23">
        <v>155.87</v>
      </c>
      <c r="F344" s="23">
        <v>172.3</v>
      </c>
      <c r="G344" s="5" t="s">
        <v>2</v>
      </c>
      <c r="H344" s="5" t="s">
        <v>29</v>
      </c>
      <c r="I344" s="5" t="s">
        <v>27</v>
      </c>
      <c r="J344" s="6">
        <f>Table1[[#This Row],[Profit]]/Table1[[#This Row],[Sales]]</f>
        <v>0.52503275741231681</v>
      </c>
      <c r="K344" s="5" t="str">
        <f t="shared" si="5"/>
        <v>Low</v>
      </c>
      <c r="L344" s="5" t="str">
        <f>TEXT(Table1[[#This Row],[Order_Date]],"MMM")</f>
        <v>Jan</v>
      </c>
      <c r="M344" s="5" t="str">
        <f>IF(Table1[[#This Row],[Profit]]&gt;=1000,"Excellent",IF(Table1[[#This Row],[Profit]]&gt;=500,"Good", IF(Table1[[#This Row],[Profit]]&lt;500,"Low")))</f>
        <v>Low</v>
      </c>
      <c r="N344" s="7" t="str">
        <f>TEXT(Table1[[#This Row],[Order_Date]],"YYY")</f>
        <v>2024</v>
      </c>
    </row>
    <row r="345" spans="1:14" x14ac:dyDescent="0.3">
      <c r="A345" s="4">
        <v>45304</v>
      </c>
      <c r="B345" s="5" t="s">
        <v>8</v>
      </c>
      <c r="C345" s="5" t="s">
        <v>14</v>
      </c>
      <c r="D345" s="23">
        <v>340.96</v>
      </c>
      <c r="E345" s="23">
        <v>109.73</v>
      </c>
      <c r="F345" s="23">
        <v>231.23</v>
      </c>
      <c r="G345" s="5" t="s">
        <v>9</v>
      </c>
      <c r="H345" s="5" t="s">
        <v>21</v>
      </c>
      <c r="I345" s="5" t="s">
        <v>25</v>
      </c>
      <c r="J345" s="6">
        <f>Table1[[#This Row],[Profit]]/Table1[[#This Row],[Sales]]</f>
        <v>0.67817339277334587</v>
      </c>
      <c r="K345" s="5" t="str">
        <f t="shared" si="5"/>
        <v>Low</v>
      </c>
      <c r="L345" s="5" t="str">
        <f>TEXT(Table1[[#This Row],[Order_Date]],"MMM")</f>
        <v>Jan</v>
      </c>
      <c r="M345" s="5" t="str">
        <f>IF(Table1[[#This Row],[Profit]]&gt;=1000,"Excellent",IF(Table1[[#This Row],[Profit]]&gt;=500,"Good", IF(Table1[[#This Row],[Profit]]&lt;500,"Low")))</f>
        <v>Low</v>
      </c>
      <c r="N345" s="7" t="str">
        <f>TEXT(Table1[[#This Row],[Order_Date]],"YYY")</f>
        <v>2024</v>
      </c>
    </row>
    <row r="346" spans="1:14" x14ac:dyDescent="0.3">
      <c r="A346" s="4">
        <v>45305</v>
      </c>
      <c r="B346" s="5" t="s">
        <v>0</v>
      </c>
      <c r="C346" s="5" t="s">
        <v>23</v>
      </c>
      <c r="D346" s="23">
        <v>277.18</v>
      </c>
      <c r="E346" s="23">
        <v>87.67</v>
      </c>
      <c r="F346" s="23">
        <v>189.51</v>
      </c>
      <c r="G346" s="5" t="s">
        <v>20</v>
      </c>
      <c r="H346" s="5" t="s">
        <v>35</v>
      </c>
      <c r="I346" s="5" t="s">
        <v>27</v>
      </c>
      <c r="J346" s="6">
        <f>Table1[[#This Row],[Profit]]/Table1[[#This Row],[Sales]]</f>
        <v>0.68370733819178864</v>
      </c>
      <c r="K346" s="5" t="str">
        <f t="shared" si="5"/>
        <v>Low</v>
      </c>
      <c r="L346" s="5" t="str">
        <f>TEXT(Table1[[#This Row],[Order_Date]],"MMM")</f>
        <v>Jan</v>
      </c>
      <c r="M346" s="5" t="str">
        <f>IF(Table1[[#This Row],[Profit]]&gt;=1000,"Excellent",IF(Table1[[#This Row],[Profit]]&gt;=500,"Good", IF(Table1[[#This Row],[Profit]]&lt;500,"Low")))</f>
        <v>Low</v>
      </c>
      <c r="N346" s="7" t="str">
        <f>TEXT(Table1[[#This Row],[Order_Date]],"YYY")</f>
        <v>2024</v>
      </c>
    </row>
    <row r="347" spans="1:14" x14ac:dyDescent="0.3">
      <c r="A347" s="4">
        <v>45306</v>
      </c>
      <c r="B347" s="5" t="s">
        <v>16</v>
      </c>
      <c r="C347" s="5" t="s">
        <v>14</v>
      </c>
      <c r="D347" s="23">
        <v>145.79</v>
      </c>
      <c r="E347" s="23">
        <v>77.959999999999994</v>
      </c>
      <c r="F347" s="23">
        <v>67.83</v>
      </c>
      <c r="G347" s="5" t="s">
        <v>2</v>
      </c>
      <c r="H347" s="5" t="s">
        <v>3</v>
      </c>
      <c r="I347" s="5" t="s">
        <v>22</v>
      </c>
      <c r="J347" s="6">
        <f>Table1[[#This Row],[Profit]]/Table1[[#This Row],[Sales]]</f>
        <v>0.46525824816516909</v>
      </c>
      <c r="K347" s="5" t="str">
        <f t="shared" si="5"/>
        <v>Low</v>
      </c>
      <c r="L347" s="5" t="str">
        <f>TEXT(Table1[[#This Row],[Order_Date]],"MMM")</f>
        <v>Jan</v>
      </c>
      <c r="M347" s="5" t="str">
        <f>IF(Table1[[#This Row],[Profit]]&gt;=1000,"Excellent",IF(Table1[[#This Row],[Profit]]&gt;=500,"Good", IF(Table1[[#This Row],[Profit]]&lt;500,"Low")))</f>
        <v>Low</v>
      </c>
      <c r="N347" s="7" t="str">
        <f>TEXT(Table1[[#This Row],[Order_Date]],"YYY")</f>
        <v>2024</v>
      </c>
    </row>
    <row r="348" spans="1:14" x14ac:dyDescent="0.3">
      <c r="A348" s="4">
        <v>45306</v>
      </c>
      <c r="B348" s="5" t="s">
        <v>16</v>
      </c>
      <c r="C348" s="5" t="s">
        <v>5</v>
      </c>
      <c r="D348" s="23">
        <v>148.96</v>
      </c>
      <c r="E348" s="23">
        <v>56.42</v>
      </c>
      <c r="F348" s="23">
        <v>92.54</v>
      </c>
      <c r="G348" s="5" t="s">
        <v>20</v>
      </c>
      <c r="H348" s="5" t="s">
        <v>24</v>
      </c>
      <c r="I348" s="5" t="s">
        <v>11</v>
      </c>
      <c r="J348" s="6">
        <f>Table1[[#This Row],[Profit]]/Table1[[#This Row],[Sales]]</f>
        <v>0.62124060150375937</v>
      </c>
      <c r="K348" s="5" t="str">
        <f t="shared" si="5"/>
        <v>Low</v>
      </c>
      <c r="L348" s="5" t="str">
        <f>TEXT(Table1[[#This Row],[Order_Date]],"MMM")</f>
        <v>Jan</v>
      </c>
      <c r="M348" s="5" t="str">
        <f>IF(Table1[[#This Row],[Profit]]&gt;=1000,"Excellent",IF(Table1[[#This Row],[Profit]]&gt;=500,"Good", IF(Table1[[#This Row],[Profit]]&lt;500,"Low")))</f>
        <v>Low</v>
      </c>
      <c r="N348" s="7" t="str">
        <f>TEXT(Table1[[#This Row],[Order_Date]],"YYY")</f>
        <v>2024</v>
      </c>
    </row>
    <row r="349" spans="1:14" x14ac:dyDescent="0.3">
      <c r="A349" s="4">
        <v>45307</v>
      </c>
      <c r="B349" s="5" t="s">
        <v>0</v>
      </c>
      <c r="C349" s="5" t="s">
        <v>19</v>
      </c>
      <c r="D349" s="23">
        <v>136.63</v>
      </c>
      <c r="E349" s="23">
        <v>41.93</v>
      </c>
      <c r="F349" s="23">
        <v>94.7</v>
      </c>
      <c r="G349" s="5" t="s">
        <v>6</v>
      </c>
      <c r="H349" s="5" t="s">
        <v>35</v>
      </c>
      <c r="I349" s="5" t="s">
        <v>11</v>
      </c>
      <c r="J349" s="6">
        <f>Table1[[#This Row],[Profit]]/Table1[[#This Row],[Sales]]</f>
        <v>0.69311278635731544</v>
      </c>
      <c r="K349" s="5" t="str">
        <f t="shared" si="5"/>
        <v>Low</v>
      </c>
      <c r="L349" s="5" t="str">
        <f>TEXT(Table1[[#This Row],[Order_Date]],"MMM")</f>
        <v>Jan</v>
      </c>
      <c r="M349" s="5" t="str">
        <f>IF(Table1[[#This Row],[Profit]]&gt;=1000,"Excellent",IF(Table1[[#This Row],[Profit]]&gt;=500,"Good", IF(Table1[[#This Row],[Profit]]&lt;500,"Low")))</f>
        <v>Low</v>
      </c>
      <c r="N349" s="7" t="str">
        <f>TEXT(Table1[[#This Row],[Order_Date]],"YYY")</f>
        <v>2024</v>
      </c>
    </row>
    <row r="350" spans="1:14" x14ac:dyDescent="0.3">
      <c r="A350" s="4">
        <v>45307</v>
      </c>
      <c r="B350" s="5" t="s">
        <v>0</v>
      </c>
      <c r="C350" s="5" t="s">
        <v>14</v>
      </c>
      <c r="D350" s="23">
        <v>335.43</v>
      </c>
      <c r="E350" s="23">
        <v>174.4</v>
      </c>
      <c r="F350" s="23">
        <v>161.03</v>
      </c>
      <c r="G350" s="5" t="s">
        <v>6</v>
      </c>
      <c r="H350" s="5" t="s">
        <v>37</v>
      </c>
      <c r="I350" s="5" t="s">
        <v>27</v>
      </c>
      <c r="J350" s="6">
        <f>Table1[[#This Row],[Profit]]/Table1[[#This Row],[Sales]]</f>
        <v>0.48007035745162924</v>
      </c>
      <c r="K350" s="5" t="str">
        <f t="shared" si="5"/>
        <v>Low</v>
      </c>
      <c r="L350" s="5" t="str">
        <f>TEXT(Table1[[#This Row],[Order_Date]],"MMM")</f>
        <v>Jan</v>
      </c>
      <c r="M350" s="5" t="str">
        <f>IF(Table1[[#This Row],[Profit]]&gt;=1000,"Excellent",IF(Table1[[#This Row],[Profit]]&gt;=500,"Good", IF(Table1[[#This Row],[Profit]]&lt;500,"Low")))</f>
        <v>Low</v>
      </c>
      <c r="N350" s="7" t="str">
        <f>TEXT(Table1[[#This Row],[Order_Date]],"YYY")</f>
        <v>2024</v>
      </c>
    </row>
    <row r="351" spans="1:14" x14ac:dyDescent="0.3">
      <c r="A351" s="4">
        <v>45309</v>
      </c>
      <c r="B351" s="5" t="s">
        <v>0</v>
      </c>
      <c r="C351" s="5" t="s">
        <v>23</v>
      </c>
      <c r="D351" s="23">
        <v>713.55</v>
      </c>
      <c r="E351" s="23">
        <v>212.55</v>
      </c>
      <c r="F351" s="23">
        <v>501</v>
      </c>
      <c r="G351" s="5" t="s">
        <v>6</v>
      </c>
      <c r="H351" s="5" t="s">
        <v>35</v>
      </c>
      <c r="I351" s="5" t="s">
        <v>11</v>
      </c>
      <c r="J351" s="6">
        <f>Table1[[#This Row],[Profit]]/Table1[[#This Row],[Sales]]</f>
        <v>0.70212318688248898</v>
      </c>
      <c r="K351" s="5" t="str">
        <f t="shared" si="5"/>
        <v>Low</v>
      </c>
      <c r="L351" s="5" t="str">
        <f>TEXT(Table1[[#This Row],[Order_Date]],"MMM")</f>
        <v>Jan</v>
      </c>
      <c r="M351" s="5" t="str">
        <f>IF(Table1[[#This Row],[Profit]]&gt;=1000,"Excellent",IF(Table1[[#This Row],[Profit]]&gt;=500,"Good", IF(Table1[[#This Row],[Profit]]&lt;500,"Low")))</f>
        <v>Good</v>
      </c>
      <c r="N351" s="7" t="str">
        <f>TEXT(Table1[[#This Row],[Order_Date]],"YYY")</f>
        <v>2024</v>
      </c>
    </row>
    <row r="352" spans="1:14" x14ac:dyDescent="0.3">
      <c r="A352" s="4">
        <v>45309</v>
      </c>
      <c r="B352" s="5" t="s">
        <v>18</v>
      </c>
      <c r="C352" s="5" t="s">
        <v>1</v>
      </c>
      <c r="D352" s="23">
        <v>1103.6500000000001</v>
      </c>
      <c r="E352" s="23">
        <v>639.58000000000004</v>
      </c>
      <c r="F352" s="23">
        <v>464.07</v>
      </c>
      <c r="G352" s="5" t="s">
        <v>2</v>
      </c>
      <c r="H352" s="5" t="s">
        <v>37</v>
      </c>
      <c r="I352" s="5" t="s">
        <v>4</v>
      </c>
      <c r="J352" s="6">
        <f>Table1[[#This Row],[Profit]]/Table1[[#This Row],[Sales]]</f>
        <v>0.42048656729941553</v>
      </c>
      <c r="K352" s="5" t="str">
        <f t="shared" si="5"/>
        <v>Low</v>
      </c>
      <c r="L352" s="5" t="str">
        <f>TEXT(Table1[[#This Row],[Order_Date]],"MMM")</f>
        <v>Jan</v>
      </c>
      <c r="M352" s="5" t="str">
        <f>IF(Table1[[#This Row],[Profit]]&gt;=1000,"Excellent",IF(Table1[[#This Row],[Profit]]&gt;=500,"Good", IF(Table1[[#This Row],[Profit]]&lt;500,"Low")))</f>
        <v>Low</v>
      </c>
      <c r="N352" s="7" t="str">
        <f>TEXT(Table1[[#This Row],[Order_Date]],"YYY")</f>
        <v>2024</v>
      </c>
    </row>
    <row r="353" spans="1:14" x14ac:dyDescent="0.3">
      <c r="A353" s="4">
        <v>45309</v>
      </c>
      <c r="B353" s="5" t="s">
        <v>16</v>
      </c>
      <c r="C353" s="5" t="s">
        <v>26</v>
      </c>
      <c r="D353" s="23">
        <v>204.72</v>
      </c>
      <c r="E353" s="23">
        <v>54</v>
      </c>
      <c r="F353" s="23">
        <v>150.72</v>
      </c>
      <c r="G353" s="5" t="s">
        <v>2</v>
      </c>
      <c r="H353" s="5" t="s">
        <v>10</v>
      </c>
      <c r="I353" s="5" t="s">
        <v>27</v>
      </c>
      <c r="J353" s="6">
        <f>Table1[[#This Row],[Profit]]/Table1[[#This Row],[Sales]]</f>
        <v>0.73622508792497066</v>
      </c>
      <c r="K353" s="5" t="str">
        <f t="shared" si="5"/>
        <v>Low</v>
      </c>
      <c r="L353" s="5" t="str">
        <f>TEXT(Table1[[#This Row],[Order_Date]],"MMM")</f>
        <v>Jan</v>
      </c>
      <c r="M353" s="5" t="str">
        <f>IF(Table1[[#This Row],[Profit]]&gt;=1000,"Excellent",IF(Table1[[#This Row],[Profit]]&gt;=500,"Good", IF(Table1[[#This Row],[Profit]]&lt;500,"Low")))</f>
        <v>Low</v>
      </c>
      <c r="N353" s="7" t="str">
        <f>TEXT(Table1[[#This Row],[Order_Date]],"YYY")</f>
        <v>2024</v>
      </c>
    </row>
    <row r="354" spans="1:14" x14ac:dyDescent="0.3">
      <c r="A354" s="4">
        <v>45309</v>
      </c>
      <c r="B354" s="5" t="s">
        <v>18</v>
      </c>
      <c r="C354" s="5" t="s">
        <v>1</v>
      </c>
      <c r="D354" s="23">
        <v>1421.25</v>
      </c>
      <c r="E354" s="23">
        <v>909.71</v>
      </c>
      <c r="F354" s="23">
        <v>511.54</v>
      </c>
      <c r="G354" s="5" t="s">
        <v>9</v>
      </c>
      <c r="H354" s="5" t="s">
        <v>12</v>
      </c>
      <c r="I354" s="5" t="s">
        <v>11</v>
      </c>
      <c r="J354" s="6">
        <f>Table1[[#This Row],[Profit]]/Table1[[#This Row],[Sales]]</f>
        <v>0.35992260334212844</v>
      </c>
      <c r="K354" s="5" t="str">
        <f t="shared" si="5"/>
        <v>Low</v>
      </c>
      <c r="L354" s="5" t="str">
        <f>TEXT(Table1[[#This Row],[Order_Date]],"MMM")</f>
        <v>Jan</v>
      </c>
      <c r="M354" s="5" t="str">
        <f>IF(Table1[[#This Row],[Profit]]&gt;=1000,"Excellent",IF(Table1[[#This Row],[Profit]]&gt;=500,"Good", IF(Table1[[#This Row],[Profit]]&lt;500,"Low")))</f>
        <v>Good</v>
      </c>
      <c r="N354" s="7" t="str">
        <f>TEXT(Table1[[#This Row],[Order_Date]],"YYY")</f>
        <v>2024</v>
      </c>
    </row>
    <row r="355" spans="1:14" x14ac:dyDescent="0.3">
      <c r="A355" s="4">
        <v>45310</v>
      </c>
      <c r="B355" s="5" t="s">
        <v>13</v>
      </c>
      <c r="C355" s="5" t="s">
        <v>14</v>
      </c>
      <c r="D355" s="23">
        <v>88.26</v>
      </c>
      <c r="E355" s="23">
        <v>47.39</v>
      </c>
      <c r="F355" s="23">
        <v>40.869999999999997</v>
      </c>
      <c r="G355" s="5" t="s">
        <v>20</v>
      </c>
      <c r="H355" s="5" t="s">
        <v>7</v>
      </c>
      <c r="I355" s="5" t="s">
        <v>27</v>
      </c>
      <c r="J355" s="6">
        <f>Table1[[#This Row],[Profit]]/Table1[[#This Row],[Sales]]</f>
        <v>0.46306367550419208</v>
      </c>
      <c r="K355" s="5" t="str">
        <f t="shared" si="5"/>
        <v>Low</v>
      </c>
      <c r="L355" s="5" t="str">
        <f>TEXT(Table1[[#This Row],[Order_Date]],"MMM")</f>
        <v>Jan</v>
      </c>
      <c r="M355" s="5" t="str">
        <f>IF(Table1[[#This Row],[Profit]]&gt;=1000,"Excellent",IF(Table1[[#This Row],[Profit]]&gt;=500,"Good", IF(Table1[[#This Row],[Profit]]&lt;500,"Low")))</f>
        <v>Low</v>
      </c>
      <c r="N355" s="7" t="str">
        <f>TEXT(Table1[[#This Row],[Order_Date]],"YYY")</f>
        <v>2024</v>
      </c>
    </row>
    <row r="356" spans="1:14" x14ac:dyDescent="0.3">
      <c r="A356" s="4">
        <v>45311</v>
      </c>
      <c r="B356" s="5" t="s">
        <v>13</v>
      </c>
      <c r="C356" s="5" t="s">
        <v>23</v>
      </c>
      <c r="D356" s="23">
        <v>143.19999999999999</v>
      </c>
      <c r="E356" s="23">
        <v>69.709999999999994</v>
      </c>
      <c r="F356" s="23">
        <v>73.489999999999995</v>
      </c>
      <c r="G356" s="5" t="s">
        <v>20</v>
      </c>
      <c r="H356" s="5" t="s">
        <v>28</v>
      </c>
      <c r="I356" s="5" t="s">
        <v>27</v>
      </c>
      <c r="J356" s="6">
        <f>Table1[[#This Row],[Profit]]/Table1[[#This Row],[Sales]]</f>
        <v>0.51319832402234633</v>
      </c>
      <c r="K356" s="5" t="str">
        <f t="shared" si="5"/>
        <v>Low</v>
      </c>
      <c r="L356" s="5" t="str">
        <f>TEXT(Table1[[#This Row],[Order_Date]],"MMM")</f>
        <v>Jan</v>
      </c>
      <c r="M356" s="5" t="str">
        <f>IF(Table1[[#This Row],[Profit]]&gt;=1000,"Excellent",IF(Table1[[#This Row],[Profit]]&gt;=500,"Good", IF(Table1[[#This Row],[Profit]]&lt;500,"Low")))</f>
        <v>Low</v>
      </c>
      <c r="N356" s="7" t="str">
        <f>TEXT(Table1[[#This Row],[Order_Date]],"YYY")</f>
        <v>2024</v>
      </c>
    </row>
    <row r="357" spans="1:14" x14ac:dyDescent="0.3">
      <c r="A357" s="4">
        <v>45311</v>
      </c>
      <c r="B357" s="5" t="s">
        <v>0</v>
      </c>
      <c r="C357" s="5" t="s">
        <v>26</v>
      </c>
      <c r="D357" s="23">
        <v>1000.51</v>
      </c>
      <c r="E357" s="23">
        <v>271.48</v>
      </c>
      <c r="F357" s="23">
        <v>729.03</v>
      </c>
      <c r="G357" s="5" t="s">
        <v>6</v>
      </c>
      <c r="H357" s="5" t="s">
        <v>36</v>
      </c>
      <c r="I357" s="5" t="s">
        <v>17</v>
      </c>
      <c r="J357" s="6">
        <f>Table1[[#This Row],[Profit]]/Table1[[#This Row],[Sales]]</f>
        <v>0.72865838422404572</v>
      </c>
      <c r="K357" s="5" t="str">
        <f t="shared" si="5"/>
        <v>Low</v>
      </c>
      <c r="L357" s="5" t="str">
        <f>TEXT(Table1[[#This Row],[Order_Date]],"MMM")</f>
        <v>Jan</v>
      </c>
      <c r="M357" s="5" t="str">
        <f>IF(Table1[[#This Row],[Profit]]&gt;=1000,"Excellent",IF(Table1[[#This Row],[Profit]]&gt;=500,"Good", IF(Table1[[#This Row],[Profit]]&lt;500,"Low")))</f>
        <v>Good</v>
      </c>
      <c r="N357" s="7" t="str">
        <f>TEXT(Table1[[#This Row],[Order_Date]],"YYY")</f>
        <v>2024</v>
      </c>
    </row>
    <row r="358" spans="1:14" x14ac:dyDescent="0.3">
      <c r="A358" s="4">
        <v>45312</v>
      </c>
      <c r="B358" s="5" t="s">
        <v>18</v>
      </c>
      <c r="C358" s="5" t="s">
        <v>5</v>
      </c>
      <c r="D358" s="23">
        <v>1116.5899999999999</v>
      </c>
      <c r="E358" s="23">
        <v>454</v>
      </c>
      <c r="F358" s="23">
        <v>662.59</v>
      </c>
      <c r="G358" s="5" t="s">
        <v>32</v>
      </c>
      <c r="H358" s="5" t="s">
        <v>7</v>
      </c>
      <c r="I358" s="5" t="s">
        <v>11</v>
      </c>
      <c r="J358" s="6">
        <f>Table1[[#This Row],[Profit]]/Table1[[#This Row],[Sales]]</f>
        <v>0.59340492033781433</v>
      </c>
      <c r="K358" s="5" t="str">
        <f t="shared" si="5"/>
        <v>Low</v>
      </c>
      <c r="L358" s="5" t="str">
        <f>TEXT(Table1[[#This Row],[Order_Date]],"MMM")</f>
        <v>Jan</v>
      </c>
      <c r="M358" s="5" t="str">
        <f>IF(Table1[[#This Row],[Profit]]&gt;=1000,"Excellent",IF(Table1[[#This Row],[Profit]]&gt;=500,"Good", IF(Table1[[#This Row],[Profit]]&lt;500,"Low")))</f>
        <v>Good</v>
      </c>
      <c r="N358" s="7" t="str">
        <f>TEXT(Table1[[#This Row],[Order_Date]],"YYY")</f>
        <v>2024</v>
      </c>
    </row>
    <row r="359" spans="1:14" x14ac:dyDescent="0.3">
      <c r="A359" s="4">
        <v>45312</v>
      </c>
      <c r="B359" s="5" t="s">
        <v>8</v>
      </c>
      <c r="C359" s="5" t="s">
        <v>31</v>
      </c>
      <c r="D359" s="23">
        <v>59.54</v>
      </c>
      <c r="E359" s="23">
        <v>20.34</v>
      </c>
      <c r="F359" s="23">
        <v>39.200000000000003</v>
      </c>
      <c r="G359" s="5" t="s">
        <v>32</v>
      </c>
      <c r="H359" s="5" t="s">
        <v>29</v>
      </c>
      <c r="I359" s="5" t="s">
        <v>25</v>
      </c>
      <c r="J359" s="6">
        <f>Table1[[#This Row],[Profit]]/Table1[[#This Row],[Sales]]</f>
        <v>0.65838092038965412</v>
      </c>
      <c r="K359" s="5" t="str">
        <f t="shared" si="5"/>
        <v>Low</v>
      </c>
      <c r="L359" s="5" t="str">
        <f>TEXT(Table1[[#This Row],[Order_Date]],"MMM")</f>
        <v>Jan</v>
      </c>
      <c r="M359" s="5" t="str">
        <f>IF(Table1[[#This Row],[Profit]]&gt;=1000,"Excellent",IF(Table1[[#This Row],[Profit]]&gt;=500,"Good", IF(Table1[[#This Row],[Profit]]&lt;500,"Low")))</f>
        <v>Low</v>
      </c>
      <c r="N359" s="7" t="str">
        <f>TEXT(Table1[[#This Row],[Order_Date]],"YYY")</f>
        <v>2024</v>
      </c>
    </row>
    <row r="360" spans="1:14" x14ac:dyDescent="0.3">
      <c r="A360" s="4">
        <v>45312</v>
      </c>
      <c r="B360" s="5" t="s">
        <v>8</v>
      </c>
      <c r="C360" s="5" t="s">
        <v>1</v>
      </c>
      <c r="D360" s="23">
        <v>548.5</v>
      </c>
      <c r="E360" s="23">
        <v>309.7</v>
      </c>
      <c r="F360" s="23">
        <v>238.8</v>
      </c>
      <c r="G360" s="5" t="s">
        <v>20</v>
      </c>
      <c r="H360" s="5" t="s">
        <v>34</v>
      </c>
      <c r="I360" s="5" t="s">
        <v>4</v>
      </c>
      <c r="J360" s="6">
        <f>Table1[[#This Row],[Profit]]/Table1[[#This Row],[Sales]]</f>
        <v>0.43536918869644486</v>
      </c>
      <c r="K360" s="5" t="str">
        <f t="shared" si="5"/>
        <v>Low</v>
      </c>
      <c r="L360" s="5" t="str">
        <f>TEXT(Table1[[#This Row],[Order_Date]],"MMM")</f>
        <v>Jan</v>
      </c>
      <c r="M360" s="5" t="str">
        <f>IF(Table1[[#This Row],[Profit]]&gt;=1000,"Excellent",IF(Table1[[#This Row],[Profit]]&gt;=500,"Good", IF(Table1[[#This Row],[Profit]]&lt;500,"Low")))</f>
        <v>Low</v>
      </c>
      <c r="N360" s="7" t="str">
        <f>TEXT(Table1[[#This Row],[Order_Date]],"YYY")</f>
        <v>2024</v>
      </c>
    </row>
    <row r="361" spans="1:14" x14ac:dyDescent="0.3">
      <c r="A361" s="4">
        <v>45312</v>
      </c>
      <c r="B361" s="5" t="s">
        <v>0</v>
      </c>
      <c r="C361" s="5" t="s">
        <v>19</v>
      </c>
      <c r="D361" s="23">
        <v>119.81</v>
      </c>
      <c r="E361" s="23">
        <v>43.56</v>
      </c>
      <c r="F361" s="23">
        <v>76.25</v>
      </c>
      <c r="G361" s="5" t="s">
        <v>20</v>
      </c>
      <c r="H361" s="5" t="s">
        <v>36</v>
      </c>
      <c r="I361" s="5" t="s">
        <v>27</v>
      </c>
      <c r="J361" s="6">
        <f>Table1[[#This Row],[Profit]]/Table1[[#This Row],[Sales]]</f>
        <v>0.63642433853601532</v>
      </c>
      <c r="K361" s="5" t="str">
        <f t="shared" si="5"/>
        <v>Low</v>
      </c>
      <c r="L361" s="5" t="str">
        <f>TEXT(Table1[[#This Row],[Order_Date]],"MMM")</f>
        <v>Jan</v>
      </c>
      <c r="M361" s="5" t="str">
        <f>IF(Table1[[#This Row],[Profit]]&gt;=1000,"Excellent",IF(Table1[[#This Row],[Profit]]&gt;=500,"Good", IF(Table1[[#This Row],[Profit]]&lt;500,"Low")))</f>
        <v>Low</v>
      </c>
      <c r="N361" s="7" t="str">
        <f>TEXT(Table1[[#This Row],[Order_Date]],"YYY")</f>
        <v>2024</v>
      </c>
    </row>
    <row r="362" spans="1:14" x14ac:dyDescent="0.3">
      <c r="A362" s="4">
        <v>45312</v>
      </c>
      <c r="B362" s="5" t="s">
        <v>8</v>
      </c>
      <c r="C362" s="5" t="s">
        <v>1</v>
      </c>
      <c r="D362" s="23">
        <v>850.06</v>
      </c>
      <c r="E362" s="23">
        <v>411.86</v>
      </c>
      <c r="F362" s="23">
        <v>438.2</v>
      </c>
      <c r="G362" s="5" t="s">
        <v>6</v>
      </c>
      <c r="H362" s="5" t="s">
        <v>15</v>
      </c>
      <c r="I362" s="5" t="s">
        <v>11</v>
      </c>
      <c r="J362" s="6">
        <f>Table1[[#This Row],[Profit]]/Table1[[#This Row],[Sales]]</f>
        <v>0.51549302402183372</v>
      </c>
      <c r="K362" s="5" t="str">
        <f t="shared" si="5"/>
        <v>Low</v>
      </c>
      <c r="L362" s="5" t="str">
        <f>TEXT(Table1[[#This Row],[Order_Date]],"MMM")</f>
        <v>Jan</v>
      </c>
      <c r="M362" s="5" t="str">
        <f>IF(Table1[[#This Row],[Profit]]&gt;=1000,"Excellent",IF(Table1[[#This Row],[Profit]]&gt;=500,"Good", IF(Table1[[#This Row],[Profit]]&lt;500,"Low")))</f>
        <v>Low</v>
      </c>
      <c r="N362" s="7" t="str">
        <f>TEXT(Table1[[#This Row],[Order_Date]],"YYY")</f>
        <v>2024</v>
      </c>
    </row>
    <row r="363" spans="1:14" x14ac:dyDescent="0.3">
      <c r="A363" s="4">
        <v>45312</v>
      </c>
      <c r="B363" s="5" t="s">
        <v>13</v>
      </c>
      <c r="C363" s="5" t="s">
        <v>1</v>
      </c>
      <c r="D363" s="23">
        <v>1055.8900000000001</v>
      </c>
      <c r="E363" s="23">
        <v>618.16</v>
      </c>
      <c r="F363" s="23">
        <v>437.73</v>
      </c>
      <c r="G363" s="5" t="s">
        <v>2</v>
      </c>
      <c r="H363" s="5" t="s">
        <v>36</v>
      </c>
      <c r="I363" s="5" t="s">
        <v>22</v>
      </c>
      <c r="J363" s="6">
        <f>Table1[[#This Row],[Profit]]/Table1[[#This Row],[Sales]]</f>
        <v>0.41456022881171334</v>
      </c>
      <c r="K363" s="5" t="str">
        <f t="shared" si="5"/>
        <v>Low</v>
      </c>
      <c r="L363" s="5" t="str">
        <f>TEXT(Table1[[#This Row],[Order_Date]],"MMM")</f>
        <v>Jan</v>
      </c>
      <c r="M363" s="5" t="str">
        <f>IF(Table1[[#This Row],[Profit]]&gt;=1000,"Excellent",IF(Table1[[#This Row],[Profit]]&gt;=500,"Good", IF(Table1[[#This Row],[Profit]]&lt;500,"Low")))</f>
        <v>Low</v>
      </c>
      <c r="N363" s="7" t="str">
        <f>TEXT(Table1[[#This Row],[Order_Date]],"YYY")</f>
        <v>2024</v>
      </c>
    </row>
    <row r="364" spans="1:14" x14ac:dyDescent="0.3">
      <c r="A364" s="4">
        <v>45315</v>
      </c>
      <c r="B364" s="5" t="s">
        <v>8</v>
      </c>
      <c r="C364" s="5" t="s">
        <v>14</v>
      </c>
      <c r="D364" s="23">
        <v>296.72000000000003</v>
      </c>
      <c r="E364" s="23">
        <v>103.81</v>
      </c>
      <c r="F364" s="23">
        <v>192.91</v>
      </c>
      <c r="G364" s="5" t="s">
        <v>32</v>
      </c>
      <c r="H364" s="5" t="s">
        <v>34</v>
      </c>
      <c r="I364" s="5" t="s">
        <v>22</v>
      </c>
      <c r="J364" s="6">
        <f>Table1[[#This Row],[Profit]]/Table1[[#This Row],[Sales]]</f>
        <v>0.65014154758695064</v>
      </c>
      <c r="K364" s="5" t="str">
        <f t="shared" si="5"/>
        <v>Low</v>
      </c>
      <c r="L364" s="5" t="str">
        <f>TEXT(Table1[[#This Row],[Order_Date]],"MMM")</f>
        <v>Jan</v>
      </c>
      <c r="M364" s="5" t="str">
        <f>IF(Table1[[#This Row],[Profit]]&gt;=1000,"Excellent",IF(Table1[[#This Row],[Profit]]&gt;=500,"Good", IF(Table1[[#This Row],[Profit]]&lt;500,"Low")))</f>
        <v>Low</v>
      </c>
      <c r="N364" s="7" t="str">
        <f>TEXT(Table1[[#This Row],[Order_Date]],"YYY")</f>
        <v>2024</v>
      </c>
    </row>
    <row r="365" spans="1:14" x14ac:dyDescent="0.3">
      <c r="A365" s="4">
        <v>45315</v>
      </c>
      <c r="B365" s="5" t="s">
        <v>8</v>
      </c>
      <c r="C365" s="5" t="s">
        <v>26</v>
      </c>
      <c r="D365" s="23">
        <v>528.25</v>
      </c>
      <c r="E365" s="23">
        <v>180.02</v>
      </c>
      <c r="F365" s="23">
        <v>348.23</v>
      </c>
      <c r="G365" s="5" t="s">
        <v>6</v>
      </c>
      <c r="H365" s="5" t="s">
        <v>34</v>
      </c>
      <c r="I365" s="5" t="s">
        <v>11</v>
      </c>
      <c r="J365" s="6">
        <f>Table1[[#This Row],[Profit]]/Table1[[#This Row],[Sales]]</f>
        <v>0.65921438712730718</v>
      </c>
      <c r="K365" s="5" t="str">
        <f t="shared" si="5"/>
        <v>Low</v>
      </c>
      <c r="L365" s="5" t="str">
        <f>TEXT(Table1[[#This Row],[Order_Date]],"MMM")</f>
        <v>Jan</v>
      </c>
      <c r="M365" s="5" t="str">
        <f>IF(Table1[[#This Row],[Profit]]&gt;=1000,"Excellent",IF(Table1[[#This Row],[Profit]]&gt;=500,"Good", IF(Table1[[#This Row],[Profit]]&lt;500,"Low")))</f>
        <v>Low</v>
      </c>
      <c r="N365" s="7" t="str">
        <f>TEXT(Table1[[#This Row],[Order_Date]],"YYY")</f>
        <v>2024</v>
      </c>
    </row>
    <row r="366" spans="1:14" x14ac:dyDescent="0.3">
      <c r="A366" s="4">
        <v>45315</v>
      </c>
      <c r="B366" s="5" t="s">
        <v>16</v>
      </c>
      <c r="C366" s="5" t="s">
        <v>23</v>
      </c>
      <c r="D366" s="23">
        <v>74.44</v>
      </c>
      <c r="E366" s="23">
        <v>24.28</v>
      </c>
      <c r="F366" s="23">
        <v>50.16</v>
      </c>
      <c r="G366" s="5" t="s">
        <v>32</v>
      </c>
      <c r="H366" s="5" t="s">
        <v>34</v>
      </c>
      <c r="I366" s="5" t="s">
        <v>17</v>
      </c>
      <c r="J366" s="6">
        <f>Table1[[#This Row],[Profit]]/Table1[[#This Row],[Sales]]</f>
        <v>0.67383127350886618</v>
      </c>
      <c r="K366" s="5" t="str">
        <f t="shared" si="5"/>
        <v>Low</v>
      </c>
      <c r="L366" s="5" t="str">
        <f>TEXT(Table1[[#This Row],[Order_Date]],"MMM")</f>
        <v>Jan</v>
      </c>
      <c r="M366" s="5" t="str">
        <f>IF(Table1[[#This Row],[Profit]]&gt;=1000,"Excellent",IF(Table1[[#This Row],[Profit]]&gt;=500,"Good", IF(Table1[[#This Row],[Profit]]&lt;500,"Low")))</f>
        <v>Low</v>
      </c>
      <c r="N366" s="7" t="str">
        <f>TEXT(Table1[[#This Row],[Order_Date]],"YYY")</f>
        <v>2024</v>
      </c>
    </row>
    <row r="367" spans="1:14" x14ac:dyDescent="0.3">
      <c r="A367" s="4">
        <v>45315</v>
      </c>
      <c r="B367" s="5" t="s">
        <v>16</v>
      </c>
      <c r="C367" s="5" t="s">
        <v>26</v>
      </c>
      <c r="D367" s="23">
        <v>273.35000000000002</v>
      </c>
      <c r="E367" s="23">
        <v>81.239999999999995</v>
      </c>
      <c r="F367" s="23">
        <v>192.11</v>
      </c>
      <c r="G367" s="5" t="s">
        <v>6</v>
      </c>
      <c r="H367" s="5" t="s">
        <v>3</v>
      </c>
      <c r="I367" s="5" t="s">
        <v>11</v>
      </c>
      <c r="J367" s="6">
        <f>Table1[[#This Row],[Profit]]/Table1[[#This Row],[Sales]]</f>
        <v>0.7027986098408634</v>
      </c>
      <c r="K367" s="5" t="str">
        <f t="shared" si="5"/>
        <v>Low</v>
      </c>
      <c r="L367" s="5" t="str">
        <f>TEXT(Table1[[#This Row],[Order_Date]],"MMM")</f>
        <v>Jan</v>
      </c>
      <c r="M367" s="5" t="str">
        <f>IF(Table1[[#This Row],[Profit]]&gt;=1000,"Excellent",IF(Table1[[#This Row],[Profit]]&gt;=500,"Good", IF(Table1[[#This Row],[Profit]]&lt;500,"Low")))</f>
        <v>Low</v>
      </c>
      <c r="N367" s="7" t="str">
        <f>TEXT(Table1[[#This Row],[Order_Date]],"YYY")</f>
        <v>2024</v>
      </c>
    </row>
    <row r="368" spans="1:14" x14ac:dyDescent="0.3">
      <c r="A368" s="4">
        <v>45316</v>
      </c>
      <c r="B368" s="5" t="s">
        <v>16</v>
      </c>
      <c r="C368" s="5" t="s">
        <v>26</v>
      </c>
      <c r="D368" s="23">
        <v>846.69</v>
      </c>
      <c r="E368" s="23">
        <v>326.73</v>
      </c>
      <c r="F368" s="23">
        <v>519.96</v>
      </c>
      <c r="G368" s="5" t="s">
        <v>20</v>
      </c>
      <c r="H368" s="5" t="s">
        <v>3</v>
      </c>
      <c r="I368" s="5" t="s">
        <v>4</v>
      </c>
      <c r="J368" s="6">
        <f>Table1[[#This Row],[Profit]]/Table1[[#This Row],[Sales]]</f>
        <v>0.61410905998653575</v>
      </c>
      <c r="K368" s="5" t="str">
        <f t="shared" si="5"/>
        <v>Low</v>
      </c>
      <c r="L368" s="5" t="str">
        <f>TEXT(Table1[[#This Row],[Order_Date]],"MMM")</f>
        <v>Jan</v>
      </c>
      <c r="M368" s="5" t="str">
        <f>IF(Table1[[#This Row],[Profit]]&gt;=1000,"Excellent",IF(Table1[[#This Row],[Profit]]&gt;=500,"Good", IF(Table1[[#This Row],[Profit]]&lt;500,"Low")))</f>
        <v>Good</v>
      </c>
      <c r="N368" s="7" t="str">
        <f>TEXT(Table1[[#This Row],[Order_Date]],"YYY")</f>
        <v>2024</v>
      </c>
    </row>
    <row r="369" spans="1:14" x14ac:dyDescent="0.3">
      <c r="A369" s="4">
        <v>45316</v>
      </c>
      <c r="B369" s="5" t="s">
        <v>18</v>
      </c>
      <c r="C369" s="5" t="s">
        <v>31</v>
      </c>
      <c r="D369" s="23">
        <v>268.77999999999997</v>
      </c>
      <c r="E369" s="23">
        <v>69.22</v>
      </c>
      <c r="F369" s="23">
        <v>199.56</v>
      </c>
      <c r="G369" s="5" t="s">
        <v>32</v>
      </c>
      <c r="H369" s="5" t="s">
        <v>33</v>
      </c>
      <c r="I369" s="5" t="s">
        <v>22</v>
      </c>
      <c r="J369" s="6">
        <f>Table1[[#This Row],[Profit]]/Table1[[#This Row],[Sales]]</f>
        <v>0.74246595728848885</v>
      </c>
      <c r="K369" s="5" t="str">
        <f t="shared" si="5"/>
        <v>Low</v>
      </c>
      <c r="L369" s="5" t="str">
        <f>TEXT(Table1[[#This Row],[Order_Date]],"MMM")</f>
        <v>Jan</v>
      </c>
      <c r="M369" s="5" t="str">
        <f>IF(Table1[[#This Row],[Profit]]&gt;=1000,"Excellent",IF(Table1[[#This Row],[Profit]]&gt;=500,"Good", IF(Table1[[#This Row],[Profit]]&lt;500,"Low")))</f>
        <v>Low</v>
      </c>
      <c r="N369" s="7" t="str">
        <f>TEXT(Table1[[#This Row],[Order_Date]],"YYY")</f>
        <v>2024</v>
      </c>
    </row>
    <row r="370" spans="1:14" x14ac:dyDescent="0.3">
      <c r="A370" s="4">
        <v>45317</v>
      </c>
      <c r="B370" s="5" t="s">
        <v>13</v>
      </c>
      <c r="C370" s="5" t="s">
        <v>14</v>
      </c>
      <c r="D370" s="23">
        <v>349.37</v>
      </c>
      <c r="E370" s="23">
        <v>145.72999999999999</v>
      </c>
      <c r="F370" s="23">
        <v>203.64</v>
      </c>
      <c r="G370" s="5" t="s">
        <v>9</v>
      </c>
      <c r="H370" s="5" t="s">
        <v>34</v>
      </c>
      <c r="I370" s="5" t="s">
        <v>4</v>
      </c>
      <c r="J370" s="6">
        <f>Table1[[#This Row],[Profit]]/Table1[[#This Row],[Sales]]</f>
        <v>0.58287775138105724</v>
      </c>
      <c r="K370" s="5" t="str">
        <f t="shared" si="5"/>
        <v>Low</v>
      </c>
      <c r="L370" s="5" t="str">
        <f>TEXT(Table1[[#This Row],[Order_Date]],"MMM")</f>
        <v>Jan</v>
      </c>
      <c r="M370" s="5" t="str">
        <f>IF(Table1[[#This Row],[Profit]]&gt;=1000,"Excellent",IF(Table1[[#This Row],[Profit]]&gt;=500,"Good", IF(Table1[[#This Row],[Profit]]&lt;500,"Low")))</f>
        <v>Low</v>
      </c>
      <c r="N370" s="7" t="str">
        <f>TEXT(Table1[[#This Row],[Order_Date]],"YYY")</f>
        <v>2024</v>
      </c>
    </row>
    <row r="371" spans="1:14" x14ac:dyDescent="0.3">
      <c r="A371" s="4">
        <v>45317</v>
      </c>
      <c r="B371" s="5" t="s">
        <v>16</v>
      </c>
      <c r="C371" s="5" t="s">
        <v>31</v>
      </c>
      <c r="D371" s="23">
        <v>92.75</v>
      </c>
      <c r="E371" s="23">
        <v>33.71</v>
      </c>
      <c r="F371" s="23">
        <v>59.04</v>
      </c>
      <c r="G371" s="5" t="s">
        <v>32</v>
      </c>
      <c r="H371" s="5" t="s">
        <v>37</v>
      </c>
      <c r="I371" s="5" t="s">
        <v>27</v>
      </c>
      <c r="J371" s="6">
        <f>Table1[[#This Row],[Profit]]/Table1[[#This Row],[Sales]]</f>
        <v>0.6365498652291105</v>
      </c>
      <c r="K371" s="5" t="str">
        <f t="shared" si="5"/>
        <v>Low</v>
      </c>
      <c r="L371" s="5" t="str">
        <f>TEXT(Table1[[#This Row],[Order_Date]],"MMM")</f>
        <v>Jan</v>
      </c>
      <c r="M371" s="5" t="str">
        <f>IF(Table1[[#This Row],[Profit]]&gt;=1000,"Excellent",IF(Table1[[#This Row],[Profit]]&gt;=500,"Good", IF(Table1[[#This Row],[Profit]]&lt;500,"Low")))</f>
        <v>Low</v>
      </c>
      <c r="N371" s="7" t="str">
        <f>TEXT(Table1[[#This Row],[Order_Date]],"YYY")</f>
        <v>2024</v>
      </c>
    </row>
    <row r="372" spans="1:14" x14ac:dyDescent="0.3">
      <c r="A372" s="4">
        <v>45317</v>
      </c>
      <c r="B372" s="5" t="s">
        <v>8</v>
      </c>
      <c r="C372" s="5" t="s">
        <v>23</v>
      </c>
      <c r="D372" s="23">
        <v>758.39</v>
      </c>
      <c r="E372" s="23">
        <v>364.24</v>
      </c>
      <c r="F372" s="23">
        <v>394.15</v>
      </c>
      <c r="G372" s="5" t="s">
        <v>32</v>
      </c>
      <c r="H372" s="5" t="s">
        <v>3</v>
      </c>
      <c r="I372" s="5" t="s">
        <v>17</v>
      </c>
      <c r="J372" s="6">
        <f>Table1[[#This Row],[Profit]]/Table1[[#This Row],[Sales]]</f>
        <v>0.51971940558287955</v>
      </c>
      <c r="K372" s="5" t="str">
        <f t="shared" si="5"/>
        <v>Low</v>
      </c>
      <c r="L372" s="5" t="str">
        <f>TEXT(Table1[[#This Row],[Order_Date]],"MMM")</f>
        <v>Jan</v>
      </c>
      <c r="M372" s="5" t="str">
        <f>IF(Table1[[#This Row],[Profit]]&gt;=1000,"Excellent",IF(Table1[[#This Row],[Profit]]&gt;=500,"Good", IF(Table1[[#This Row],[Profit]]&lt;500,"Low")))</f>
        <v>Low</v>
      </c>
      <c r="N372" s="7" t="str">
        <f>TEXT(Table1[[#This Row],[Order_Date]],"YYY")</f>
        <v>2024</v>
      </c>
    </row>
    <row r="373" spans="1:14" x14ac:dyDescent="0.3">
      <c r="A373" s="4">
        <v>45318</v>
      </c>
      <c r="B373" s="5" t="s">
        <v>8</v>
      </c>
      <c r="C373" s="5" t="s">
        <v>19</v>
      </c>
      <c r="D373" s="23">
        <v>35.909999999999997</v>
      </c>
      <c r="E373" s="23">
        <v>13.97</v>
      </c>
      <c r="F373" s="23">
        <v>21.94</v>
      </c>
      <c r="G373" s="5" t="s">
        <v>6</v>
      </c>
      <c r="H373" s="5" t="s">
        <v>10</v>
      </c>
      <c r="I373" s="5" t="s">
        <v>25</v>
      </c>
      <c r="J373" s="6">
        <f>Table1[[#This Row],[Profit]]/Table1[[#This Row],[Sales]]</f>
        <v>0.61097187412976894</v>
      </c>
      <c r="K373" s="5" t="str">
        <f t="shared" si="5"/>
        <v>Low</v>
      </c>
      <c r="L373" s="5" t="str">
        <f>TEXT(Table1[[#This Row],[Order_Date]],"MMM")</f>
        <v>Jan</v>
      </c>
      <c r="M373" s="5" t="str">
        <f>IF(Table1[[#This Row],[Profit]]&gt;=1000,"Excellent",IF(Table1[[#This Row],[Profit]]&gt;=500,"Good", IF(Table1[[#This Row],[Profit]]&lt;500,"Low")))</f>
        <v>Low</v>
      </c>
      <c r="N373" s="7" t="str">
        <f>TEXT(Table1[[#This Row],[Order_Date]],"YYY")</f>
        <v>2024</v>
      </c>
    </row>
    <row r="374" spans="1:14" x14ac:dyDescent="0.3">
      <c r="A374" s="4">
        <v>45319</v>
      </c>
      <c r="B374" s="5" t="s">
        <v>0</v>
      </c>
      <c r="C374" s="5" t="s">
        <v>1</v>
      </c>
      <c r="D374" s="23">
        <v>399.67</v>
      </c>
      <c r="E374" s="23">
        <v>226.44</v>
      </c>
      <c r="F374" s="23">
        <v>173.23</v>
      </c>
      <c r="G374" s="5" t="s">
        <v>32</v>
      </c>
      <c r="H374" s="5" t="s">
        <v>36</v>
      </c>
      <c r="I374" s="5" t="s">
        <v>22</v>
      </c>
      <c r="J374" s="6">
        <f>Table1[[#This Row],[Profit]]/Table1[[#This Row],[Sales]]</f>
        <v>0.43343258188005102</v>
      </c>
      <c r="K374" s="5" t="str">
        <f t="shared" si="5"/>
        <v>Low</v>
      </c>
      <c r="L374" s="5" t="str">
        <f>TEXT(Table1[[#This Row],[Order_Date]],"MMM")</f>
        <v>Jan</v>
      </c>
      <c r="M374" s="5" t="str">
        <f>IF(Table1[[#This Row],[Profit]]&gt;=1000,"Excellent",IF(Table1[[#This Row],[Profit]]&gt;=500,"Good", IF(Table1[[#This Row],[Profit]]&lt;500,"Low")))</f>
        <v>Low</v>
      </c>
      <c r="N374" s="7" t="str">
        <f>TEXT(Table1[[#This Row],[Order_Date]],"YYY")</f>
        <v>2024</v>
      </c>
    </row>
    <row r="375" spans="1:14" x14ac:dyDescent="0.3">
      <c r="A375" s="4">
        <v>45319</v>
      </c>
      <c r="B375" s="5" t="s">
        <v>8</v>
      </c>
      <c r="C375" s="5" t="s">
        <v>14</v>
      </c>
      <c r="D375" s="23">
        <v>350.81</v>
      </c>
      <c r="E375" s="23">
        <v>157.71</v>
      </c>
      <c r="F375" s="23">
        <v>193.1</v>
      </c>
      <c r="G375" s="5" t="s">
        <v>9</v>
      </c>
      <c r="H375" s="5" t="s">
        <v>24</v>
      </c>
      <c r="I375" s="5" t="s">
        <v>4</v>
      </c>
      <c r="J375" s="6">
        <f>Table1[[#This Row],[Profit]]/Table1[[#This Row],[Sales]]</f>
        <v>0.55044040933838834</v>
      </c>
      <c r="K375" s="5" t="str">
        <f t="shared" si="5"/>
        <v>Low</v>
      </c>
      <c r="L375" s="5" t="str">
        <f>TEXT(Table1[[#This Row],[Order_Date]],"MMM")</f>
        <v>Jan</v>
      </c>
      <c r="M375" s="5" t="str">
        <f>IF(Table1[[#This Row],[Profit]]&gt;=1000,"Excellent",IF(Table1[[#This Row],[Profit]]&gt;=500,"Good", IF(Table1[[#This Row],[Profit]]&lt;500,"Low")))</f>
        <v>Low</v>
      </c>
      <c r="N375" s="7" t="str">
        <f>TEXT(Table1[[#This Row],[Order_Date]],"YYY")</f>
        <v>2024</v>
      </c>
    </row>
    <row r="376" spans="1:14" x14ac:dyDescent="0.3">
      <c r="A376" s="4">
        <v>45319</v>
      </c>
      <c r="B376" s="5" t="s">
        <v>18</v>
      </c>
      <c r="C376" s="5" t="s">
        <v>5</v>
      </c>
      <c r="D376" s="23">
        <v>1557.22</v>
      </c>
      <c r="E376" s="23">
        <v>556.88</v>
      </c>
      <c r="F376" s="23">
        <v>1000.34</v>
      </c>
      <c r="G376" s="5" t="s">
        <v>20</v>
      </c>
      <c r="H376" s="5" t="s">
        <v>10</v>
      </c>
      <c r="I376" s="5" t="s">
        <v>4</v>
      </c>
      <c r="J376" s="6">
        <f>Table1[[#This Row],[Profit]]/Table1[[#This Row],[Sales]]</f>
        <v>0.64238835874186051</v>
      </c>
      <c r="K376" s="5" t="str">
        <f t="shared" si="5"/>
        <v>Medium</v>
      </c>
      <c r="L376" s="5" t="str">
        <f>TEXT(Table1[[#This Row],[Order_Date]],"MMM")</f>
        <v>Jan</v>
      </c>
      <c r="M376" s="5" t="str">
        <f>IF(Table1[[#This Row],[Profit]]&gt;=1000,"Excellent",IF(Table1[[#This Row],[Profit]]&gt;=500,"Good", IF(Table1[[#This Row],[Profit]]&lt;500,"Low")))</f>
        <v>Excellent</v>
      </c>
      <c r="N376" s="7" t="str">
        <f>TEXT(Table1[[#This Row],[Order_Date]],"YYY")</f>
        <v>2024</v>
      </c>
    </row>
    <row r="377" spans="1:14" x14ac:dyDescent="0.3">
      <c r="A377" s="4">
        <v>45320</v>
      </c>
      <c r="B377" s="5" t="s">
        <v>16</v>
      </c>
      <c r="C377" s="5" t="s">
        <v>26</v>
      </c>
      <c r="D377" s="23">
        <v>618.76</v>
      </c>
      <c r="E377" s="23">
        <v>195.28</v>
      </c>
      <c r="F377" s="23">
        <v>423.48</v>
      </c>
      <c r="G377" s="5" t="s">
        <v>32</v>
      </c>
      <c r="H377" s="5" t="s">
        <v>34</v>
      </c>
      <c r="I377" s="5" t="s">
        <v>11</v>
      </c>
      <c r="J377" s="6">
        <f>Table1[[#This Row],[Profit]]/Table1[[#This Row],[Sales]]</f>
        <v>0.68440106018488589</v>
      </c>
      <c r="K377" s="5" t="str">
        <f t="shared" si="5"/>
        <v>Low</v>
      </c>
      <c r="L377" s="5" t="str">
        <f>TEXT(Table1[[#This Row],[Order_Date]],"MMM")</f>
        <v>Jan</v>
      </c>
      <c r="M377" s="5" t="str">
        <f>IF(Table1[[#This Row],[Profit]]&gt;=1000,"Excellent",IF(Table1[[#This Row],[Profit]]&gt;=500,"Good", IF(Table1[[#This Row],[Profit]]&lt;500,"Low")))</f>
        <v>Low</v>
      </c>
      <c r="N377" s="7" t="str">
        <f>TEXT(Table1[[#This Row],[Order_Date]],"YYY")</f>
        <v>2024</v>
      </c>
    </row>
    <row r="378" spans="1:14" x14ac:dyDescent="0.3">
      <c r="A378" s="4">
        <v>45320</v>
      </c>
      <c r="B378" s="5" t="s">
        <v>16</v>
      </c>
      <c r="C378" s="5" t="s">
        <v>5</v>
      </c>
      <c r="D378" s="23">
        <v>1594.71</v>
      </c>
      <c r="E378" s="23">
        <v>573.86</v>
      </c>
      <c r="F378" s="23">
        <v>1020.85</v>
      </c>
      <c r="G378" s="5" t="s">
        <v>2</v>
      </c>
      <c r="H378" s="5" t="s">
        <v>35</v>
      </c>
      <c r="I378" s="5" t="s">
        <v>25</v>
      </c>
      <c r="J378" s="6">
        <f>Table1[[#This Row],[Profit]]/Table1[[#This Row],[Sales]]</f>
        <v>0.64014773846028428</v>
      </c>
      <c r="K378" s="5" t="str">
        <f t="shared" si="5"/>
        <v>Medium</v>
      </c>
      <c r="L378" s="5" t="str">
        <f>TEXT(Table1[[#This Row],[Order_Date]],"MMM")</f>
        <v>Jan</v>
      </c>
      <c r="M378" s="5" t="str">
        <f>IF(Table1[[#This Row],[Profit]]&gt;=1000,"Excellent",IF(Table1[[#This Row],[Profit]]&gt;=500,"Good", IF(Table1[[#This Row],[Profit]]&lt;500,"Low")))</f>
        <v>Excellent</v>
      </c>
      <c r="N378" s="7" t="str">
        <f>TEXT(Table1[[#This Row],[Order_Date]],"YYY")</f>
        <v>2024</v>
      </c>
    </row>
    <row r="379" spans="1:14" x14ac:dyDescent="0.3">
      <c r="A379" s="4">
        <v>45320</v>
      </c>
      <c r="B379" s="5" t="s">
        <v>8</v>
      </c>
      <c r="C379" s="5" t="s">
        <v>26</v>
      </c>
      <c r="D379" s="23">
        <v>429.38</v>
      </c>
      <c r="E379" s="23">
        <v>111.19</v>
      </c>
      <c r="F379" s="23">
        <v>318.19</v>
      </c>
      <c r="G379" s="5" t="s">
        <v>20</v>
      </c>
      <c r="H379" s="5" t="s">
        <v>36</v>
      </c>
      <c r="I379" s="5" t="s">
        <v>25</v>
      </c>
      <c r="J379" s="6">
        <f>Table1[[#This Row],[Profit]]/Table1[[#This Row],[Sales]]</f>
        <v>0.74104522800316741</v>
      </c>
      <c r="K379" s="5" t="str">
        <f t="shared" si="5"/>
        <v>Low</v>
      </c>
      <c r="L379" s="5" t="str">
        <f>TEXT(Table1[[#This Row],[Order_Date]],"MMM")</f>
        <v>Jan</v>
      </c>
      <c r="M379" s="5" t="str">
        <f>IF(Table1[[#This Row],[Profit]]&gt;=1000,"Excellent",IF(Table1[[#This Row],[Profit]]&gt;=500,"Good", IF(Table1[[#This Row],[Profit]]&lt;500,"Low")))</f>
        <v>Low</v>
      </c>
      <c r="N379" s="7" t="str">
        <f>TEXT(Table1[[#This Row],[Order_Date]],"YYY")</f>
        <v>2024</v>
      </c>
    </row>
    <row r="380" spans="1:14" x14ac:dyDescent="0.3">
      <c r="A380" s="4">
        <v>45320</v>
      </c>
      <c r="B380" s="5" t="s">
        <v>18</v>
      </c>
      <c r="C380" s="5" t="s">
        <v>31</v>
      </c>
      <c r="D380" s="23">
        <v>83.16</v>
      </c>
      <c r="E380" s="23">
        <v>25.09</v>
      </c>
      <c r="F380" s="23">
        <v>58.07</v>
      </c>
      <c r="G380" s="5" t="s">
        <v>6</v>
      </c>
      <c r="H380" s="5" t="s">
        <v>12</v>
      </c>
      <c r="I380" s="5" t="s">
        <v>25</v>
      </c>
      <c r="J380" s="6">
        <f>Table1[[#This Row],[Profit]]/Table1[[#This Row],[Sales]]</f>
        <v>0.6982924482924483</v>
      </c>
      <c r="K380" s="5" t="str">
        <f t="shared" si="5"/>
        <v>Low</v>
      </c>
      <c r="L380" s="5" t="str">
        <f>TEXT(Table1[[#This Row],[Order_Date]],"MMM")</f>
        <v>Jan</v>
      </c>
      <c r="M380" s="5" t="str">
        <f>IF(Table1[[#This Row],[Profit]]&gt;=1000,"Excellent",IF(Table1[[#This Row],[Profit]]&gt;=500,"Good", IF(Table1[[#This Row],[Profit]]&lt;500,"Low")))</f>
        <v>Low</v>
      </c>
      <c r="N380" s="7" t="str">
        <f>TEXT(Table1[[#This Row],[Order_Date]],"YYY")</f>
        <v>2024</v>
      </c>
    </row>
    <row r="381" spans="1:14" x14ac:dyDescent="0.3">
      <c r="A381" s="4">
        <v>45321</v>
      </c>
      <c r="B381" s="5" t="s">
        <v>0</v>
      </c>
      <c r="C381" s="5" t="s">
        <v>23</v>
      </c>
      <c r="D381" s="23">
        <v>512.6</v>
      </c>
      <c r="E381" s="23">
        <v>167.75</v>
      </c>
      <c r="F381" s="23">
        <v>344.85</v>
      </c>
      <c r="G381" s="5" t="s">
        <v>6</v>
      </c>
      <c r="H381" s="5" t="s">
        <v>3</v>
      </c>
      <c r="I381" s="5" t="s">
        <v>17</v>
      </c>
      <c r="J381" s="6">
        <f>Table1[[#This Row],[Profit]]/Table1[[#This Row],[Sales]]</f>
        <v>0.67274678111587982</v>
      </c>
      <c r="K381" s="5" t="str">
        <f t="shared" si="5"/>
        <v>Low</v>
      </c>
      <c r="L381" s="5" t="str">
        <f>TEXT(Table1[[#This Row],[Order_Date]],"MMM")</f>
        <v>Jan</v>
      </c>
      <c r="M381" s="5" t="str">
        <f>IF(Table1[[#This Row],[Profit]]&gt;=1000,"Excellent",IF(Table1[[#This Row],[Profit]]&gt;=500,"Good", IF(Table1[[#This Row],[Profit]]&lt;500,"Low")))</f>
        <v>Low</v>
      </c>
      <c r="N381" s="7" t="str">
        <f>TEXT(Table1[[#This Row],[Order_Date]],"YYY")</f>
        <v>2024</v>
      </c>
    </row>
    <row r="382" spans="1:14" x14ac:dyDescent="0.3">
      <c r="A382" s="4">
        <v>45321</v>
      </c>
      <c r="B382" s="5" t="s">
        <v>13</v>
      </c>
      <c r="C382" s="5" t="s">
        <v>1</v>
      </c>
      <c r="D382" s="23">
        <v>1409.5</v>
      </c>
      <c r="E382" s="23">
        <v>710.77</v>
      </c>
      <c r="F382" s="23">
        <v>698.73</v>
      </c>
      <c r="G382" s="5" t="s">
        <v>2</v>
      </c>
      <c r="H382" s="5" t="s">
        <v>28</v>
      </c>
      <c r="I382" s="5" t="s">
        <v>27</v>
      </c>
      <c r="J382" s="6">
        <f>Table1[[#This Row],[Profit]]/Table1[[#This Row],[Sales]]</f>
        <v>0.49572898190847819</v>
      </c>
      <c r="K382" s="5" t="str">
        <f t="shared" si="5"/>
        <v>Low</v>
      </c>
      <c r="L382" s="5" t="str">
        <f>TEXT(Table1[[#This Row],[Order_Date]],"MMM")</f>
        <v>Jan</v>
      </c>
      <c r="M382" s="5" t="str">
        <f>IF(Table1[[#This Row],[Profit]]&gt;=1000,"Excellent",IF(Table1[[#This Row],[Profit]]&gt;=500,"Good", IF(Table1[[#This Row],[Profit]]&lt;500,"Low")))</f>
        <v>Good</v>
      </c>
      <c r="N382" s="7" t="str">
        <f>TEXT(Table1[[#This Row],[Order_Date]],"YYY")</f>
        <v>2024</v>
      </c>
    </row>
    <row r="383" spans="1:14" x14ac:dyDescent="0.3">
      <c r="A383" s="4">
        <v>45321</v>
      </c>
      <c r="B383" s="5" t="s">
        <v>8</v>
      </c>
      <c r="C383" s="5" t="s">
        <v>23</v>
      </c>
      <c r="D383" s="23">
        <v>619.38</v>
      </c>
      <c r="E383" s="23">
        <v>258.06</v>
      </c>
      <c r="F383" s="23">
        <v>361.32</v>
      </c>
      <c r="G383" s="5" t="s">
        <v>32</v>
      </c>
      <c r="H383" s="5" t="s">
        <v>15</v>
      </c>
      <c r="I383" s="5" t="s">
        <v>22</v>
      </c>
      <c r="J383" s="6">
        <f>Table1[[#This Row],[Profit]]/Table1[[#This Row],[Sales]]</f>
        <v>0.58335755109948662</v>
      </c>
      <c r="K383" s="5" t="str">
        <f t="shared" si="5"/>
        <v>Low</v>
      </c>
      <c r="L383" s="5" t="str">
        <f>TEXT(Table1[[#This Row],[Order_Date]],"MMM")</f>
        <v>Jan</v>
      </c>
      <c r="M383" s="5" t="str">
        <f>IF(Table1[[#This Row],[Profit]]&gt;=1000,"Excellent",IF(Table1[[#This Row],[Profit]]&gt;=500,"Good", IF(Table1[[#This Row],[Profit]]&lt;500,"Low")))</f>
        <v>Low</v>
      </c>
      <c r="N383" s="7" t="str">
        <f>TEXT(Table1[[#This Row],[Order_Date]],"YYY")</f>
        <v>2024</v>
      </c>
    </row>
    <row r="384" spans="1:14" x14ac:dyDescent="0.3">
      <c r="A384" s="4">
        <v>45322</v>
      </c>
      <c r="B384" s="5" t="s">
        <v>0</v>
      </c>
      <c r="C384" s="5" t="s">
        <v>26</v>
      </c>
      <c r="D384" s="23">
        <v>162.55000000000001</v>
      </c>
      <c r="E384" s="23">
        <v>46.15</v>
      </c>
      <c r="F384" s="23">
        <v>116.4</v>
      </c>
      <c r="G384" s="5" t="s">
        <v>9</v>
      </c>
      <c r="H384" s="5" t="s">
        <v>37</v>
      </c>
      <c r="I384" s="5" t="s">
        <v>22</v>
      </c>
      <c r="J384" s="6">
        <f>Table1[[#This Row],[Profit]]/Table1[[#This Row],[Sales]]</f>
        <v>0.71608735773608123</v>
      </c>
      <c r="K384" s="5" t="str">
        <f t="shared" si="5"/>
        <v>Low</v>
      </c>
      <c r="L384" s="5" t="str">
        <f>TEXT(Table1[[#This Row],[Order_Date]],"MMM")</f>
        <v>Jan</v>
      </c>
      <c r="M384" s="5" t="str">
        <f>IF(Table1[[#This Row],[Profit]]&gt;=1000,"Excellent",IF(Table1[[#This Row],[Profit]]&gt;=500,"Good", IF(Table1[[#This Row],[Profit]]&lt;500,"Low")))</f>
        <v>Low</v>
      </c>
      <c r="N384" s="7" t="str">
        <f>TEXT(Table1[[#This Row],[Order_Date]],"YYY")</f>
        <v>2024</v>
      </c>
    </row>
    <row r="385" spans="1:14" x14ac:dyDescent="0.3">
      <c r="A385" s="4">
        <v>45322</v>
      </c>
      <c r="B385" s="5" t="s">
        <v>0</v>
      </c>
      <c r="C385" s="5" t="s">
        <v>14</v>
      </c>
      <c r="D385" s="23">
        <v>381.15</v>
      </c>
      <c r="E385" s="23">
        <v>168.93</v>
      </c>
      <c r="F385" s="23">
        <v>212.22</v>
      </c>
      <c r="G385" s="5" t="s">
        <v>9</v>
      </c>
      <c r="H385" s="5" t="s">
        <v>10</v>
      </c>
      <c r="I385" s="5" t="s">
        <v>25</v>
      </c>
      <c r="J385" s="6">
        <f>Table1[[#This Row],[Profit]]/Table1[[#This Row],[Sales]]</f>
        <v>0.55678866587957498</v>
      </c>
      <c r="K385" s="5" t="str">
        <f t="shared" si="5"/>
        <v>Low</v>
      </c>
      <c r="L385" s="5" t="str">
        <f>TEXT(Table1[[#This Row],[Order_Date]],"MMM")</f>
        <v>Jan</v>
      </c>
      <c r="M385" s="5" t="str">
        <f>IF(Table1[[#This Row],[Profit]]&gt;=1000,"Excellent",IF(Table1[[#This Row],[Profit]]&gt;=500,"Good", IF(Table1[[#This Row],[Profit]]&lt;500,"Low")))</f>
        <v>Low</v>
      </c>
      <c r="N385" s="7" t="str">
        <f>TEXT(Table1[[#This Row],[Order_Date]],"YYY")</f>
        <v>2024</v>
      </c>
    </row>
    <row r="386" spans="1:14" x14ac:dyDescent="0.3">
      <c r="A386" s="4">
        <v>45323</v>
      </c>
      <c r="B386" s="5" t="s">
        <v>13</v>
      </c>
      <c r="C386" s="5" t="s">
        <v>5</v>
      </c>
      <c r="D386" s="23">
        <v>400.09</v>
      </c>
      <c r="E386" s="23">
        <v>164.96</v>
      </c>
      <c r="F386" s="23">
        <v>235.13</v>
      </c>
      <c r="G386" s="5" t="s">
        <v>32</v>
      </c>
      <c r="H386" s="5" t="s">
        <v>34</v>
      </c>
      <c r="I386" s="5" t="s">
        <v>25</v>
      </c>
      <c r="J386" s="6">
        <f>Table1[[#This Row],[Profit]]/Table1[[#This Row],[Sales]]</f>
        <v>0.58769276912694646</v>
      </c>
      <c r="K386" s="5" t="str">
        <f t="shared" ref="K386:K449" si="6">IF(D386&gt;=2000,"High",IF(D386&gt;=1500,"Medium","Low"))</f>
        <v>Low</v>
      </c>
      <c r="L386" s="5" t="str">
        <f>TEXT(Table1[[#This Row],[Order_Date]],"MMM")</f>
        <v>Feb</v>
      </c>
      <c r="M386" s="5" t="str">
        <f>IF(Table1[[#This Row],[Profit]]&gt;=1000,"Excellent",IF(Table1[[#This Row],[Profit]]&gt;=500,"Good", IF(Table1[[#This Row],[Profit]]&lt;500,"Low")))</f>
        <v>Low</v>
      </c>
      <c r="N386" s="7" t="str">
        <f>TEXT(Table1[[#This Row],[Order_Date]],"YYY")</f>
        <v>2024</v>
      </c>
    </row>
    <row r="387" spans="1:14" x14ac:dyDescent="0.3">
      <c r="A387" s="4">
        <v>45323</v>
      </c>
      <c r="B387" s="5" t="s">
        <v>0</v>
      </c>
      <c r="C387" s="5" t="s">
        <v>19</v>
      </c>
      <c r="D387" s="23">
        <v>55.8</v>
      </c>
      <c r="E387" s="23">
        <v>21.02</v>
      </c>
      <c r="F387" s="23">
        <v>34.78</v>
      </c>
      <c r="G387" s="5" t="s">
        <v>9</v>
      </c>
      <c r="H387" s="5" t="s">
        <v>33</v>
      </c>
      <c r="I387" s="5" t="s">
        <v>27</v>
      </c>
      <c r="J387" s="6">
        <f>Table1[[#This Row],[Profit]]/Table1[[#This Row],[Sales]]</f>
        <v>0.62329749103942655</v>
      </c>
      <c r="K387" s="5" t="str">
        <f t="shared" si="6"/>
        <v>Low</v>
      </c>
      <c r="L387" s="5" t="str">
        <f>TEXT(Table1[[#This Row],[Order_Date]],"MMM")</f>
        <v>Feb</v>
      </c>
      <c r="M387" s="5" t="str">
        <f>IF(Table1[[#This Row],[Profit]]&gt;=1000,"Excellent",IF(Table1[[#This Row],[Profit]]&gt;=500,"Good", IF(Table1[[#This Row],[Profit]]&lt;500,"Low")))</f>
        <v>Low</v>
      </c>
      <c r="N387" s="7" t="str">
        <f>TEXT(Table1[[#This Row],[Order_Date]],"YYY")</f>
        <v>2024</v>
      </c>
    </row>
    <row r="388" spans="1:14" x14ac:dyDescent="0.3">
      <c r="A388" s="4">
        <v>45324</v>
      </c>
      <c r="B388" s="5" t="s">
        <v>8</v>
      </c>
      <c r="C388" s="5" t="s">
        <v>5</v>
      </c>
      <c r="D388" s="23">
        <v>1686.21</v>
      </c>
      <c r="E388" s="23">
        <v>739.74</v>
      </c>
      <c r="F388" s="23">
        <v>946.47</v>
      </c>
      <c r="G388" s="5" t="s">
        <v>20</v>
      </c>
      <c r="H388" s="5" t="s">
        <v>33</v>
      </c>
      <c r="I388" s="5" t="s">
        <v>17</v>
      </c>
      <c r="J388" s="6">
        <f>Table1[[#This Row],[Profit]]/Table1[[#This Row],[Sales]]</f>
        <v>0.56130019392602348</v>
      </c>
      <c r="K388" s="5" t="str">
        <f t="shared" si="6"/>
        <v>Medium</v>
      </c>
      <c r="L388" s="5" t="str">
        <f>TEXT(Table1[[#This Row],[Order_Date]],"MMM")</f>
        <v>Feb</v>
      </c>
      <c r="M388" s="5" t="str">
        <f>IF(Table1[[#This Row],[Profit]]&gt;=1000,"Excellent",IF(Table1[[#This Row],[Profit]]&gt;=500,"Good", IF(Table1[[#This Row],[Profit]]&lt;500,"Low")))</f>
        <v>Good</v>
      </c>
      <c r="N388" s="7" t="str">
        <f>TEXT(Table1[[#This Row],[Order_Date]],"YYY")</f>
        <v>2024</v>
      </c>
    </row>
    <row r="389" spans="1:14" x14ac:dyDescent="0.3">
      <c r="A389" s="4">
        <v>45324</v>
      </c>
      <c r="B389" s="5" t="s">
        <v>18</v>
      </c>
      <c r="C389" s="5" t="s">
        <v>14</v>
      </c>
      <c r="D389" s="23">
        <v>342.47</v>
      </c>
      <c r="E389" s="23">
        <v>125.25</v>
      </c>
      <c r="F389" s="23">
        <v>217.22</v>
      </c>
      <c r="G389" s="5" t="s">
        <v>20</v>
      </c>
      <c r="H389" s="5" t="s">
        <v>33</v>
      </c>
      <c r="I389" s="5" t="s">
        <v>4</v>
      </c>
      <c r="J389" s="6">
        <f>Table1[[#This Row],[Profit]]/Table1[[#This Row],[Sales]]</f>
        <v>0.63427453499576603</v>
      </c>
      <c r="K389" s="5" t="str">
        <f t="shared" si="6"/>
        <v>Low</v>
      </c>
      <c r="L389" s="5" t="str">
        <f>TEXT(Table1[[#This Row],[Order_Date]],"MMM")</f>
        <v>Feb</v>
      </c>
      <c r="M389" s="5" t="str">
        <f>IF(Table1[[#This Row],[Profit]]&gt;=1000,"Excellent",IF(Table1[[#This Row],[Profit]]&gt;=500,"Good", IF(Table1[[#This Row],[Profit]]&lt;500,"Low")))</f>
        <v>Low</v>
      </c>
      <c r="N389" s="7" t="str">
        <f>TEXT(Table1[[#This Row],[Order_Date]],"YYY")</f>
        <v>2024</v>
      </c>
    </row>
    <row r="390" spans="1:14" x14ac:dyDescent="0.3">
      <c r="A390" s="4">
        <v>45324</v>
      </c>
      <c r="B390" s="5" t="s">
        <v>8</v>
      </c>
      <c r="C390" s="5" t="s">
        <v>31</v>
      </c>
      <c r="D390" s="23">
        <v>23.87</v>
      </c>
      <c r="E390" s="23">
        <v>9.5</v>
      </c>
      <c r="F390" s="23">
        <v>14.37</v>
      </c>
      <c r="G390" s="5" t="s">
        <v>32</v>
      </c>
      <c r="H390" s="5" t="s">
        <v>15</v>
      </c>
      <c r="I390" s="5" t="s">
        <v>11</v>
      </c>
      <c r="J390" s="6">
        <f>Table1[[#This Row],[Profit]]/Table1[[#This Row],[Sales]]</f>
        <v>0.60201089233347294</v>
      </c>
      <c r="K390" s="5" t="str">
        <f t="shared" si="6"/>
        <v>Low</v>
      </c>
      <c r="L390" s="5" t="str">
        <f>TEXT(Table1[[#This Row],[Order_Date]],"MMM")</f>
        <v>Feb</v>
      </c>
      <c r="M390" s="5" t="str">
        <f>IF(Table1[[#This Row],[Profit]]&gt;=1000,"Excellent",IF(Table1[[#This Row],[Profit]]&gt;=500,"Good", IF(Table1[[#This Row],[Profit]]&lt;500,"Low")))</f>
        <v>Low</v>
      </c>
      <c r="N390" s="7" t="str">
        <f>TEXT(Table1[[#This Row],[Order_Date]],"YYY")</f>
        <v>2024</v>
      </c>
    </row>
    <row r="391" spans="1:14" x14ac:dyDescent="0.3">
      <c r="A391" s="4">
        <v>45324</v>
      </c>
      <c r="B391" s="5" t="s">
        <v>0</v>
      </c>
      <c r="C391" s="5" t="s">
        <v>5</v>
      </c>
      <c r="D391" s="23">
        <v>527.98</v>
      </c>
      <c r="E391" s="23">
        <v>204.47</v>
      </c>
      <c r="F391" s="23">
        <v>323.51</v>
      </c>
      <c r="G391" s="5" t="s">
        <v>9</v>
      </c>
      <c r="H391" s="5" t="s">
        <v>36</v>
      </c>
      <c r="I391" s="5" t="s">
        <v>4</v>
      </c>
      <c r="J391" s="6">
        <f>Table1[[#This Row],[Profit]]/Table1[[#This Row],[Sales]]</f>
        <v>0.61273154286147202</v>
      </c>
      <c r="K391" s="5" t="str">
        <f t="shared" si="6"/>
        <v>Low</v>
      </c>
      <c r="L391" s="5" t="str">
        <f>TEXT(Table1[[#This Row],[Order_Date]],"MMM")</f>
        <v>Feb</v>
      </c>
      <c r="M391" s="5" t="str">
        <f>IF(Table1[[#This Row],[Profit]]&gt;=1000,"Excellent",IF(Table1[[#This Row],[Profit]]&gt;=500,"Good", IF(Table1[[#This Row],[Profit]]&lt;500,"Low")))</f>
        <v>Low</v>
      </c>
      <c r="N391" s="7" t="str">
        <f>TEXT(Table1[[#This Row],[Order_Date]],"YYY")</f>
        <v>2024</v>
      </c>
    </row>
    <row r="392" spans="1:14" x14ac:dyDescent="0.3">
      <c r="A392" s="4">
        <v>45325</v>
      </c>
      <c r="B392" s="5" t="s">
        <v>16</v>
      </c>
      <c r="C392" s="5" t="s">
        <v>23</v>
      </c>
      <c r="D392" s="23">
        <v>603.32000000000005</v>
      </c>
      <c r="E392" s="23">
        <v>260.18</v>
      </c>
      <c r="F392" s="23">
        <v>343.14</v>
      </c>
      <c r="G392" s="5" t="s">
        <v>20</v>
      </c>
      <c r="H392" s="5" t="s">
        <v>36</v>
      </c>
      <c r="I392" s="5" t="s">
        <v>27</v>
      </c>
      <c r="J392" s="6">
        <f>Table1[[#This Row],[Profit]]/Table1[[#This Row],[Sales]]</f>
        <v>0.56875290061658812</v>
      </c>
      <c r="K392" s="5" t="str">
        <f t="shared" si="6"/>
        <v>Low</v>
      </c>
      <c r="L392" s="5" t="str">
        <f>TEXT(Table1[[#This Row],[Order_Date]],"MMM")</f>
        <v>Feb</v>
      </c>
      <c r="M392" s="5" t="str">
        <f>IF(Table1[[#This Row],[Profit]]&gt;=1000,"Excellent",IF(Table1[[#This Row],[Profit]]&gt;=500,"Good", IF(Table1[[#This Row],[Profit]]&lt;500,"Low")))</f>
        <v>Low</v>
      </c>
      <c r="N392" s="7" t="str">
        <f>TEXT(Table1[[#This Row],[Order_Date]],"YYY")</f>
        <v>2024</v>
      </c>
    </row>
    <row r="393" spans="1:14" x14ac:dyDescent="0.3">
      <c r="A393" s="4">
        <v>45326</v>
      </c>
      <c r="B393" s="5" t="s">
        <v>18</v>
      </c>
      <c r="C393" s="5" t="s">
        <v>1</v>
      </c>
      <c r="D393" s="23">
        <v>1140</v>
      </c>
      <c r="E393" s="23">
        <v>533.74</v>
      </c>
      <c r="F393" s="23">
        <v>606.26</v>
      </c>
      <c r="G393" s="5" t="s">
        <v>32</v>
      </c>
      <c r="H393" s="5" t="s">
        <v>7</v>
      </c>
      <c r="I393" s="5" t="s">
        <v>17</v>
      </c>
      <c r="J393" s="6">
        <f>Table1[[#This Row],[Profit]]/Table1[[#This Row],[Sales]]</f>
        <v>0.53180701754385962</v>
      </c>
      <c r="K393" s="5" t="str">
        <f t="shared" si="6"/>
        <v>Low</v>
      </c>
      <c r="L393" s="5" t="str">
        <f>TEXT(Table1[[#This Row],[Order_Date]],"MMM")</f>
        <v>Feb</v>
      </c>
      <c r="M393" s="5" t="str">
        <f>IF(Table1[[#This Row],[Profit]]&gt;=1000,"Excellent",IF(Table1[[#This Row],[Profit]]&gt;=500,"Good", IF(Table1[[#This Row],[Profit]]&lt;500,"Low")))</f>
        <v>Good</v>
      </c>
      <c r="N393" s="7" t="str">
        <f>TEXT(Table1[[#This Row],[Order_Date]],"YYY")</f>
        <v>2024</v>
      </c>
    </row>
    <row r="394" spans="1:14" x14ac:dyDescent="0.3">
      <c r="A394" s="4">
        <v>45326</v>
      </c>
      <c r="B394" s="5" t="s">
        <v>0</v>
      </c>
      <c r="C394" s="5" t="s">
        <v>23</v>
      </c>
      <c r="D394" s="23">
        <v>258.37</v>
      </c>
      <c r="E394" s="23">
        <v>82.28</v>
      </c>
      <c r="F394" s="23">
        <v>176.09</v>
      </c>
      <c r="G394" s="5" t="s">
        <v>32</v>
      </c>
      <c r="H394" s="5" t="s">
        <v>33</v>
      </c>
      <c r="I394" s="5" t="s">
        <v>22</v>
      </c>
      <c r="J394" s="6">
        <f>Table1[[#This Row],[Profit]]/Table1[[#This Row],[Sales]]</f>
        <v>0.68154197468746369</v>
      </c>
      <c r="K394" s="5" t="str">
        <f t="shared" si="6"/>
        <v>Low</v>
      </c>
      <c r="L394" s="5" t="str">
        <f>TEXT(Table1[[#This Row],[Order_Date]],"MMM")</f>
        <v>Feb</v>
      </c>
      <c r="M394" s="5" t="str">
        <f>IF(Table1[[#This Row],[Profit]]&gt;=1000,"Excellent",IF(Table1[[#This Row],[Profit]]&gt;=500,"Good", IF(Table1[[#This Row],[Profit]]&lt;500,"Low")))</f>
        <v>Low</v>
      </c>
      <c r="N394" s="7" t="str">
        <f>TEXT(Table1[[#This Row],[Order_Date]],"YYY")</f>
        <v>2024</v>
      </c>
    </row>
    <row r="395" spans="1:14" x14ac:dyDescent="0.3">
      <c r="A395" s="4">
        <v>45326</v>
      </c>
      <c r="B395" s="5" t="s">
        <v>13</v>
      </c>
      <c r="C395" s="5" t="s">
        <v>19</v>
      </c>
      <c r="D395" s="23">
        <v>87.67</v>
      </c>
      <c r="E395" s="23">
        <v>37.79</v>
      </c>
      <c r="F395" s="23">
        <v>49.88</v>
      </c>
      <c r="G395" s="5" t="s">
        <v>9</v>
      </c>
      <c r="H395" s="5" t="s">
        <v>29</v>
      </c>
      <c r="I395" s="5" t="s">
        <v>25</v>
      </c>
      <c r="J395" s="6">
        <f>Table1[[#This Row],[Profit]]/Table1[[#This Row],[Sales]]</f>
        <v>0.56895175088399685</v>
      </c>
      <c r="K395" s="5" t="str">
        <f t="shared" si="6"/>
        <v>Low</v>
      </c>
      <c r="L395" s="5" t="str">
        <f>TEXT(Table1[[#This Row],[Order_Date]],"MMM")</f>
        <v>Feb</v>
      </c>
      <c r="M395" s="5" t="str">
        <f>IF(Table1[[#This Row],[Profit]]&gt;=1000,"Excellent",IF(Table1[[#This Row],[Profit]]&gt;=500,"Good", IF(Table1[[#This Row],[Profit]]&lt;500,"Low")))</f>
        <v>Low</v>
      </c>
      <c r="N395" s="7" t="str">
        <f>TEXT(Table1[[#This Row],[Order_Date]],"YYY")</f>
        <v>2024</v>
      </c>
    </row>
    <row r="396" spans="1:14" x14ac:dyDescent="0.3">
      <c r="A396" s="4">
        <v>45327</v>
      </c>
      <c r="B396" s="5" t="s">
        <v>16</v>
      </c>
      <c r="C396" s="5" t="s">
        <v>31</v>
      </c>
      <c r="D396" s="23">
        <v>19.3</v>
      </c>
      <c r="E396" s="23">
        <v>5.0599999999999996</v>
      </c>
      <c r="F396" s="23">
        <v>14.24</v>
      </c>
      <c r="G396" s="5" t="s">
        <v>2</v>
      </c>
      <c r="H396" s="5" t="s">
        <v>24</v>
      </c>
      <c r="I396" s="5" t="s">
        <v>22</v>
      </c>
      <c r="J396" s="6">
        <f>Table1[[#This Row],[Profit]]/Table1[[#This Row],[Sales]]</f>
        <v>0.73782383419689113</v>
      </c>
      <c r="K396" s="5" t="str">
        <f t="shared" si="6"/>
        <v>Low</v>
      </c>
      <c r="L396" s="5" t="str">
        <f>TEXT(Table1[[#This Row],[Order_Date]],"MMM")</f>
        <v>Feb</v>
      </c>
      <c r="M396" s="5" t="str">
        <f>IF(Table1[[#This Row],[Profit]]&gt;=1000,"Excellent",IF(Table1[[#This Row],[Profit]]&gt;=500,"Good", IF(Table1[[#This Row],[Profit]]&lt;500,"Low")))</f>
        <v>Low</v>
      </c>
      <c r="N396" s="7" t="str">
        <f>TEXT(Table1[[#This Row],[Order_Date]],"YYY")</f>
        <v>2024</v>
      </c>
    </row>
    <row r="397" spans="1:14" x14ac:dyDescent="0.3">
      <c r="A397" s="4">
        <v>45328</v>
      </c>
      <c r="B397" s="5" t="s">
        <v>18</v>
      </c>
      <c r="C397" s="5" t="s">
        <v>23</v>
      </c>
      <c r="D397" s="23">
        <v>822.17</v>
      </c>
      <c r="E397" s="23">
        <v>321.38</v>
      </c>
      <c r="F397" s="23">
        <v>500.79</v>
      </c>
      <c r="G397" s="5" t="s">
        <v>32</v>
      </c>
      <c r="H397" s="5" t="s">
        <v>7</v>
      </c>
      <c r="I397" s="5" t="s">
        <v>22</v>
      </c>
      <c r="J397" s="6">
        <f>Table1[[#This Row],[Profit]]/Table1[[#This Row],[Sales]]</f>
        <v>0.60910760548305098</v>
      </c>
      <c r="K397" s="5" t="str">
        <f t="shared" si="6"/>
        <v>Low</v>
      </c>
      <c r="L397" s="5" t="str">
        <f>TEXT(Table1[[#This Row],[Order_Date]],"MMM")</f>
        <v>Feb</v>
      </c>
      <c r="M397" s="5" t="str">
        <f>IF(Table1[[#This Row],[Profit]]&gt;=1000,"Excellent",IF(Table1[[#This Row],[Profit]]&gt;=500,"Good", IF(Table1[[#This Row],[Profit]]&lt;500,"Low")))</f>
        <v>Good</v>
      </c>
      <c r="N397" s="7" t="str">
        <f>TEXT(Table1[[#This Row],[Order_Date]],"YYY")</f>
        <v>2024</v>
      </c>
    </row>
    <row r="398" spans="1:14" x14ac:dyDescent="0.3">
      <c r="A398" s="4">
        <v>45329</v>
      </c>
      <c r="B398" s="5" t="s">
        <v>13</v>
      </c>
      <c r="C398" s="5" t="s">
        <v>14</v>
      </c>
      <c r="D398" s="23">
        <v>80.12</v>
      </c>
      <c r="E398" s="23">
        <v>36.07</v>
      </c>
      <c r="F398" s="23">
        <v>44.05</v>
      </c>
      <c r="G398" s="5" t="s">
        <v>32</v>
      </c>
      <c r="H398" s="5" t="s">
        <v>34</v>
      </c>
      <c r="I398" s="5" t="s">
        <v>17</v>
      </c>
      <c r="J398" s="6">
        <f>Table1[[#This Row],[Profit]]/Table1[[#This Row],[Sales]]</f>
        <v>0.54980029955067389</v>
      </c>
      <c r="K398" s="5" t="str">
        <f t="shared" si="6"/>
        <v>Low</v>
      </c>
      <c r="L398" s="5" t="str">
        <f>TEXT(Table1[[#This Row],[Order_Date]],"MMM")</f>
        <v>Feb</v>
      </c>
      <c r="M398" s="5" t="str">
        <f>IF(Table1[[#This Row],[Profit]]&gt;=1000,"Excellent",IF(Table1[[#This Row],[Profit]]&gt;=500,"Good", IF(Table1[[#This Row],[Profit]]&lt;500,"Low")))</f>
        <v>Low</v>
      </c>
      <c r="N398" s="7" t="str">
        <f>TEXT(Table1[[#This Row],[Order_Date]],"YYY")</f>
        <v>2024</v>
      </c>
    </row>
    <row r="399" spans="1:14" x14ac:dyDescent="0.3">
      <c r="A399" s="4">
        <v>45330</v>
      </c>
      <c r="B399" s="5" t="s">
        <v>8</v>
      </c>
      <c r="C399" s="5" t="s">
        <v>26</v>
      </c>
      <c r="D399" s="23">
        <v>421.68</v>
      </c>
      <c r="E399" s="23">
        <v>146.69</v>
      </c>
      <c r="F399" s="23">
        <v>274.99</v>
      </c>
      <c r="G399" s="5" t="s">
        <v>20</v>
      </c>
      <c r="H399" s="5" t="s">
        <v>28</v>
      </c>
      <c r="I399" s="5" t="s">
        <v>4</v>
      </c>
      <c r="J399" s="6">
        <f>Table1[[#This Row],[Profit]]/Table1[[#This Row],[Sales]]</f>
        <v>0.65212957693037377</v>
      </c>
      <c r="K399" s="5" t="str">
        <f t="shared" si="6"/>
        <v>Low</v>
      </c>
      <c r="L399" s="5" t="str">
        <f>TEXT(Table1[[#This Row],[Order_Date]],"MMM")</f>
        <v>Feb</v>
      </c>
      <c r="M399" s="5" t="str">
        <f>IF(Table1[[#This Row],[Profit]]&gt;=1000,"Excellent",IF(Table1[[#This Row],[Profit]]&gt;=500,"Good", IF(Table1[[#This Row],[Profit]]&lt;500,"Low")))</f>
        <v>Low</v>
      </c>
      <c r="N399" s="7" t="str">
        <f>TEXT(Table1[[#This Row],[Order_Date]],"YYY")</f>
        <v>2024</v>
      </c>
    </row>
    <row r="400" spans="1:14" x14ac:dyDescent="0.3">
      <c r="A400" s="4">
        <v>45330</v>
      </c>
      <c r="B400" s="5" t="s">
        <v>16</v>
      </c>
      <c r="C400" s="5" t="s">
        <v>23</v>
      </c>
      <c r="D400" s="23">
        <v>117.86</v>
      </c>
      <c r="E400" s="23">
        <v>51.51</v>
      </c>
      <c r="F400" s="23">
        <v>66.349999999999994</v>
      </c>
      <c r="G400" s="5" t="s">
        <v>20</v>
      </c>
      <c r="H400" s="5" t="s">
        <v>10</v>
      </c>
      <c r="I400" s="5" t="s">
        <v>27</v>
      </c>
      <c r="J400" s="6">
        <f>Table1[[#This Row],[Profit]]/Table1[[#This Row],[Sales]]</f>
        <v>0.56295604955031386</v>
      </c>
      <c r="K400" s="5" t="str">
        <f t="shared" si="6"/>
        <v>Low</v>
      </c>
      <c r="L400" s="5" t="str">
        <f>TEXT(Table1[[#This Row],[Order_Date]],"MMM")</f>
        <v>Feb</v>
      </c>
      <c r="M400" s="5" t="str">
        <f>IF(Table1[[#This Row],[Profit]]&gt;=1000,"Excellent",IF(Table1[[#This Row],[Profit]]&gt;=500,"Good", IF(Table1[[#This Row],[Profit]]&lt;500,"Low")))</f>
        <v>Low</v>
      </c>
      <c r="N400" s="7" t="str">
        <f>TEXT(Table1[[#This Row],[Order_Date]],"YYY")</f>
        <v>2024</v>
      </c>
    </row>
    <row r="401" spans="1:14" x14ac:dyDescent="0.3">
      <c r="A401" s="4">
        <v>45330</v>
      </c>
      <c r="B401" s="5" t="s">
        <v>16</v>
      </c>
      <c r="C401" s="5" t="s">
        <v>5</v>
      </c>
      <c r="D401" s="23">
        <v>1718.78</v>
      </c>
      <c r="E401" s="23">
        <v>617.88</v>
      </c>
      <c r="F401" s="23">
        <v>1100.9000000000001</v>
      </c>
      <c r="G401" s="5" t="s">
        <v>2</v>
      </c>
      <c r="H401" s="5" t="s">
        <v>10</v>
      </c>
      <c r="I401" s="5" t="s">
        <v>25</v>
      </c>
      <c r="J401" s="6">
        <f>Table1[[#This Row],[Profit]]/Table1[[#This Row],[Sales]]</f>
        <v>0.64051245650985011</v>
      </c>
      <c r="K401" s="5" t="str">
        <f t="shared" si="6"/>
        <v>Medium</v>
      </c>
      <c r="L401" s="5" t="str">
        <f>TEXT(Table1[[#This Row],[Order_Date]],"MMM")</f>
        <v>Feb</v>
      </c>
      <c r="M401" s="5" t="str">
        <f>IF(Table1[[#This Row],[Profit]]&gt;=1000,"Excellent",IF(Table1[[#This Row],[Profit]]&gt;=500,"Good", IF(Table1[[#This Row],[Profit]]&lt;500,"Low")))</f>
        <v>Excellent</v>
      </c>
      <c r="N401" s="7" t="str">
        <f>TEXT(Table1[[#This Row],[Order_Date]],"YYY")</f>
        <v>2024</v>
      </c>
    </row>
    <row r="402" spans="1:14" x14ac:dyDescent="0.3">
      <c r="A402" s="4">
        <v>45331</v>
      </c>
      <c r="B402" s="5" t="s">
        <v>18</v>
      </c>
      <c r="C402" s="5" t="s">
        <v>19</v>
      </c>
      <c r="D402" s="23">
        <v>7.6</v>
      </c>
      <c r="E402" s="23">
        <v>2.73</v>
      </c>
      <c r="F402" s="23">
        <v>4.87</v>
      </c>
      <c r="G402" s="5" t="s">
        <v>32</v>
      </c>
      <c r="H402" s="5" t="s">
        <v>37</v>
      </c>
      <c r="I402" s="5" t="s">
        <v>11</v>
      </c>
      <c r="J402" s="6">
        <f>Table1[[#This Row],[Profit]]/Table1[[#This Row],[Sales]]</f>
        <v>0.64078947368421058</v>
      </c>
      <c r="K402" s="5" t="str">
        <f t="shared" si="6"/>
        <v>Low</v>
      </c>
      <c r="L402" s="5" t="str">
        <f>TEXT(Table1[[#This Row],[Order_Date]],"MMM")</f>
        <v>Feb</v>
      </c>
      <c r="M402" s="5" t="str">
        <f>IF(Table1[[#This Row],[Profit]]&gt;=1000,"Excellent",IF(Table1[[#This Row],[Profit]]&gt;=500,"Good", IF(Table1[[#This Row],[Profit]]&lt;500,"Low")))</f>
        <v>Low</v>
      </c>
      <c r="N402" s="7" t="str">
        <f>TEXT(Table1[[#This Row],[Order_Date]],"YYY")</f>
        <v>2024</v>
      </c>
    </row>
    <row r="403" spans="1:14" x14ac:dyDescent="0.3">
      <c r="A403" s="4">
        <v>45331</v>
      </c>
      <c r="B403" s="5" t="s">
        <v>18</v>
      </c>
      <c r="C403" s="5" t="s">
        <v>1</v>
      </c>
      <c r="D403" s="23">
        <v>423.15</v>
      </c>
      <c r="E403" s="23">
        <v>229.96</v>
      </c>
      <c r="F403" s="23">
        <v>193.19</v>
      </c>
      <c r="G403" s="5" t="s">
        <v>20</v>
      </c>
      <c r="H403" s="5" t="s">
        <v>28</v>
      </c>
      <c r="I403" s="5" t="s">
        <v>22</v>
      </c>
      <c r="J403" s="6">
        <f>Table1[[#This Row],[Profit]]/Table1[[#This Row],[Sales]]</f>
        <v>0.4565520501004372</v>
      </c>
      <c r="K403" s="5" t="str">
        <f t="shared" si="6"/>
        <v>Low</v>
      </c>
      <c r="L403" s="5" t="str">
        <f>TEXT(Table1[[#This Row],[Order_Date]],"MMM")</f>
        <v>Feb</v>
      </c>
      <c r="M403" s="5" t="str">
        <f>IF(Table1[[#This Row],[Profit]]&gt;=1000,"Excellent",IF(Table1[[#This Row],[Profit]]&gt;=500,"Good", IF(Table1[[#This Row],[Profit]]&lt;500,"Low")))</f>
        <v>Low</v>
      </c>
      <c r="N403" s="7" t="str">
        <f>TEXT(Table1[[#This Row],[Order_Date]],"YYY")</f>
        <v>2024</v>
      </c>
    </row>
    <row r="404" spans="1:14" x14ac:dyDescent="0.3">
      <c r="A404" s="4">
        <v>45331</v>
      </c>
      <c r="B404" s="5" t="s">
        <v>16</v>
      </c>
      <c r="C404" s="5" t="s">
        <v>26</v>
      </c>
      <c r="D404" s="23">
        <v>650.66999999999996</v>
      </c>
      <c r="E404" s="23">
        <v>215.51</v>
      </c>
      <c r="F404" s="23">
        <v>435.16</v>
      </c>
      <c r="G404" s="5" t="s">
        <v>9</v>
      </c>
      <c r="H404" s="5" t="s">
        <v>24</v>
      </c>
      <c r="I404" s="5" t="s">
        <v>22</v>
      </c>
      <c r="J404" s="6">
        <f>Table1[[#This Row],[Profit]]/Table1[[#This Row],[Sales]]</f>
        <v>0.66878755744079188</v>
      </c>
      <c r="K404" s="5" t="str">
        <f t="shared" si="6"/>
        <v>Low</v>
      </c>
      <c r="L404" s="5" t="str">
        <f>TEXT(Table1[[#This Row],[Order_Date]],"MMM")</f>
        <v>Feb</v>
      </c>
      <c r="M404" s="5" t="str">
        <f>IF(Table1[[#This Row],[Profit]]&gt;=1000,"Excellent",IF(Table1[[#This Row],[Profit]]&gt;=500,"Good", IF(Table1[[#This Row],[Profit]]&lt;500,"Low")))</f>
        <v>Low</v>
      </c>
      <c r="N404" s="7" t="str">
        <f>TEXT(Table1[[#This Row],[Order_Date]],"YYY")</f>
        <v>2024</v>
      </c>
    </row>
    <row r="405" spans="1:14" x14ac:dyDescent="0.3">
      <c r="A405" s="4">
        <v>45331</v>
      </c>
      <c r="B405" s="5" t="s">
        <v>18</v>
      </c>
      <c r="C405" s="5" t="s">
        <v>1</v>
      </c>
      <c r="D405" s="23">
        <v>740.8</v>
      </c>
      <c r="E405" s="23">
        <v>377.82</v>
      </c>
      <c r="F405" s="23">
        <v>362.98</v>
      </c>
      <c r="G405" s="5" t="s">
        <v>9</v>
      </c>
      <c r="H405" s="5" t="s">
        <v>30</v>
      </c>
      <c r="I405" s="5" t="s">
        <v>22</v>
      </c>
      <c r="J405" s="6">
        <f>Table1[[#This Row],[Profit]]/Table1[[#This Row],[Sales]]</f>
        <v>0.48998380129589636</v>
      </c>
      <c r="K405" s="5" t="str">
        <f t="shared" si="6"/>
        <v>Low</v>
      </c>
      <c r="L405" s="5" t="str">
        <f>TEXT(Table1[[#This Row],[Order_Date]],"MMM")</f>
        <v>Feb</v>
      </c>
      <c r="M405" s="5" t="str">
        <f>IF(Table1[[#This Row],[Profit]]&gt;=1000,"Excellent",IF(Table1[[#This Row],[Profit]]&gt;=500,"Good", IF(Table1[[#This Row],[Profit]]&lt;500,"Low")))</f>
        <v>Low</v>
      </c>
      <c r="N405" s="7" t="str">
        <f>TEXT(Table1[[#This Row],[Order_Date]],"YYY")</f>
        <v>2024</v>
      </c>
    </row>
    <row r="406" spans="1:14" x14ac:dyDescent="0.3">
      <c r="A406" s="4">
        <v>45332</v>
      </c>
      <c r="B406" s="5" t="s">
        <v>0</v>
      </c>
      <c r="C406" s="5" t="s">
        <v>14</v>
      </c>
      <c r="D406" s="23">
        <v>237.33</v>
      </c>
      <c r="E406" s="23">
        <v>96.43</v>
      </c>
      <c r="F406" s="23">
        <v>140.9</v>
      </c>
      <c r="G406" s="5" t="s">
        <v>6</v>
      </c>
      <c r="H406" s="5" t="s">
        <v>24</v>
      </c>
      <c r="I406" s="5" t="s">
        <v>11</v>
      </c>
      <c r="J406" s="6">
        <f>Table1[[#This Row],[Profit]]/Table1[[#This Row],[Sales]]</f>
        <v>0.59368811359710105</v>
      </c>
      <c r="K406" s="5" t="str">
        <f t="shared" si="6"/>
        <v>Low</v>
      </c>
      <c r="L406" s="5" t="str">
        <f>TEXT(Table1[[#This Row],[Order_Date]],"MMM")</f>
        <v>Feb</v>
      </c>
      <c r="M406" s="5" t="str">
        <f>IF(Table1[[#This Row],[Profit]]&gt;=1000,"Excellent",IF(Table1[[#This Row],[Profit]]&gt;=500,"Good", IF(Table1[[#This Row],[Profit]]&lt;500,"Low")))</f>
        <v>Low</v>
      </c>
      <c r="N406" s="7" t="str">
        <f>TEXT(Table1[[#This Row],[Order_Date]],"YYY")</f>
        <v>2024</v>
      </c>
    </row>
    <row r="407" spans="1:14" x14ac:dyDescent="0.3">
      <c r="A407" s="4">
        <v>45332</v>
      </c>
      <c r="B407" s="5" t="s">
        <v>0</v>
      </c>
      <c r="C407" s="5" t="s">
        <v>14</v>
      </c>
      <c r="D407" s="23">
        <v>267.60000000000002</v>
      </c>
      <c r="E407" s="23">
        <v>130.21</v>
      </c>
      <c r="F407" s="23">
        <v>137.38999999999999</v>
      </c>
      <c r="G407" s="5" t="s">
        <v>20</v>
      </c>
      <c r="H407" s="5" t="s">
        <v>21</v>
      </c>
      <c r="I407" s="5" t="s">
        <v>4</v>
      </c>
      <c r="J407" s="6">
        <f>Table1[[#This Row],[Profit]]/Table1[[#This Row],[Sales]]</f>
        <v>0.51341554559043334</v>
      </c>
      <c r="K407" s="5" t="str">
        <f t="shared" si="6"/>
        <v>Low</v>
      </c>
      <c r="L407" s="5" t="str">
        <f>TEXT(Table1[[#This Row],[Order_Date]],"MMM")</f>
        <v>Feb</v>
      </c>
      <c r="M407" s="5" t="str">
        <f>IF(Table1[[#This Row],[Profit]]&gt;=1000,"Excellent",IF(Table1[[#This Row],[Profit]]&gt;=500,"Good", IF(Table1[[#This Row],[Profit]]&lt;500,"Low")))</f>
        <v>Low</v>
      </c>
      <c r="N407" s="7" t="str">
        <f>TEXT(Table1[[#This Row],[Order_Date]],"YYY")</f>
        <v>2024</v>
      </c>
    </row>
    <row r="408" spans="1:14" x14ac:dyDescent="0.3">
      <c r="A408" s="4">
        <v>45333</v>
      </c>
      <c r="B408" s="5" t="s">
        <v>8</v>
      </c>
      <c r="C408" s="5" t="s">
        <v>19</v>
      </c>
      <c r="D408" s="23">
        <v>26.59</v>
      </c>
      <c r="E408" s="23">
        <v>10.79</v>
      </c>
      <c r="F408" s="23">
        <v>15.8</v>
      </c>
      <c r="G408" s="5" t="s">
        <v>20</v>
      </c>
      <c r="H408" s="5" t="s">
        <v>12</v>
      </c>
      <c r="I408" s="5" t="s">
        <v>27</v>
      </c>
      <c r="J408" s="6">
        <f>Table1[[#This Row],[Profit]]/Table1[[#This Row],[Sales]]</f>
        <v>0.59420834900338471</v>
      </c>
      <c r="K408" s="5" t="str">
        <f t="shared" si="6"/>
        <v>Low</v>
      </c>
      <c r="L408" s="5" t="str">
        <f>TEXT(Table1[[#This Row],[Order_Date]],"MMM")</f>
        <v>Feb</v>
      </c>
      <c r="M408" s="5" t="str">
        <f>IF(Table1[[#This Row],[Profit]]&gt;=1000,"Excellent",IF(Table1[[#This Row],[Profit]]&gt;=500,"Good", IF(Table1[[#This Row],[Profit]]&lt;500,"Low")))</f>
        <v>Low</v>
      </c>
      <c r="N408" s="7" t="str">
        <f>TEXT(Table1[[#This Row],[Order_Date]],"YYY")</f>
        <v>2024</v>
      </c>
    </row>
    <row r="409" spans="1:14" x14ac:dyDescent="0.3">
      <c r="A409" s="4">
        <v>45333</v>
      </c>
      <c r="B409" s="5" t="s">
        <v>0</v>
      </c>
      <c r="C409" s="5" t="s">
        <v>5</v>
      </c>
      <c r="D409" s="23">
        <v>116.24</v>
      </c>
      <c r="E409" s="23">
        <v>48.92</v>
      </c>
      <c r="F409" s="23">
        <v>67.319999999999993</v>
      </c>
      <c r="G409" s="5" t="s">
        <v>20</v>
      </c>
      <c r="H409" s="5" t="s">
        <v>21</v>
      </c>
      <c r="I409" s="5" t="s">
        <v>27</v>
      </c>
      <c r="J409" s="6">
        <f>Table1[[#This Row],[Profit]]/Table1[[#This Row],[Sales]]</f>
        <v>0.5791465932553338</v>
      </c>
      <c r="K409" s="5" t="str">
        <f t="shared" si="6"/>
        <v>Low</v>
      </c>
      <c r="L409" s="5" t="str">
        <f>TEXT(Table1[[#This Row],[Order_Date]],"MMM")</f>
        <v>Feb</v>
      </c>
      <c r="M409" s="5" t="str">
        <f>IF(Table1[[#This Row],[Profit]]&gt;=1000,"Excellent",IF(Table1[[#This Row],[Profit]]&gt;=500,"Good", IF(Table1[[#This Row],[Profit]]&lt;500,"Low")))</f>
        <v>Low</v>
      </c>
      <c r="N409" s="7" t="str">
        <f>TEXT(Table1[[#This Row],[Order_Date]],"YYY")</f>
        <v>2024</v>
      </c>
    </row>
    <row r="410" spans="1:14" x14ac:dyDescent="0.3">
      <c r="A410" s="4">
        <v>45334</v>
      </c>
      <c r="B410" s="5" t="s">
        <v>8</v>
      </c>
      <c r="C410" s="5" t="s">
        <v>26</v>
      </c>
      <c r="D410" s="23">
        <v>925.69</v>
      </c>
      <c r="E410" s="23">
        <v>350.84</v>
      </c>
      <c r="F410" s="23">
        <v>574.85</v>
      </c>
      <c r="G410" s="5" t="s">
        <v>2</v>
      </c>
      <c r="H410" s="5" t="s">
        <v>10</v>
      </c>
      <c r="I410" s="5" t="s">
        <v>17</v>
      </c>
      <c r="J410" s="6">
        <f>Table1[[#This Row],[Profit]]/Table1[[#This Row],[Sales]]</f>
        <v>0.62099622983936309</v>
      </c>
      <c r="K410" s="5" t="str">
        <f t="shared" si="6"/>
        <v>Low</v>
      </c>
      <c r="L410" s="5" t="str">
        <f>TEXT(Table1[[#This Row],[Order_Date]],"MMM")</f>
        <v>Feb</v>
      </c>
      <c r="M410" s="5" t="str">
        <f>IF(Table1[[#This Row],[Profit]]&gt;=1000,"Excellent",IF(Table1[[#This Row],[Profit]]&gt;=500,"Good", IF(Table1[[#This Row],[Profit]]&lt;500,"Low")))</f>
        <v>Good</v>
      </c>
      <c r="N410" s="7" t="str">
        <f>TEXT(Table1[[#This Row],[Order_Date]],"YYY")</f>
        <v>2024</v>
      </c>
    </row>
    <row r="411" spans="1:14" x14ac:dyDescent="0.3">
      <c r="A411" s="4">
        <v>45334</v>
      </c>
      <c r="B411" s="5" t="s">
        <v>18</v>
      </c>
      <c r="C411" s="5" t="s">
        <v>14</v>
      </c>
      <c r="D411" s="23">
        <v>314.14999999999998</v>
      </c>
      <c r="E411" s="23">
        <v>97.86</v>
      </c>
      <c r="F411" s="23">
        <v>216.29</v>
      </c>
      <c r="G411" s="5" t="s">
        <v>2</v>
      </c>
      <c r="H411" s="5" t="s">
        <v>3</v>
      </c>
      <c r="I411" s="5" t="s">
        <v>25</v>
      </c>
      <c r="J411" s="6">
        <f>Table1[[#This Row],[Profit]]/Table1[[#This Row],[Sales]]</f>
        <v>0.68849275823651124</v>
      </c>
      <c r="K411" s="5" t="str">
        <f t="shared" si="6"/>
        <v>Low</v>
      </c>
      <c r="L411" s="5" t="str">
        <f>TEXT(Table1[[#This Row],[Order_Date]],"MMM")</f>
        <v>Feb</v>
      </c>
      <c r="M411" s="5" t="str">
        <f>IF(Table1[[#This Row],[Profit]]&gt;=1000,"Excellent",IF(Table1[[#This Row],[Profit]]&gt;=500,"Good", IF(Table1[[#This Row],[Profit]]&lt;500,"Low")))</f>
        <v>Low</v>
      </c>
      <c r="N411" s="7" t="str">
        <f>TEXT(Table1[[#This Row],[Order_Date]],"YYY")</f>
        <v>2024</v>
      </c>
    </row>
    <row r="412" spans="1:14" x14ac:dyDescent="0.3">
      <c r="A412" s="4">
        <v>45335</v>
      </c>
      <c r="B412" s="5" t="s">
        <v>8</v>
      </c>
      <c r="C412" s="5" t="s">
        <v>26</v>
      </c>
      <c r="D412" s="23">
        <v>555.23</v>
      </c>
      <c r="E412" s="23">
        <v>168.5</v>
      </c>
      <c r="F412" s="23">
        <v>386.73</v>
      </c>
      <c r="G412" s="5" t="s">
        <v>9</v>
      </c>
      <c r="H412" s="5" t="s">
        <v>10</v>
      </c>
      <c r="I412" s="5" t="s">
        <v>17</v>
      </c>
      <c r="J412" s="6">
        <f>Table1[[#This Row],[Profit]]/Table1[[#This Row],[Sales]]</f>
        <v>0.69652216198692429</v>
      </c>
      <c r="K412" s="5" t="str">
        <f t="shared" si="6"/>
        <v>Low</v>
      </c>
      <c r="L412" s="5" t="str">
        <f>TEXT(Table1[[#This Row],[Order_Date]],"MMM")</f>
        <v>Feb</v>
      </c>
      <c r="M412" s="5" t="str">
        <f>IF(Table1[[#This Row],[Profit]]&gt;=1000,"Excellent",IF(Table1[[#This Row],[Profit]]&gt;=500,"Good", IF(Table1[[#This Row],[Profit]]&lt;500,"Low")))</f>
        <v>Low</v>
      </c>
      <c r="N412" s="7" t="str">
        <f>TEXT(Table1[[#This Row],[Order_Date]],"YYY")</f>
        <v>2024</v>
      </c>
    </row>
    <row r="413" spans="1:14" x14ac:dyDescent="0.3">
      <c r="A413" s="4">
        <v>45335</v>
      </c>
      <c r="B413" s="5" t="s">
        <v>8</v>
      </c>
      <c r="C413" s="5" t="s">
        <v>26</v>
      </c>
      <c r="D413" s="23">
        <v>874.24</v>
      </c>
      <c r="E413" s="23">
        <v>320.54000000000002</v>
      </c>
      <c r="F413" s="23">
        <v>553.70000000000005</v>
      </c>
      <c r="G413" s="5" t="s">
        <v>2</v>
      </c>
      <c r="H413" s="5" t="s">
        <v>30</v>
      </c>
      <c r="I413" s="5" t="s">
        <v>4</v>
      </c>
      <c r="J413" s="6">
        <f>Table1[[#This Row],[Profit]]/Table1[[#This Row],[Sales]]</f>
        <v>0.63335010980966333</v>
      </c>
      <c r="K413" s="5" t="str">
        <f t="shared" si="6"/>
        <v>Low</v>
      </c>
      <c r="L413" s="5" t="str">
        <f>TEXT(Table1[[#This Row],[Order_Date]],"MMM")</f>
        <v>Feb</v>
      </c>
      <c r="M413" s="5" t="str">
        <f>IF(Table1[[#This Row],[Profit]]&gt;=1000,"Excellent",IF(Table1[[#This Row],[Profit]]&gt;=500,"Good", IF(Table1[[#This Row],[Profit]]&lt;500,"Low")))</f>
        <v>Good</v>
      </c>
      <c r="N413" s="7" t="str">
        <f>TEXT(Table1[[#This Row],[Order_Date]],"YYY")</f>
        <v>2024</v>
      </c>
    </row>
    <row r="414" spans="1:14" x14ac:dyDescent="0.3">
      <c r="A414" s="4">
        <v>45336</v>
      </c>
      <c r="B414" s="5" t="s">
        <v>13</v>
      </c>
      <c r="C414" s="5" t="s">
        <v>19</v>
      </c>
      <c r="D414" s="23">
        <v>144.47999999999999</v>
      </c>
      <c r="E414" s="23">
        <v>43.78</v>
      </c>
      <c r="F414" s="23">
        <v>100.7</v>
      </c>
      <c r="G414" s="5" t="s">
        <v>6</v>
      </c>
      <c r="H414" s="5" t="s">
        <v>30</v>
      </c>
      <c r="I414" s="5" t="s">
        <v>22</v>
      </c>
      <c r="J414" s="6">
        <f>Table1[[#This Row],[Profit]]/Table1[[#This Row],[Sales]]</f>
        <v>0.69698228128460693</v>
      </c>
      <c r="K414" s="5" t="str">
        <f t="shared" si="6"/>
        <v>Low</v>
      </c>
      <c r="L414" s="5" t="str">
        <f>TEXT(Table1[[#This Row],[Order_Date]],"MMM")</f>
        <v>Feb</v>
      </c>
      <c r="M414" s="5" t="str">
        <f>IF(Table1[[#This Row],[Profit]]&gt;=1000,"Excellent",IF(Table1[[#This Row],[Profit]]&gt;=500,"Good", IF(Table1[[#This Row],[Profit]]&lt;500,"Low")))</f>
        <v>Low</v>
      </c>
      <c r="N414" s="7" t="str">
        <f>TEXT(Table1[[#This Row],[Order_Date]],"YYY")</f>
        <v>2024</v>
      </c>
    </row>
    <row r="415" spans="1:14" x14ac:dyDescent="0.3">
      <c r="A415" s="4">
        <v>45336</v>
      </c>
      <c r="B415" s="5" t="s">
        <v>18</v>
      </c>
      <c r="C415" s="5" t="s">
        <v>1</v>
      </c>
      <c r="D415" s="23">
        <v>1267.07</v>
      </c>
      <c r="E415" s="23">
        <v>835.69</v>
      </c>
      <c r="F415" s="23">
        <v>431.38</v>
      </c>
      <c r="G415" s="5" t="s">
        <v>6</v>
      </c>
      <c r="H415" s="5" t="s">
        <v>33</v>
      </c>
      <c r="I415" s="5" t="s">
        <v>17</v>
      </c>
      <c r="J415" s="6">
        <f>Table1[[#This Row],[Profit]]/Table1[[#This Row],[Sales]]</f>
        <v>0.34045474993488917</v>
      </c>
      <c r="K415" s="5" t="str">
        <f t="shared" si="6"/>
        <v>Low</v>
      </c>
      <c r="L415" s="5" t="str">
        <f>TEXT(Table1[[#This Row],[Order_Date]],"MMM")</f>
        <v>Feb</v>
      </c>
      <c r="M415" s="5" t="str">
        <f>IF(Table1[[#This Row],[Profit]]&gt;=1000,"Excellent",IF(Table1[[#This Row],[Profit]]&gt;=500,"Good", IF(Table1[[#This Row],[Profit]]&lt;500,"Low")))</f>
        <v>Low</v>
      </c>
      <c r="N415" s="7" t="str">
        <f>TEXT(Table1[[#This Row],[Order_Date]],"YYY")</f>
        <v>2024</v>
      </c>
    </row>
    <row r="416" spans="1:14" x14ac:dyDescent="0.3">
      <c r="A416" s="4">
        <v>45337</v>
      </c>
      <c r="B416" s="5" t="s">
        <v>0</v>
      </c>
      <c r="C416" s="5" t="s">
        <v>26</v>
      </c>
      <c r="D416" s="23">
        <v>322.58999999999997</v>
      </c>
      <c r="E416" s="23">
        <v>115.1</v>
      </c>
      <c r="F416" s="23">
        <v>207.49</v>
      </c>
      <c r="G416" s="5" t="s">
        <v>2</v>
      </c>
      <c r="H416" s="5" t="s">
        <v>30</v>
      </c>
      <c r="I416" s="5" t="s">
        <v>4</v>
      </c>
      <c r="J416" s="6">
        <f>Table1[[#This Row],[Profit]]/Table1[[#This Row],[Sales]]</f>
        <v>0.64320034718993158</v>
      </c>
      <c r="K416" s="5" t="str">
        <f t="shared" si="6"/>
        <v>Low</v>
      </c>
      <c r="L416" s="5" t="str">
        <f>TEXT(Table1[[#This Row],[Order_Date]],"MMM")</f>
        <v>Feb</v>
      </c>
      <c r="M416" s="5" t="str">
        <f>IF(Table1[[#This Row],[Profit]]&gt;=1000,"Excellent",IF(Table1[[#This Row],[Profit]]&gt;=500,"Good", IF(Table1[[#This Row],[Profit]]&lt;500,"Low")))</f>
        <v>Low</v>
      </c>
      <c r="N416" s="7" t="str">
        <f>TEXT(Table1[[#This Row],[Order_Date]],"YYY")</f>
        <v>2024</v>
      </c>
    </row>
    <row r="417" spans="1:14" x14ac:dyDescent="0.3">
      <c r="A417" s="4">
        <v>45337</v>
      </c>
      <c r="B417" s="5" t="s">
        <v>8</v>
      </c>
      <c r="C417" s="5" t="s">
        <v>31</v>
      </c>
      <c r="D417" s="23">
        <v>21.03</v>
      </c>
      <c r="E417" s="23">
        <v>6.78</v>
      </c>
      <c r="F417" s="23">
        <v>14.25</v>
      </c>
      <c r="G417" s="5" t="s">
        <v>32</v>
      </c>
      <c r="H417" s="5" t="s">
        <v>36</v>
      </c>
      <c r="I417" s="5" t="s">
        <v>11</v>
      </c>
      <c r="J417" s="6">
        <f>Table1[[#This Row],[Profit]]/Table1[[#This Row],[Sales]]</f>
        <v>0.67760342368045645</v>
      </c>
      <c r="K417" s="5" t="str">
        <f t="shared" si="6"/>
        <v>Low</v>
      </c>
      <c r="L417" s="5" t="str">
        <f>TEXT(Table1[[#This Row],[Order_Date]],"MMM")</f>
        <v>Feb</v>
      </c>
      <c r="M417" s="5" t="str">
        <f>IF(Table1[[#This Row],[Profit]]&gt;=1000,"Excellent",IF(Table1[[#This Row],[Profit]]&gt;=500,"Good", IF(Table1[[#This Row],[Profit]]&lt;500,"Low")))</f>
        <v>Low</v>
      </c>
      <c r="N417" s="7" t="str">
        <f>TEXT(Table1[[#This Row],[Order_Date]],"YYY")</f>
        <v>2024</v>
      </c>
    </row>
    <row r="418" spans="1:14" x14ac:dyDescent="0.3">
      <c r="A418" s="4">
        <v>45339</v>
      </c>
      <c r="B418" s="5" t="s">
        <v>16</v>
      </c>
      <c r="C418" s="5" t="s">
        <v>31</v>
      </c>
      <c r="D418" s="23">
        <v>153.79</v>
      </c>
      <c r="E418" s="23">
        <v>50.4</v>
      </c>
      <c r="F418" s="23">
        <v>103.39</v>
      </c>
      <c r="G418" s="5" t="s">
        <v>6</v>
      </c>
      <c r="H418" s="5" t="s">
        <v>28</v>
      </c>
      <c r="I418" s="5" t="s">
        <v>11</v>
      </c>
      <c r="J418" s="6">
        <f>Table1[[#This Row],[Profit]]/Table1[[#This Row],[Sales]]</f>
        <v>0.67228038233955401</v>
      </c>
      <c r="K418" s="5" t="str">
        <f t="shared" si="6"/>
        <v>Low</v>
      </c>
      <c r="L418" s="5" t="str">
        <f>TEXT(Table1[[#This Row],[Order_Date]],"MMM")</f>
        <v>Feb</v>
      </c>
      <c r="M418" s="5" t="str">
        <f>IF(Table1[[#This Row],[Profit]]&gt;=1000,"Excellent",IF(Table1[[#This Row],[Profit]]&gt;=500,"Good", IF(Table1[[#This Row],[Profit]]&lt;500,"Low")))</f>
        <v>Low</v>
      </c>
      <c r="N418" s="7" t="str">
        <f>TEXT(Table1[[#This Row],[Order_Date]],"YYY")</f>
        <v>2024</v>
      </c>
    </row>
    <row r="419" spans="1:14" x14ac:dyDescent="0.3">
      <c r="A419" s="4">
        <v>45339</v>
      </c>
      <c r="B419" s="5" t="s">
        <v>0</v>
      </c>
      <c r="C419" s="5" t="s">
        <v>26</v>
      </c>
      <c r="D419" s="23">
        <v>1154.29</v>
      </c>
      <c r="E419" s="23">
        <v>454.37</v>
      </c>
      <c r="F419" s="23">
        <v>699.92</v>
      </c>
      <c r="G419" s="5" t="s">
        <v>32</v>
      </c>
      <c r="H419" s="5" t="s">
        <v>3</v>
      </c>
      <c r="I419" s="5" t="s">
        <v>27</v>
      </c>
      <c r="J419" s="6">
        <f>Table1[[#This Row],[Profit]]/Table1[[#This Row],[Sales]]</f>
        <v>0.60636408528186159</v>
      </c>
      <c r="K419" s="5" t="str">
        <f t="shared" si="6"/>
        <v>Low</v>
      </c>
      <c r="L419" s="5" t="str">
        <f>TEXT(Table1[[#This Row],[Order_Date]],"MMM")</f>
        <v>Feb</v>
      </c>
      <c r="M419" s="5" t="str">
        <f>IF(Table1[[#This Row],[Profit]]&gt;=1000,"Excellent",IF(Table1[[#This Row],[Profit]]&gt;=500,"Good", IF(Table1[[#This Row],[Profit]]&lt;500,"Low")))</f>
        <v>Good</v>
      </c>
      <c r="N419" s="7" t="str">
        <f>TEXT(Table1[[#This Row],[Order_Date]],"YYY")</f>
        <v>2024</v>
      </c>
    </row>
    <row r="420" spans="1:14" x14ac:dyDescent="0.3">
      <c r="A420" s="4">
        <v>45340</v>
      </c>
      <c r="B420" s="5" t="s">
        <v>0</v>
      </c>
      <c r="C420" s="5" t="s">
        <v>19</v>
      </c>
      <c r="D420" s="23">
        <v>65.67</v>
      </c>
      <c r="E420" s="23">
        <v>18.329999999999998</v>
      </c>
      <c r="F420" s="23">
        <v>47.34</v>
      </c>
      <c r="G420" s="5" t="s">
        <v>2</v>
      </c>
      <c r="H420" s="5" t="s">
        <v>10</v>
      </c>
      <c r="I420" s="5" t="s">
        <v>22</v>
      </c>
      <c r="J420" s="6">
        <f>Table1[[#This Row],[Profit]]/Table1[[#This Row],[Sales]]</f>
        <v>0.72087711283691192</v>
      </c>
      <c r="K420" s="5" t="str">
        <f t="shared" si="6"/>
        <v>Low</v>
      </c>
      <c r="L420" s="5" t="str">
        <f>TEXT(Table1[[#This Row],[Order_Date]],"MMM")</f>
        <v>Feb</v>
      </c>
      <c r="M420" s="5" t="str">
        <f>IF(Table1[[#This Row],[Profit]]&gt;=1000,"Excellent",IF(Table1[[#This Row],[Profit]]&gt;=500,"Good", IF(Table1[[#This Row],[Profit]]&lt;500,"Low")))</f>
        <v>Low</v>
      </c>
      <c r="N420" s="7" t="str">
        <f>TEXT(Table1[[#This Row],[Order_Date]],"YYY")</f>
        <v>2024</v>
      </c>
    </row>
    <row r="421" spans="1:14" x14ac:dyDescent="0.3">
      <c r="A421" s="4">
        <v>45341</v>
      </c>
      <c r="B421" s="5" t="s">
        <v>18</v>
      </c>
      <c r="C421" s="5" t="s">
        <v>14</v>
      </c>
      <c r="D421" s="23">
        <v>178.93</v>
      </c>
      <c r="E421" s="23">
        <v>64.400000000000006</v>
      </c>
      <c r="F421" s="23">
        <v>114.53</v>
      </c>
      <c r="G421" s="5" t="s">
        <v>9</v>
      </c>
      <c r="H421" s="5" t="s">
        <v>10</v>
      </c>
      <c r="I421" s="5" t="s">
        <v>27</v>
      </c>
      <c r="J421" s="6">
        <f>Table1[[#This Row],[Profit]]/Table1[[#This Row],[Sales]]</f>
        <v>0.64008271391046778</v>
      </c>
      <c r="K421" s="5" t="str">
        <f t="shared" si="6"/>
        <v>Low</v>
      </c>
      <c r="L421" s="5" t="str">
        <f>TEXT(Table1[[#This Row],[Order_Date]],"MMM")</f>
        <v>Feb</v>
      </c>
      <c r="M421" s="5" t="str">
        <f>IF(Table1[[#This Row],[Profit]]&gt;=1000,"Excellent",IF(Table1[[#This Row],[Profit]]&gt;=500,"Good", IF(Table1[[#This Row],[Profit]]&lt;500,"Low")))</f>
        <v>Low</v>
      </c>
      <c r="N421" s="7" t="str">
        <f>TEXT(Table1[[#This Row],[Order_Date]],"YYY")</f>
        <v>2024</v>
      </c>
    </row>
    <row r="422" spans="1:14" x14ac:dyDescent="0.3">
      <c r="A422" s="4">
        <v>45341</v>
      </c>
      <c r="B422" s="5" t="s">
        <v>8</v>
      </c>
      <c r="C422" s="5" t="s">
        <v>23</v>
      </c>
      <c r="D422" s="23">
        <v>561.20000000000005</v>
      </c>
      <c r="E422" s="23">
        <v>184.03</v>
      </c>
      <c r="F422" s="23">
        <v>377.17</v>
      </c>
      <c r="G422" s="5" t="s">
        <v>32</v>
      </c>
      <c r="H422" s="5" t="s">
        <v>35</v>
      </c>
      <c r="I422" s="5" t="s">
        <v>4</v>
      </c>
      <c r="J422" s="6">
        <f>Table1[[#This Row],[Profit]]/Table1[[#This Row],[Sales]]</f>
        <v>0.67207769066286527</v>
      </c>
      <c r="K422" s="5" t="str">
        <f t="shared" si="6"/>
        <v>Low</v>
      </c>
      <c r="L422" s="5" t="str">
        <f>TEXT(Table1[[#This Row],[Order_Date]],"MMM")</f>
        <v>Feb</v>
      </c>
      <c r="M422" s="5" t="str">
        <f>IF(Table1[[#This Row],[Profit]]&gt;=1000,"Excellent",IF(Table1[[#This Row],[Profit]]&gt;=500,"Good", IF(Table1[[#This Row],[Profit]]&lt;500,"Low")))</f>
        <v>Low</v>
      </c>
      <c r="N422" s="7" t="str">
        <f>TEXT(Table1[[#This Row],[Order_Date]],"YYY")</f>
        <v>2024</v>
      </c>
    </row>
    <row r="423" spans="1:14" x14ac:dyDescent="0.3">
      <c r="A423" s="4">
        <v>45341</v>
      </c>
      <c r="B423" s="5" t="s">
        <v>18</v>
      </c>
      <c r="C423" s="5" t="s">
        <v>19</v>
      </c>
      <c r="D423" s="23">
        <v>22.79</v>
      </c>
      <c r="E423" s="23">
        <v>9.51</v>
      </c>
      <c r="F423" s="23">
        <v>13.28</v>
      </c>
      <c r="G423" s="5" t="s">
        <v>6</v>
      </c>
      <c r="H423" s="5" t="s">
        <v>10</v>
      </c>
      <c r="I423" s="5" t="s">
        <v>22</v>
      </c>
      <c r="J423" s="6">
        <f>Table1[[#This Row],[Profit]]/Table1[[#This Row],[Sales]]</f>
        <v>0.58271171566476521</v>
      </c>
      <c r="K423" s="5" t="str">
        <f t="shared" si="6"/>
        <v>Low</v>
      </c>
      <c r="L423" s="5" t="str">
        <f>TEXT(Table1[[#This Row],[Order_Date]],"MMM")</f>
        <v>Feb</v>
      </c>
      <c r="M423" s="5" t="str">
        <f>IF(Table1[[#This Row],[Profit]]&gt;=1000,"Excellent",IF(Table1[[#This Row],[Profit]]&gt;=500,"Good", IF(Table1[[#This Row],[Profit]]&lt;500,"Low")))</f>
        <v>Low</v>
      </c>
      <c r="N423" s="7" t="str">
        <f>TEXT(Table1[[#This Row],[Order_Date]],"YYY")</f>
        <v>2024</v>
      </c>
    </row>
    <row r="424" spans="1:14" x14ac:dyDescent="0.3">
      <c r="A424" s="4">
        <v>45341</v>
      </c>
      <c r="B424" s="5" t="s">
        <v>16</v>
      </c>
      <c r="C424" s="5" t="s">
        <v>14</v>
      </c>
      <c r="D424" s="23">
        <v>376.03</v>
      </c>
      <c r="E424" s="23">
        <v>114.23</v>
      </c>
      <c r="F424" s="23">
        <v>261.8</v>
      </c>
      <c r="G424" s="5" t="s">
        <v>32</v>
      </c>
      <c r="H424" s="5" t="s">
        <v>24</v>
      </c>
      <c r="I424" s="5" t="s">
        <v>27</v>
      </c>
      <c r="J424" s="6">
        <f>Table1[[#This Row],[Profit]]/Table1[[#This Row],[Sales]]</f>
        <v>0.69622104619312297</v>
      </c>
      <c r="K424" s="5" t="str">
        <f t="shared" si="6"/>
        <v>Low</v>
      </c>
      <c r="L424" s="5" t="str">
        <f>TEXT(Table1[[#This Row],[Order_Date]],"MMM")</f>
        <v>Feb</v>
      </c>
      <c r="M424" s="5" t="str">
        <f>IF(Table1[[#This Row],[Profit]]&gt;=1000,"Excellent",IF(Table1[[#This Row],[Profit]]&gt;=500,"Good", IF(Table1[[#This Row],[Profit]]&lt;500,"Low")))</f>
        <v>Low</v>
      </c>
      <c r="N424" s="7" t="str">
        <f>TEXT(Table1[[#This Row],[Order_Date]],"YYY")</f>
        <v>2024</v>
      </c>
    </row>
    <row r="425" spans="1:14" x14ac:dyDescent="0.3">
      <c r="A425" s="4">
        <v>45341</v>
      </c>
      <c r="B425" s="5" t="s">
        <v>16</v>
      </c>
      <c r="C425" s="5" t="s">
        <v>23</v>
      </c>
      <c r="D425" s="23">
        <v>318.2</v>
      </c>
      <c r="E425" s="23">
        <v>94.69</v>
      </c>
      <c r="F425" s="23">
        <v>223.51</v>
      </c>
      <c r="G425" s="5" t="s">
        <v>9</v>
      </c>
      <c r="H425" s="5" t="s">
        <v>34</v>
      </c>
      <c r="I425" s="5" t="s">
        <v>17</v>
      </c>
      <c r="J425" s="6">
        <f>Table1[[#This Row],[Profit]]/Table1[[#This Row],[Sales]]</f>
        <v>0.70241986172218729</v>
      </c>
      <c r="K425" s="5" t="str">
        <f t="shared" si="6"/>
        <v>Low</v>
      </c>
      <c r="L425" s="5" t="str">
        <f>TEXT(Table1[[#This Row],[Order_Date]],"MMM")</f>
        <v>Feb</v>
      </c>
      <c r="M425" s="5" t="str">
        <f>IF(Table1[[#This Row],[Profit]]&gt;=1000,"Excellent",IF(Table1[[#This Row],[Profit]]&gt;=500,"Good", IF(Table1[[#This Row],[Profit]]&lt;500,"Low")))</f>
        <v>Low</v>
      </c>
      <c r="N425" s="7" t="str">
        <f>TEXT(Table1[[#This Row],[Order_Date]],"YYY")</f>
        <v>2024</v>
      </c>
    </row>
    <row r="426" spans="1:14" x14ac:dyDescent="0.3">
      <c r="A426" s="4">
        <v>45342</v>
      </c>
      <c r="B426" s="5" t="s">
        <v>8</v>
      </c>
      <c r="C426" s="5" t="s">
        <v>1</v>
      </c>
      <c r="D426" s="23">
        <v>448.79</v>
      </c>
      <c r="E426" s="23">
        <v>289.11</v>
      </c>
      <c r="F426" s="23">
        <v>159.68</v>
      </c>
      <c r="G426" s="5" t="s">
        <v>32</v>
      </c>
      <c r="H426" s="5" t="s">
        <v>7</v>
      </c>
      <c r="I426" s="5" t="s">
        <v>11</v>
      </c>
      <c r="J426" s="6">
        <f>Table1[[#This Row],[Profit]]/Table1[[#This Row],[Sales]]</f>
        <v>0.35580115421466613</v>
      </c>
      <c r="K426" s="5" t="str">
        <f t="shared" si="6"/>
        <v>Low</v>
      </c>
      <c r="L426" s="5" t="str">
        <f>TEXT(Table1[[#This Row],[Order_Date]],"MMM")</f>
        <v>Feb</v>
      </c>
      <c r="M426" s="5" t="str">
        <f>IF(Table1[[#This Row],[Profit]]&gt;=1000,"Excellent",IF(Table1[[#This Row],[Profit]]&gt;=500,"Good", IF(Table1[[#This Row],[Profit]]&lt;500,"Low")))</f>
        <v>Low</v>
      </c>
      <c r="N426" s="7" t="str">
        <f>TEXT(Table1[[#This Row],[Order_Date]],"YYY")</f>
        <v>2024</v>
      </c>
    </row>
    <row r="427" spans="1:14" x14ac:dyDescent="0.3">
      <c r="A427" s="4">
        <v>45342</v>
      </c>
      <c r="B427" s="5" t="s">
        <v>8</v>
      </c>
      <c r="C427" s="5" t="s">
        <v>26</v>
      </c>
      <c r="D427" s="23">
        <v>963.43</v>
      </c>
      <c r="E427" s="23">
        <v>287.62</v>
      </c>
      <c r="F427" s="23">
        <v>675.81</v>
      </c>
      <c r="G427" s="5" t="s">
        <v>32</v>
      </c>
      <c r="H427" s="5" t="s">
        <v>34</v>
      </c>
      <c r="I427" s="5" t="s">
        <v>25</v>
      </c>
      <c r="J427" s="6">
        <f>Table1[[#This Row],[Profit]]/Table1[[#This Row],[Sales]]</f>
        <v>0.70146248300343561</v>
      </c>
      <c r="K427" s="5" t="str">
        <f t="shared" si="6"/>
        <v>Low</v>
      </c>
      <c r="L427" s="5" t="str">
        <f>TEXT(Table1[[#This Row],[Order_Date]],"MMM")</f>
        <v>Feb</v>
      </c>
      <c r="M427" s="5" t="str">
        <f>IF(Table1[[#This Row],[Profit]]&gt;=1000,"Excellent",IF(Table1[[#This Row],[Profit]]&gt;=500,"Good", IF(Table1[[#This Row],[Profit]]&lt;500,"Low")))</f>
        <v>Good</v>
      </c>
      <c r="N427" s="7" t="str">
        <f>TEXT(Table1[[#This Row],[Order_Date]],"YYY")</f>
        <v>2024</v>
      </c>
    </row>
    <row r="428" spans="1:14" x14ac:dyDescent="0.3">
      <c r="A428" s="4">
        <v>45342</v>
      </c>
      <c r="B428" s="5" t="s">
        <v>13</v>
      </c>
      <c r="C428" s="5" t="s">
        <v>1</v>
      </c>
      <c r="D428" s="23">
        <v>103.09</v>
      </c>
      <c r="E428" s="23">
        <v>53.13</v>
      </c>
      <c r="F428" s="23">
        <v>49.96</v>
      </c>
      <c r="G428" s="5" t="s">
        <v>9</v>
      </c>
      <c r="H428" s="5" t="s">
        <v>37</v>
      </c>
      <c r="I428" s="5" t="s">
        <v>25</v>
      </c>
      <c r="J428" s="6">
        <f>Table1[[#This Row],[Profit]]/Table1[[#This Row],[Sales]]</f>
        <v>0.48462508487729167</v>
      </c>
      <c r="K428" s="5" t="str">
        <f t="shared" si="6"/>
        <v>Low</v>
      </c>
      <c r="L428" s="5" t="str">
        <f>TEXT(Table1[[#This Row],[Order_Date]],"MMM")</f>
        <v>Feb</v>
      </c>
      <c r="M428" s="5" t="str">
        <f>IF(Table1[[#This Row],[Profit]]&gt;=1000,"Excellent",IF(Table1[[#This Row],[Profit]]&gt;=500,"Good", IF(Table1[[#This Row],[Profit]]&lt;500,"Low")))</f>
        <v>Low</v>
      </c>
      <c r="N428" s="7" t="str">
        <f>TEXT(Table1[[#This Row],[Order_Date]],"YYY")</f>
        <v>2024</v>
      </c>
    </row>
    <row r="429" spans="1:14" x14ac:dyDescent="0.3">
      <c r="A429" s="4">
        <v>45344</v>
      </c>
      <c r="B429" s="5" t="s">
        <v>0</v>
      </c>
      <c r="C429" s="5" t="s">
        <v>14</v>
      </c>
      <c r="D429" s="23">
        <v>262.47000000000003</v>
      </c>
      <c r="E429" s="23">
        <v>139.69999999999999</v>
      </c>
      <c r="F429" s="23">
        <v>122.77</v>
      </c>
      <c r="G429" s="5" t="s">
        <v>32</v>
      </c>
      <c r="H429" s="5" t="s">
        <v>15</v>
      </c>
      <c r="I429" s="5" t="s">
        <v>27</v>
      </c>
      <c r="J429" s="6">
        <f>Table1[[#This Row],[Profit]]/Table1[[#This Row],[Sales]]</f>
        <v>0.4677486950889625</v>
      </c>
      <c r="K429" s="5" t="str">
        <f t="shared" si="6"/>
        <v>Low</v>
      </c>
      <c r="L429" s="5" t="str">
        <f>TEXT(Table1[[#This Row],[Order_Date]],"MMM")</f>
        <v>Feb</v>
      </c>
      <c r="M429" s="5" t="str">
        <f>IF(Table1[[#This Row],[Profit]]&gt;=1000,"Excellent",IF(Table1[[#This Row],[Profit]]&gt;=500,"Good", IF(Table1[[#This Row],[Profit]]&lt;500,"Low")))</f>
        <v>Low</v>
      </c>
      <c r="N429" s="7" t="str">
        <f>TEXT(Table1[[#This Row],[Order_Date]],"YYY")</f>
        <v>2024</v>
      </c>
    </row>
    <row r="430" spans="1:14" x14ac:dyDescent="0.3">
      <c r="A430" s="4">
        <v>45344</v>
      </c>
      <c r="B430" s="5" t="s">
        <v>0</v>
      </c>
      <c r="C430" s="5" t="s">
        <v>1</v>
      </c>
      <c r="D430" s="23">
        <v>1273.48</v>
      </c>
      <c r="E430" s="23">
        <v>601.25</v>
      </c>
      <c r="F430" s="23">
        <v>672.23</v>
      </c>
      <c r="G430" s="5" t="s">
        <v>2</v>
      </c>
      <c r="H430" s="5" t="s">
        <v>37</v>
      </c>
      <c r="I430" s="5" t="s">
        <v>22</v>
      </c>
      <c r="J430" s="6">
        <f>Table1[[#This Row],[Profit]]/Table1[[#This Row],[Sales]]</f>
        <v>0.527868517762352</v>
      </c>
      <c r="K430" s="5" t="str">
        <f t="shared" si="6"/>
        <v>Low</v>
      </c>
      <c r="L430" s="5" t="str">
        <f>TEXT(Table1[[#This Row],[Order_Date]],"MMM")</f>
        <v>Feb</v>
      </c>
      <c r="M430" s="5" t="str">
        <f>IF(Table1[[#This Row],[Profit]]&gt;=1000,"Excellent",IF(Table1[[#This Row],[Profit]]&gt;=500,"Good", IF(Table1[[#This Row],[Profit]]&lt;500,"Low")))</f>
        <v>Good</v>
      </c>
      <c r="N430" s="7" t="str">
        <f>TEXT(Table1[[#This Row],[Order_Date]],"YYY")</f>
        <v>2024</v>
      </c>
    </row>
    <row r="431" spans="1:14" x14ac:dyDescent="0.3">
      <c r="A431" s="4">
        <v>45344</v>
      </c>
      <c r="B431" s="5" t="s">
        <v>16</v>
      </c>
      <c r="C431" s="5" t="s">
        <v>31</v>
      </c>
      <c r="D431" s="23">
        <v>241.59</v>
      </c>
      <c r="E431" s="23">
        <v>55.74</v>
      </c>
      <c r="F431" s="23">
        <v>185.85</v>
      </c>
      <c r="G431" s="5" t="s">
        <v>32</v>
      </c>
      <c r="H431" s="5" t="s">
        <v>3</v>
      </c>
      <c r="I431" s="5" t="s">
        <v>17</v>
      </c>
      <c r="J431" s="6">
        <f>Table1[[#This Row],[Profit]]/Table1[[#This Row],[Sales]]</f>
        <v>0.7692785297404694</v>
      </c>
      <c r="K431" s="5" t="str">
        <f t="shared" si="6"/>
        <v>Low</v>
      </c>
      <c r="L431" s="5" t="str">
        <f>TEXT(Table1[[#This Row],[Order_Date]],"MMM")</f>
        <v>Feb</v>
      </c>
      <c r="M431" s="5" t="str">
        <f>IF(Table1[[#This Row],[Profit]]&gt;=1000,"Excellent",IF(Table1[[#This Row],[Profit]]&gt;=500,"Good", IF(Table1[[#This Row],[Profit]]&lt;500,"Low")))</f>
        <v>Low</v>
      </c>
      <c r="N431" s="7" t="str">
        <f>TEXT(Table1[[#This Row],[Order_Date]],"YYY")</f>
        <v>2024</v>
      </c>
    </row>
    <row r="432" spans="1:14" x14ac:dyDescent="0.3">
      <c r="A432" s="4">
        <v>45344</v>
      </c>
      <c r="B432" s="5" t="s">
        <v>18</v>
      </c>
      <c r="C432" s="5" t="s">
        <v>14</v>
      </c>
      <c r="D432" s="23">
        <v>393.68</v>
      </c>
      <c r="E432" s="23">
        <v>132.26</v>
      </c>
      <c r="F432" s="23">
        <v>261.42</v>
      </c>
      <c r="G432" s="5" t="s">
        <v>20</v>
      </c>
      <c r="H432" s="5" t="s">
        <v>29</v>
      </c>
      <c r="I432" s="5" t="s">
        <v>22</v>
      </c>
      <c r="J432" s="6">
        <f>Table1[[#This Row],[Profit]]/Table1[[#This Row],[Sales]]</f>
        <v>0.66404186141028254</v>
      </c>
      <c r="K432" s="5" t="str">
        <f t="shared" si="6"/>
        <v>Low</v>
      </c>
      <c r="L432" s="5" t="str">
        <f>TEXT(Table1[[#This Row],[Order_Date]],"MMM")</f>
        <v>Feb</v>
      </c>
      <c r="M432" s="5" t="str">
        <f>IF(Table1[[#This Row],[Profit]]&gt;=1000,"Excellent",IF(Table1[[#This Row],[Profit]]&gt;=500,"Good", IF(Table1[[#This Row],[Profit]]&lt;500,"Low")))</f>
        <v>Low</v>
      </c>
      <c r="N432" s="7" t="str">
        <f>TEXT(Table1[[#This Row],[Order_Date]],"YYY")</f>
        <v>2024</v>
      </c>
    </row>
    <row r="433" spans="1:14" x14ac:dyDescent="0.3">
      <c r="A433" s="4">
        <v>45345</v>
      </c>
      <c r="B433" s="5" t="s">
        <v>16</v>
      </c>
      <c r="C433" s="5" t="s">
        <v>26</v>
      </c>
      <c r="D433" s="23">
        <v>431.28</v>
      </c>
      <c r="E433" s="23">
        <v>147.22999999999999</v>
      </c>
      <c r="F433" s="23">
        <v>284.05</v>
      </c>
      <c r="G433" s="5" t="s">
        <v>6</v>
      </c>
      <c r="H433" s="5" t="s">
        <v>28</v>
      </c>
      <c r="I433" s="5" t="s">
        <v>25</v>
      </c>
      <c r="J433" s="6">
        <f>Table1[[#This Row],[Profit]]/Table1[[#This Row],[Sales]]</f>
        <v>0.6586208495640884</v>
      </c>
      <c r="K433" s="5" t="str">
        <f t="shared" si="6"/>
        <v>Low</v>
      </c>
      <c r="L433" s="5" t="str">
        <f>TEXT(Table1[[#This Row],[Order_Date]],"MMM")</f>
        <v>Feb</v>
      </c>
      <c r="M433" s="5" t="str">
        <f>IF(Table1[[#This Row],[Profit]]&gt;=1000,"Excellent",IF(Table1[[#This Row],[Profit]]&gt;=500,"Good", IF(Table1[[#This Row],[Profit]]&lt;500,"Low")))</f>
        <v>Low</v>
      </c>
      <c r="N433" s="7" t="str">
        <f>TEXT(Table1[[#This Row],[Order_Date]],"YYY")</f>
        <v>2024</v>
      </c>
    </row>
    <row r="434" spans="1:14" x14ac:dyDescent="0.3">
      <c r="A434" s="4">
        <v>45345</v>
      </c>
      <c r="B434" s="5" t="s">
        <v>18</v>
      </c>
      <c r="C434" s="5" t="s">
        <v>14</v>
      </c>
      <c r="D434" s="23">
        <v>37.47</v>
      </c>
      <c r="E434" s="23">
        <v>18.16</v>
      </c>
      <c r="F434" s="23">
        <v>19.309999999999999</v>
      </c>
      <c r="G434" s="5" t="s">
        <v>6</v>
      </c>
      <c r="H434" s="5" t="s">
        <v>24</v>
      </c>
      <c r="I434" s="5" t="s">
        <v>11</v>
      </c>
      <c r="J434" s="6">
        <f>Table1[[#This Row],[Profit]]/Table1[[#This Row],[Sales]]</f>
        <v>0.51534560982119026</v>
      </c>
      <c r="K434" s="5" t="str">
        <f t="shared" si="6"/>
        <v>Low</v>
      </c>
      <c r="L434" s="5" t="str">
        <f>TEXT(Table1[[#This Row],[Order_Date]],"MMM")</f>
        <v>Feb</v>
      </c>
      <c r="M434" s="5" t="str">
        <f>IF(Table1[[#This Row],[Profit]]&gt;=1000,"Excellent",IF(Table1[[#This Row],[Profit]]&gt;=500,"Good", IF(Table1[[#This Row],[Profit]]&lt;500,"Low")))</f>
        <v>Low</v>
      </c>
      <c r="N434" s="7" t="str">
        <f>TEXT(Table1[[#This Row],[Order_Date]],"YYY")</f>
        <v>2024</v>
      </c>
    </row>
    <row r="435" spans="1:14" x14ac:dyDescent="0.3">
      <c r="A435" s="4">
        <v>45346</v>
      </c>
      <c r="B435" s="5" t="s">
        <v>18</v>
      </c>
      <c r="C435" s="5" t="s">
        <v>1</v>
      </c>
      <c r="D435" s="23">
        <v>744.28</v>
      </c>
      <c r="E435" s="23">
        <v>481.79</v>
      </c>
      <c r="F435" s="23">
        <v>262.49</v>
      </c>
      <c r="G435" s="5" t="s">
        <v>9</v>
      </c>
      <c r="H435" s="5" t="s">
        <v>7</v>
      </c>
      <c r="I435" s="5" t="s">
        <v>17</v>
      </c>
      <c r="J435" s="6">
        <f>Table1[[#This Row],[Profit]]/Table1[[#This Row],[Sales]]</f>
        <v>0.35267641210297201</v>
      </c>
      <c r="K435" s="5" t="str">
        <f t="shared" si="6"/>
        <v>Low</v>
      </c>
      <c r="L435" s="5" t="str">
        <f>TEXT(Table1[[#This Row],[Order_Date]],"MMM")</f>
        <v>Feb</v>
      </c>
      <c r="M435" s="5" t="str">
        <f>IF(Table1[[#This Row],[Profit]]&gt;=1000,"Excellent",IF(Table1[[#This Row],[Profit]]&gt;=500,"Good", IF(Table1[[#This Row],[Profit]]&lt;500,"Low")))</f>
        <v>Low</v>
      </c>
      <c r="N435" s="7" t="str">
        <f>TEXT(Table1[[#This Row],[Order_Date]],"YYY")</f>
        <v>2024</v>
      </c>
    </row>
    <row r="436" spans="1:14" x14ac:dyDescent="0.3">
      <c r="A436" s="4">
        <v>45346</v>
      </c>
      <c r="B436" s="5" t="s">
        <v>0</v>
      </c>
      <c r="C436" s="5" t="s">
        <v>14</v>
      </c>
      <c r="D436" s="23">
        <v>182.79</v>
      </c>
      <c r="E436" s="23">
        <v>92.45</v>
      </c>
      <c r="F436" s="23">
        <v>90.34</v>
      </c>
      <c r="G436" s="5" t="s">
        <v>20</v>
      </c>
      <c r="H436" s="5" t="s">
        <v>37</v>
      </c>
      <c r="I436" s="5" t="s">
        <v>4</v>
      </c>
      <c r="J436" s="6">
        <f>Table1[[#This Row],[Profit]]/Table1[[#This Row],[Sales]]</f>
        <v>0.49422834947207184</v>
      </c>
      <c r="K436" s="5" t="str">
        <f t="shared" si="6"/>
        <v>Low</v>
      </c>
      <c r="L436" s="5" t="str">
        <f>TEXT(Table1[[#This Row],[Order_Date]],"MMM")</f>
        <v>Feb</v>
      </c>
      <c r="M436" s="5" t="str">
        <f>IF(Table1[[#This Row],[Profit]]&gt;=1000,"Excellent",IF(Table1[[#This Row],[Profit]]&gt;=500,"Good", IF(Table1[[#This Row],[Profit]]&lt;500,"Low")))</f>
        <v>Low</v>
      </c>
      <c r="N436" s="7" t="str">
        <f>TEXT(Table1[[#This Row],[Order_Date]],"YYY")</f>
        <v>2024</v>
      </c>
    </row>
    <row r="437" spans="1:14" x14ac:dyDescent="0.3">
      <c r="A437" s="4">
        <v>45347</v>
      </c>
      <c r="B437" s="5" t="s">
        <v>8</v>
      </c>
      <c r="C437" s="5" t="s">
        <v>14</v>
      </c>
      <c r="D437" s="23">
        <v>206.86</v>
      </c>
      <c r="E437" s="23">
        <v>83.93</v>
      </c>
      <c r="F437" s="23">
        <v>122.93</v>
      </c>
      <c r="G437" s="5" t="s">
        <v>32</v>
      </c>
      <c r="H437" s="5" t="s">
        <v>37</v>
      </c>
      <c r="I437" s="5" t="s">
        <v>22</v>
      </c>
      <c r="J437" s="6">
        <f>Table1[[#This Row],[Profit]]/Table1[[#This Row],[Sales]]</f>
        <v>0.59426665377550036</v>
      </c>
      <c r="K437" s="5" t="str">
        <f t="shared" si="6"/>
        <v>Low</v>
      </c>
      <c r="L437" s="5" t="str">
        <f>TEXT(Table1[[#This Row],[Order_Date]],"MMM")</f>
        <v>Feb</v>
      </c>
      <c r="M437" s="5" t="str">
        <f>IF(Table1[[#This Row],[Profit]]&gt;=1000,"Excellent",IF(Table1[[#This Row],[Profit]]&gt;=500,"Good", IF(Table1[[#This Row],[Profit]]&lt;500,"Low")))</f>
        <v>Low</v>
      </c>
      <c r="N437" s="7" t="str">
        <f>TEXT(Table1[[#This Row],[Order_Date]],"YYY")</f>
        <v>2024</v>
      </c>
    </row>
    <row r="438" spans="1:14" x14ac:dyDescent="0.3">
      <c r="A438" s="4">
        <v>45348</v>
      </c>
      <c r="B438" s="5" t="s">
        <v>16</v>
      </c>
      <c r="C438" s="5" t="s">
        <v>1</v>
      </c>
      <c r="D438" s="23">
        <v>1304.96</v>
      </c>
      <c r="E438" s="23">
        <v>773.17</v>
      </c>
      <c r="F438" s="23">
        <v>531.79</v>
      </c>
      <c r="G438" s="5" t="s">
        <v>9</v>
      </c>
      <c r="H438" s="5" t="s">
        <v>21</v>
      </c>
      <c r="I438" s="5" t="s">
        <v>27</v>
      </c>
      <c r="J438" s="6">
        <f>Table1[[#This Row],[Profit]]/Table1[[#This Row],[Sales]]</f>
        <v>0.4075144065718489</v>
      </c>
      <c r="K438" s="5" t="str">
        <f t="shared" si="6"/>
        <v>Low</v>
      </c>
      <c r="L438" s="5" t="str">
        <f>TEXT(Table1[[#This Row],[Order_Date]],"MMM")</f>
        <v>Feb</v>
      </c>
      <c r="M438" s="5" t="str">
        <f>IF(Table1[[#This Row],[Profit]]&gt;=1000,"Excellent",IF(Table1[[#This Row],[Profit]]&gt;=500,"Good", IF(Table1[[#This Row],[Profit]]&lt;500,"Low")))</f>
        <v>Good</v>
      </c>
      <c r="N438" s="7" t="str">
        <f>TEXT(Table1[[#This Row],[Order_Date]],"YYY")</f>
        <v>2024</v>
      </c>
    </row>
    <row r="439" spans="1:14" x14ac:dyDescent="0.3">
      <c r="A439" s="4">
        <v>45349</v>
      </c>
      <c r="B439" s="5" t="s">
        <v>18</v>
      </c>
      <c r="C439" s="5" t="s">
        <v>26</v>
      </c>
      <c r="D439" s="23">
        <v>297.79000000000002</v>
      </c>
      <c r="E439" s="23">
        <v>76.44</v>
      </c>
      <c r="F439" s="23">
        <v>221.35</v>
      </c>
      <c r="G439" s="5" t="s">
        <v>2</v>
      </c>
      <c r="H439" s="5" t="s">
        <v>35</v>
      </c>
      <c r="I439" s="5" t="s">
        <v>4</v>
      </c>
      <c r="J439" s="6">
        <f>Table1[[#This Row],[Profit]]/Table1[[#This Row],[Sales]]</f>
        <v>0.74330904328553671</v>
      </c>
      <c r="K439" s="5" t="str">
        <f t="shared" si="6"/>
        <v>Low</v>
      </c>
      <c r="L439" s="5" t="str">
        <f>TEXT(Table1[[#This Row],[Order_Date]],"MMM")</f>
        <v>Feb</v>
      </c>
      <c r="M439" s="5" t="str">
        <f>IF(Table1[[#This Row],[Profit]]&gt;=1000,"Excellent",IF(Table1[[#This Row],[Profit]]&gt;=500,"Good", IF(Table1[[#This Row],[Profit]]&lt;500,"Low")))</f>
        <v>Low</v>
      </c>
      <c r="N439" s="7" t="str">
        <f>TEXT(Table1[[#This Row],[Order_Date]],"YYY")</f>
        <v>2024</v>
      </c>
    </row>
    <row r="440" spans="1:14" x14ac:dyDescent="0.3">
      <c r="A440" s="4">
        <v>45349</v>
      </c>
      <c r="B440" s="5" t="s">
        <v>8</v>
      </c>
      <c r="C440" s="5" t="s">
        <v>23</v>
      </c>
      <c r="D440" s="23">
        <v>328.48</v>
      </c>
      <c r="E440" s="23">
        <v>156.34</v>
      </c>
      <c r="F440" s="23">
        <v>172.14</v>
      </c>
      <c r="G440" s="5" t="s">
        <v>9</v>
      </c>
      <c r="H440" s="5" t="s">
        <v>10</v>
      </c>
      <c r="I440" s="5" t="s">
        <v>11</v>
      </c>
      <c r="J440" s="6">
        <f>Table1[[#This Row],[Profit]]/Table1[[#This Row],[Sales]]</f>
        <v>0.52405017048222102</v>
      </c>
      <c r="K440" s="5" t="str">
        <f t="shared" si="6"/>
        <v>Low</v>
      </c>
      <c r="L440" s="5" t="str">
        <f>TEXT(Table1[[#This Row],[Order_Date]],"MMM")</f>
        <v>Feb</v>
      </c>
      <c r="M440" s="5" t="str">
        <f>IF(Table1[[#This Row],[Profit]]&gt;=1000,"Excellent",IF(Table1[[#This Row],[Profit]]&gt;=500,"Good", IF(Table1[[#This Row],[Profit]]&lt;500,"Low")))</f>
        <v>Low</v>
      </c>
      <c r="N440" s="7" t="str">
        <f>TEXT(Table1[[#This Row],[Order_Date]],"YYY")</f>
        <v>2024</v>
      </c>
    </row>
    <row r="441" spans="1:14" x14ac:dyDescent="0.3">
      <c r="A441" s="4">
        <v>45350</v>
      </c>
      <c r="B441" s="5" t="s">
        <v>0</v>
      </c>
      <c r="C441" s="5" t="s">
        <v>1</v>
      </c>
      <c r="D441" s="23">
        <v>787.8</v>
      </c>
      <c r="E441" s="23">
        <v>542.79</v>
      </c>
      <c r="F441" s="23">
        <v>245.01</v>
      </c>
      <c r="G441" s="5" t="s">
        <v>32</v>
      </c>
      <c r="H441" s="5" t="s">
        <v>34</v>
      </c>
      <c r="I441" s="5" t="s">
        <v>25</v>
      </c>
      <c r="J441" s="6">
        <f>Table1[[#This Row],[Profit]]/Table1[[#This Row],[Sales]]</f>
        <v>0.31100533130236102</v>
      </c>
      <c r="K441" s="5" t="str">
        <f t="shared" si="6"/>
        <v>Low</v>
      </c>
      <c r="L441" s="5" t="str">
        <f>TEXT(Table1[[#This Row],[Order_Date]],"MMM")</f>
        <v>Feb</v>
      </c>
      <c r="M441" s="5" t="str">
        <f>IF(Table1[[#This Row],[Profit]]&gt;=1000,"Excellent",IF(Table1[[#This Row],[Profit]]&gt;=500,"Good", IF(Table1[[#This Row],[Profit]]&lt;500,"Low")))</f>
        <v>Low</v>
      </c>
      <c r="N441" s="7" t="str">
        <f>TEXT(Table1[[#This Row],[Order_Date]],"YYY")</f>
        <v>2024</v>
      </c>
    </row>
    <row r="442" spans="1:14" x14ac:dyDescent="0.3">
      <c r="A442" s="4">
        <v>45350</v>
      </c>
      <c r="B442" s="5" t="s">
        <v>18</v>
      </c>
      <c r="C442" s="5" t="s">
        <v>26</v>
      </c>
      <c r="D442" s="23">
        <v>1092</v>
      </c>
      <c r="E442" s="23">
        <v>276.81</v>
      </c>
      <c r="F442" s="23">
        <v>815.19</v>
      </c>
      <c r="G442" s="5" t="s">
        <v>6</v>
      </c>
      <c r="H442" s="5" t="s">
        <v>15</v>
      </c>
      <c r="I442" s="5" t="s">
        <v>22</v>
      </c>
      <c r="J442" s="6">
        <f>Table1[[#This Row],[Profit]]/Table1[[#This Row],[Sales]]</f>
        <v>0.74651098901098911</v>
      </c>
      <c r="K442" s="5" t="str">
        <f t="shared" si="6"/>
        <v>Low</v>
      </c>
      <c r="L442" s="5" t="str">
        <f>TEXT(Table1[[#This Row],[Order_Date]],"MMM")</f>
        <v>Feb</v>
      </c>
      <c r="M442" s="5" t="str">
        <f>IF(Table1[[#This Row],[Profit]]&gt;=1000,"Excellent",IF(Table1[[#This Row],[Profit]]&gt;=500,"Good", IF(Table1[[#This Row],[Profit]]&lt;500,"Low")))</f>
        <v>Good</v>
      </c>
      <c r="N442" s="7" t="str">
        <f>TEXT(Table1[[#This Row],[Order_Date]],"YYY")</f>
        <v>2024</v>
      </c>
    </row>
    <row r="443" spans="1:14" x14ac:dyDescent="0.3">
      <c r="A443" s="4">
        <v>45352</v>
      </c>
      <c r="B443" s="5" t="s">
        <v>13</v>
      </c>
      <c r="C443" s="5" t="s">
        <v>23</v>
      </c>
      <c r="D443" s="23">
        <v>98.79</v>
      </c>
      <c r="E443" s="23">
        <v>32.15</v>
      </c>
      <c r="F443" s="23">
        <v>66.64</v>
      </c>
      <c r="G443" s="5" t="s">
        <v>32</v>
      </c>
      <c r="H443" s="5" t="s">
        <v>15</v>
      </c>
      <c r="I443" s="5" t="s">
        <v>22</v>
      </c>
      <c r="J443" s="6">
        <f>Table1[[#This Row],[Profit]]/Table1[[#This Row],[Sales]]</f>
        <v>0.67456220265209021</v>
      </c>
      <c r="K443" s="5" t="str">
        <f t="shared" si="6"/>
        <v>Low</v>
      </c>
      <c r="L443" s="5" t="str">
        <f>TEXT(Table1[[#This Row],[Order_Date]],"MMM")</f>
        <v>Mar</v>
      </c>
      <c r="M443" s="5" t="str">
        <f>IF(Table1[[#This Row],[Profit]]&gt;=1000,"Excellent",IF(Table1[[#This Row],[Profit]]&gt;=500,"Good", IF(Table1[[#This Row],[Profit]]&lt;500,"Low")))</f>
        <v>Low</v>
      </c>
      <c r="N443" s="7" t="str">
        <f>TEXT(Table1[[#This Row],[Order_Date]],"YYY")</f>
        <v>2024</v>
      </c>
    </row>
    <row r="444" spans="1:14" x14ac:dyDescent="0.3">
      <c r="A444" s="4">
        <v>45352</v>
      </c>
      <c r="B444" s="5" t="s">
        <v>18</v>
      </c>
      <c r="C444" s="5" t="s">
        <v>26</v>
      </c>
      <c r="D444" s="23">
        <v>649.84</v>
      </c>
      <c r="E444" s="23">
        <v>279.45</v>
      </c>
      <c r="F444" s="23">
        <v>370.39</v>
      </c>
      <c r="G444" s="5" t="s">
        <v>20</v>
      </c>
      <c r="H444" s="5" t="s">
        <v>34</v>
      </c>
      <c r="I444" s="5" t="s">
        <v>4</v>
      </c>
      <c r="J444" s="6">
        <f>Table1[[#This Row],[Profit]]/Table1[[#This Row],[Sales]]</f>
        <v>0.56997106980179735</v>
      </c>
      <c r="K444" s="5" t="str">
        <f t="shared" si="6"/>
        <v>Low</v>
      </c>
      <c r="L444" s="5" t="str">
        <f>TEXT(Table1[[#This Row],[Order_Date]],"MMM")</f>
        <v>Mar</v>
      </c>
      <c r="M444" s="5" t="str">
        <f>IF(Table1[[#This Row],[Profit]]&gt;=1000,"Excellent",IF(Table1[[#This Row],[Profit]]&gt;=500,"Good", IF(Table1[[#This Row],[Profit]]&lt;500,"Low")))</f>
        <v>Low</v>
      </c>
      <c r="N444" s="7" t="str">
        <f>TEXT(Table1[[#This Row],[Order_Date]],"YYY")</f>
        <v>2024</v>
      </c>
    </row>
    <row r="445" spans="1:14" x14ac:dyDescent="0.3">
      <c r="A445" s="4">
        <v>45352</v>
      </c>
      <c r="B445" s="5" t="s">
        <v>13</v>
      </c>
      <c r="C445" s="5" t="s">
        <v>26</v>
      </c>
      <c r="D445" s="23">
        <v>1099.6199999999999</v>
      </c>
      <c r="E445" s="23">
        <v>349.77</v>
      </c>
      <c r="F445" s="23">
        <v>749.85</v>
      </c>
      <c r="G445" s="5" t="s">
        <v>6</v>
      </c>
      <c r="H445" s="5" t="s">
        <v>37</v>
      </c>
      <c r="I445" s="5" t="s">
        <v>17</v>
      </c>
      <c r="J445" s="6">
        <f>Table1[[#This Row],[Profit]]/Table1[[#This Row],[Sales]]</f>
        <v>0.68191738964369519</v>
      </c>
      <c r="K445" s="5" t="str">
        <f t="shared" si="6"/>
        <v>Low</v>
      </c>
      <c r="L445" s="5" t="str">
        <f>TEXT(Table1[[#This Row],[Order_Date]],"MMM")</f>
        <v>Mar</v>
      </c>
      <c r="M445" s="5" t="str">
        <f>IF(Table1[[#This Row],[Profit]]&gt;=1000,"Excellent",IF(Table1[[#This Row],[Profit]]&gt;=500,"Good", IF(Table1[[#This Row],[Profit]]&lt;500,"Low")))</f>
        <v>Good</v>
      </c>
      <c r="N445" s="7" t="str">
        <f>TEXT(Table1[[#This Row],[Order_Date]],"YYY")</f>
        <v>2024</v>
      </c>
    </row>
    <row r="446" spans="1:14" x14ac:dyDescent="0.3">
      <c r="A446" s="4">
        <v>45353</v>
      </c>
      <c r="B446" s="5" t="s">
        <v>0</v>
      </c>
      <c r="C446" s="5" t="s">
        <v>5</v>
      </c>
      <c r="D446" s="23">
        <v>1764.25</v>
      </c>
      <c r="E446" s="23">
        <v>701.88</v>
      </c>
      <c r="F446" s="23">
        <v>1062.3699999999999</v>
      </c>
      <c r="G446" s="5" t="s">
        <v>2</v>
      </c>
      <c r="H446" s="5" t="s">
        <v>3</v>
      </c>
      <c r="I446" s="5" t="s">
        <v>22</v>
      </c>
      <c r="J446" s="6">
        <f>Table1[[#This Row],[Profit]]/Table1[[#This Row],[Sales]]</f>
        <v>0.60216522601672096</v>
      </c>
      <c r="K446" s="5" t="str">
        <f t="shared" si="6"/>
        <v>Medium</v>
      </c>
      <c r="L446" s="5" t="str">
        <f>TEXT(Table1[[#This Row],[Order_Date]],"MMM")</f>
        <v>Mar</v>
      </c>
      <c r="M446" s="5" t="str">
        <f>IF(Table1[[#This Row],[Profit]]&gt;=1000,"Excellent",IF(Table1[[#This Row],[Profit]]&gt;=500,"Good", IF(Table1[[#This Row],[Profit]]&lt;500,"Low")))</f>
        <v>Excellent</v>
      </c>
      <c r="N446" s="7" t="str">
        <f>TEXT(Table1[[#This Row],[Order_Date]],"YYY")</f>
        <v>2024</v>
      </c>
    </row>
    <row r="447" spans="1:14" x14ac:dyDescent="0.3">
      <c r="A447" s="4">
        <v>45354</v>
      </c>
      <c r="B447" s="5" t="s">
        <v>18</v>
      </c>
      <c r="C447" s="5" t="s">
        <v>31</v>
      </c>
      <c r="D447" s="23">
        <v>211.73</v>
      </c>
      <c r="E447" s="23">
        <v>54.89</v>
      </c>
      <c r="F447" s="23">
        <v>156.84</v>
      </c>
      <c r="G447" s="5" t="s">
        <v>2</v>
      </c>
      <c r="H447" s="5" t="s">
        <v>10</v>
      </c>
      <c r="I447" s="5" t="s">
        <v>22</v>
      </c>
      <c r="J447" s="6">
        <f>Table1[[#This Row],[Profit]]/Table1[[#This Row],[Sales]]</f>
        <v>0.74075473480375953</v>
      </c>
      <c r="K447" s="5" t="str">
        <f t="shared" si="6"/>
        <v>Low</v>
      </c>
      <c r="L447" s="5" t="str">
        <f>TEXT(Table1[[#This Row],[Order_Date]],"MMM")</f>
        <v>Mar</v>
      </c>
      <c r="M447" s="5" t="str">
        <f>IF(Table1[[#This Row],[Profit]]&gt;=1000,"Excellent",IF(Table1[[#This Row],[Profit]]&gt;=500,"Good", IF(Table1[[#This Row],[Profit]]&lt;500,"Low")))</f>
        <v>Low</v>
      </c>
      <c r="N447" s="7" t="str">
        <f>TEXT(Table1[[#This Row],[Order_Date]],"YYY")</f>
        <v>2024</v>
      </c>
    </row>
    <row r="448" spans="1:14" x14ac:dyDescent="0.3">
      <c r="A448" s="4">
        <v>45354</v>
      </c>
      <c r="B448" s="5" t="s">
        <v>13</v>
      </c>
      <c r="C448" s="5" t="s">
        <v>31</v>
      </c>
      <c r="D448" s="23">
        <v>55.67</v>
      </c>
      <c r="E448" s="23">
        <v>20.99</v>
      </c>
      <c r="F448" s="23">
        <v>34.68</v>
      </c>
      <c r="G448" s="5" t="s">
        <v>20</v>
      </c>
      <c r="H448" s="5" t="s">
        <v>28</v>
      </c>
      <c r="I448" s="5" t="s">
        <v>4</v>
      </c>
      <c r="J448" s="6">
        <f>Table1[[#This Row],[Profit]]/Table1[[#This Row],[Sales]]</f>
        <v>0.62295670917909107</v>
      </c>
      <c r="K448" s="5" t="str">
        <f t="shared" si="6"/>
        <v>Low</v>
      </c>
      <c r="L448" s="5" t="str">
        <f>TEXT(Table1[[#This Row],[Order_Date]],"MMM")</f>
        <v>Mar</v>
      </c>
      <c r="M448" s="5" t="str">
        <f>IF(Table1[[#This Row],[Profit]]&gt;=1000,"Excellent",IF(Table1[[#This Row],[Profit]]&gt;=500,"Good", IF(Table1[[#This Row],[Profit]]&lt;500,"Low")))</f>
        <v>Low</v>
      </c>
      <c r="N448" s="7" t="str">
        <f>TEXT(Table1[[#This Row],[Order_Date]],"YYY")</f>
        <v>2024</v>
      </c>
    </row>
    <row r="449" spans="1:14" x14ac:dyDescent="0.3">
      <c r="A449" s="4">
        <v>45354</v>
      </c>
      <c r="B449" s="5" t="s">
        <v>0</v>
      </c>
      <c r="C449" s="5" t="s">
        <v>23</v>
      </c>
      <c r="D449" s="23">
        <v>551.22</v>
      </c>
      <c r="E449" s="23">
        <v>253.79</v>
      </c>
      <c r="F449" s="23">
        <v>297.43</v>
      </c>
      <c r="G449" s="5" t="s">
        <v>20</v>
      </c>
      <c r="H449" s="5" t="s">
        <v>29</v>
      </c>
      <c r="I449" s="5" t="s">
        <v>27</v>
      </c>
      <c r="J449" s="6">
        <f>Table1[[#This Row],[Profit]]/Table1[[#This Row],[Sales]]</f>
        <v>0.53958492072130904</v>
      </c>
      <c r="K449" s="5" t="str">
        <f t="shared" si="6"/>
        <v>Low</v>
      </c>
      <c r="L449" s="5" t="str">
        <f>TEXT(Table1[[#This Row],[Order_Date]],"MMM")</f>
        <v>Mar</v>
      </c>
      <c r="M449" s="5" t="str">
        <f>IF(Table1[[#This Row],[Profit]]&gt;=1000,"Excellent",IF(Table1[[#This Row],[Profit]]&gt;=500,"Good", IF(Table1[[#This Row],[Profit]]&lt;500,"Low")))</f>
        <v>Low</v>
      </c>
      <c r="N449" s="7" t="str">
        <f>TEXT(Table1[[#This Row],[Order_Date]],"YYY")</f>
        <v>2024</v>
      </c>
    </row>
    <row r="450" spans="1:14" x14ac:dyDescent="0.3">
      <c r="A450" s="4">
        <v>45354</v>
      </c>
      <c r="B450" s="5" t="s">
        <v>0</v>
      </c>
      <c r="C450" s="5" t="s">
        <v>14</v>
      </c>
      <c r="D450" s="23">
        <v>298.57</v>
      </c>
      <c r="E450" s="23">
        <v>112.25</v>
      </c>
      <c r="F450" s="23">
        <v>186.32</v>
      </c>
      <c r="G450" s="5" t="s">
        <v>2</v>
      </c>
      <c r="H450" s="5" t="s">
        <v>15</v>
      </c>
      <c r="I450" s="5" t="s">
        <v>25</v>
      </c>
      <c r="J450" s="6">
        <f>Table1[[#This Row],[Profit]]/Table1[[#This Row],[Sales]]</f>
        <v>0.62404126335532706</v>
      </c>
      <c r="K450" s="5" t="str">
        <f t="shared" ref="K450:K513" si="7">IF(D450&gt;=2000,"High",IF(D450&gt;=1500,"Medium","Low"))</f>
        <v>Low</v>
      </c>
      <c r="L450" s="5" t="str">
        <f>TEXT(Table1[[#This Row],[Order_Date]],"MMM")</f>
        <v>Mar</v>
      </c>
      <c r="M450" s="5" t="str">
        <f>IF(Table1[[#This Row],[Profit]]&gt;=1000,"Excellent",IF(Table1[[#This Row],[Profit]]&gt;=500,"Good", IF(Table1[[#This Row],[Profit]]&lt;500,"Low")))</f>
        <v>Low</v>
      </c>
      <c r="N450" s="7" t="str">
        <f>TEXT(Table1[[#This Row],[Order_Date]],"YYY")</f>
        <v>2024</v>
      </c>
    </row>
    <row r="451" spans="1:14" x14ac:dyDescent="0.3">
      <c r="A451" s="4">
        <v>45354</v>
      </c>
      <c r="B451" s="5" t="s">
        <v>18</v>
      </c>
      <c r="C451" s="5" t="s">
        <v>5</v>
      </c>
      <c r="D451" s="23">
        <v>1827.86</v>
      </c>
      <c r="E451" s="23">
        <v>592.14</v>
      </c>
      <c r="F451" s="23">
        <v>1235.72</v>
      </c>
      <c r="G451" s="5" t="s">
        <v>6</v>
      </c>
      <c r="H451" s="5" t="s">
        <v>28</v>
      </c>
      <c r="I451" s="5" t="s">
        <v>27</v>
      </c>
      <c r="J451" s="6">
        <f>Table1[[#This Row],[Profit]]/Table1[[#This Row],[Sales]]</f>
        <v>0.67604739969144245</v>
      </c>
      <c r="K451" s="5" t="str">
        <f t="shared" si="7"/>
        <v>Medium</v>
      </c>
      <c r="L451" s="5" t="str">
        <f>TEXT(Table1[[#This Row],[Order_Date]],"MMM")</f>
        <v>Mar</v>
      </c>
      <c r="M451" s="5" t="str">
        <f>IF(Table1[[#This Row],[Profit]]&gt;=1000,"Excellent",IF(Table1[[#This Row],[Profit]]&gt;=500,"Good", IF(Table1[[#This Row],[Profit]]&lt;500,"Low")))</f>
        <v>Excellent</v>
      </c>
      <c r="N451" s="7" t="str">
        <f>TEXT(Table1[[#This Row],[Order_Date]],"YYY")</f>
        <v>2024</v>
      </c>
    </row>
    <row r="452" spans="1:14" x14ac:dyDescent="0.3">
      <c r="A452" s="4">
        <v>45354</v>
      </c>
      <c r="B452" s="5" t="s">
        <v>0</v>
      </c>
      <c r="C452" s="5" t="s">
        <v>19</v>
      </c>
      <c r="D452" s="23">
        <v>62.02</v>
      </c>
      <c r="E452" s="23">
        <v>16.87</v>
      </c>
      <c r="F452" s="23">
        <v>45.15</v>
      </c>
      <c r="G452" s="5" t="s">
        <v>2</v>
      </c>
      <c r="H452" s="5" t="s">
        <v>15</v>
      </c>
      <c r="I452" s="5" t="s">
        <v>27</v>
      </c>
      <c r="J452" s="6">
        <f>Table1[[#This Row],[Profit]]/Table1[[#This Row],[Sales]]</f>
        <v>0.72799097065462748</v>
      </c>
      <c r="K452" s="5" t="str">
        <f t="shared" si="7"/>
        <v>Low</v>
      </c>
      <c r="L452" s="5" t="str">
        <f>TEXT(Table1[[#This Row],[Order_Date]],"MMM")</f>
        <v>Mar</v>
      </c>
      <c r="M452" s="5" t="str">
        <f>IF(Table1[[#This Row],[Profit]]&gt;=1000,"Excellent",IF(Table1[[#This Row],[Profit]]&gt;=500,"Good", IF(Table1[[#This Row],[Profit]]&lt;500,"Low")))</f>
        <v>Low</v>
      </c>
      <c r="N452" s="7" t="str">
        <f>TEXT(Table1[[#This Row],[Order_Date]],"YYY")</f>
        <v>2024</v>
      </c>
    </row>
    <row r="453" spans="1:14" x14ac:dyDescent="0.3">
      <c r="A453" s="4">
        <v>45355</v>
      </c>
      <c r="B453" s="5" t="s">
        <v>16</v>
      </c>
      <c r="C453" s="5" t="s">
        <v>26</v>
      </c>
      <c r="D453" s="23">
        <v>543.78</v>
      </c>
      <c r="E453" s="23">
        <v>222.36</v>
      </c>
      <c r="F453" s="23">
        <v>321.42</v>
      </c>
      <c r="G453" s="5" t="s">
        <v>6</v>
      </c>
      <c r="H453" s="5" t="s">
        <v>21</v>
      </c>
      <c r="I453" s="5" t="s">
        <v>27</v>
      </c>
      <c r="J453" s="6">
        <f>Table1[[#This Row],[Profit]]/Table1[[#This Row],[Sales]]</f>
        <v>0.59108462981352761</v>
      </c>
      <c r="K453" s="5" t="str">
        <f t="shared" si="7"/>
        <v>Low</v>
      </c>
      <c r="L453" s="5" t="str">
        <f>TEXT(Table1[[#This Row],[Order_Date]],"MMM")</f>
        <v>Mar</v>
      </c>
      <c r="M453" s="5" t="str">
        <f>IF(Table1[[#This Row],[Profit]]&gt;=1000,"Excellent",IF(Table1[[#This Row],[Profit]]&gt;=500,"Good", IF(Table1[[#This Row],[Profit]]&lt;500,"Low")))</f>
        <v>Low</v>
      </c>
      <c r="N453" s="7" t="str">
        <f>TEXT(Table1[[#This Row],[Order_Date]],"YYY")</f>
        <v>2024</v>
      </c>
    </row>
    <row r="454" spans="1:14" x14ac:dyDescent="0.3">
      <c r="A454" s="4">
        <v>45355</v>
      </c>
      <c r="B454" s="5" t="s">
        <v>13</v>
      </c>
      <c r="C454" s="5" t="s">
        <v>5</v>
      </c>
      <c r="D454" s="23">
        <v>1259.5</v>
      </c>
      <c r="E454" s="23">
        <v>563.05999999999995</v>
      </c>
      <c r="F454" s="23">
        <v>696.44</v>
      </c>
      <c r="G454" s="5" t="s">
        <v>32</v>
      </c>
      <c r="H454" s="5" t="s">
        <v>33</v>
      </c>
      <c r="I454" s="5" t="s">
        <v>11</v>
      </c>
      <c r="J454" s="6">
        <f>Table1[[#This Row],[Profit]]/Table1[[#This Row],[Sales]]</f>
        <v>0.55294958316792386</v>
      </c>
      <c r="K454" s="5" t="str">
        <f t="shared" si="7"/>
        <v>Low</v>
      </c>
      <c r="L454" s="5" t="str">
        <f>TEXT(Table1[[#This Row],[Order_Date]],"MMM")</f>
        <v>Mar</v>
      </c>
      <c r="M454" s="5" t="str">
        <f>IF(Table1[[#This Row],[Profit]]&gt;=1000,"Excellent",IF(Table1[[#This Row],[Profit]]&gt;=500,"Good", IF(Table1[[#This Row],[Profit]]&lt;500,"Low")))</f>
        <v>Good</v>
      </c>
      <c r="N454" s="7" t="str">
        <f>TEXT(Table1[[#This Row],[Order_Date]],"YYY")</f>
        <v>2024</v>
      </c>
    </row>
    <row r="455" spans="1:14" x14ac:dyDescent="0.3">
      <c r="A455" s="4">
        <v>45356</v>
      </c>
      <c r="B455" s="5" t="s">
        <v>13</v>
      </c>
      <c r="C455" s="5" t="s">
        <v>26</v>
      </c>
      <c r="D455" s="23">
        <v>1090.3699999999999</v>
      </c>
      <c r="E455" s="23">
        <v>358.84</v>
      </c>
      <c r="F455" s="23">
        <v>731.53</v>
      </c>
      <c r="G455" s="5" t="s">
        <v>9</v>
      </c>
      <c r="H455" s="5" t="s">
        <v>21</v>
      </c>
      <c r="I455" s="5" t="s">
        <v>4</v>
      </c>
      <c r="J455" s="6">
        <f>Table1[[#This Row],[Profit]]/Table1[[#This Row],[Sales]]</f>
        <v>0.67090070343094554</v>
      </c>
      <c r="K455" s="5" t="str">
        <f t="shared" si="7"/>
        <v>Low</v>
      </c>
      <c r="L455" s="5" t="str">
        <f>TEXT(Table1[[#This Row],[Order_Date]],"MMM")</f>
        <v>Mar</v>
      </c>
      <c r="M455" s="5" t="str">
        <f>IF(Table1[[#This Row],[Profit]]&gt;=1000,"Excellent",IF(Table1[[#This Row],[Profit]]&gt;=500,"Good", IF(Table1[[#This Row],[Profit]]&lt;500,"Low")))</f>
        <v>Good</v>
      </c>
      <c r="N455" s="7" t="str">
        <f>TEXT(Table1[[#This Row],[Order_Date]],"YYY")</f>
        <v>2024</v>
      </c>
    </row>
    <row r="456" spans="1:14" x14ac:dyDescent="0.3">
      <c r="A456" s="4">
        <v>45357</v>
      </c>
      <c r="B456" s="5" t="s">
        <v>0</v>
      </c>
      <c r="C456" s="5" t="s">
        <v>26</v>
      </c>
      <c r="D456" s="23">
        <v>563.6</v>
      </c>
      <c r="E456" s="23">
        <v>164.02</v>
      </c>
      <c r="F456" s="23">
        <v>399.58</v>
      </c>
      <c r="G456" s="5" t="s">
        <v>6</v>
      </c>
      <c r="H456" s="5" t="s">
        <v>28</v>
      </c>
      <c r="I456" s="5" t="s">
        <v>27</v>
      </c>
      <c r="J456" s="6">
        <f>Table1[[#This Row],[Profit]]/Table1[[#This Row],[Sales]]</f>
        <v>0.70897799858055355</v>
      </c>
      <c r="K456" s="5" t="str">
        <f t="shared" si="7"/>
        <v>Low</v>
      </c>
      <c r="L456" s="5" t="str">
        <f>TEXT(Table1[[#This Row],[Order_Date]],"MMM")</f>
        <v>Mar</v>
      </c>
      <c r="M456" s="5" t="str">
        <f>IF(Table1[[#This Row],[Profit]]&gt;=1000,"Excellent",IF(Table1[[#This Row],[Profit]]&gt;=500,"Good", IF(Table1[[#This Row],[Profit]]&lt;500,"Low")))</f>
        <v>Low</v>
      </c>
      <c r="N456" s="7" t="str">
        <f>TEXT(Table1[[#This Row],[Order_Date]],"YYY")</f>
        <v>2024</v>
      </c>
    </row>
    <row r="457" spans="1:14" x14ac:dyDescent="0.3">
      <c r="A457" s="4">
        <v>45358</v>
      </c>
      <c r="B457" s="5" t="s">
        <v>0</v>
      </c>
      <c r="C457" s="5" t="s">
        <v>5</v>
      </c>
      <c r="D457" s="23">
        <v>1297.0999999999999</v>
      </c>
      <c r="E457" s="23">
        <v>500.83</v>
      </c>
      <c r="F457" s="23">
        <v>796.27</v>
      </c>
      <c r="G457" s="5" t="s">
        <v>32</v>
      </c>
      <c r="H457" s="5" t="s">
        <v>35</v>
      </c>
      <c r="I457" s="5" t="s">
        <v>11</v>
      </c>
      <c r="J457" s="6">
        <f>Table1[[#This Row],[Profit]]/Table1[[#This Row],[Sales]]</f>
        <v>0.61388481998303912</v>
      </c>
      <c r="K457" s="5" t="str">
        <f t="shared" si="7"/>
        <v>Low</v>
      </c>
      <c r="L457" s="5" t="str">
        <f>TEXT(Table1[[#This Row],[Order_Date]],"MMM")</f>
        <v>Mar</v>
      </c>
      <c r="M457" s="5" t="str">
        <f>IF(Table1[[#This Row],[Profit]]&gt;=1000,"Excellent",IF(Table1[[#This Row],[Profit]]&gt;=500,"Good", IF(Table1[[#This Row],[Profit]]&lt;500,"Low")))</f>
        <v>Good</v>
      </c>
      <c r="N457" s="7" t="str">
        <f>TEXT(Table1[[#This Row],[Order_Date]],"YYY")</f>
        <v>2024</v>
      </c>
    </row>
    <row r="458" spans="1:14" x14ac:dyDescent="0.3">
      <c r="A458" s="4">
        <v>45359</v>
      </c>
      <c r="B458" s="5" t="s">
        <v>18</v>
      </c>
      <c r="C458" s="5" t="s">
        <v>23</v>
      </c>
      <c r="D458" s="23">
        <v>241.49</v>
      </c>
      <c r="E458" s="23">
        <v>69.27</v>
      </c>
      <c r="F458" s="23">
        <v>172.22</v>
      </c>
      <c r="G458" s="5" t="s">
        <v>20</v>
      </c>
      <c r="H458" s="5" t="s">
        <v>36</v>
      </c>
      <c r="I458" s="5" t="s">
        <v>11</v>
      </c>
      <c r="J458" s="6">
        <f>Table1[[#This Row],[Profit]]/Table1[[#This Row],[Sales]]</f>
        <v>0.71315582425773316</v>
      </c>
      <c r="K458" s="5" t="str">
        <f t="shared" si="7"/>
        <v>Low</v>
      </c>
      <c r="L458" s="5" t="str">
        <f>TEXT(Table1[[#This Row],[Order_Date]],"MMM")</f>
        <v>Mar</v>
      </c>
      <c r="M458" s="5" t="str">
        <f>IF(Table1[[#This Row],[Profit]]&gt;=1000,"Excellent",IF(Table1[[#This Row],[Profit]]&gt;=500,"Good", IF(Table1[[#This Row],[Profit]]&lt;500,"Low")))</f>
        <v>Low</v>
      </c>
      <c r="N458" s="7" t="str">
        <f>TEXT(Table1[[#This Row],[Order_Date]],"YYY")</f>
        <v>2024</v>
      </c>
    </row>
    <row r="459" spans="1:14" x14ac:dyDescent="0.3">
      <c r="A459" s="4">
        <v>45359</v>
      </c>
      <c r="B459" s="5" t="s">
        <v>8</v>
      </c>
      <c r="C459" s="5" t="s">
        <v>26</v>
      </c>
      <c r="D459" s="23">
        <v>278.14999999999998</v>
      </c>
      <c r="E459" s="23">
        <v>89.49</v>
      </c>
      <c r="F459" s="23">
        <v>188.66</v>
      </c>
      <c r="G459" s="5" t="s">
        <v>20</v>
      </c>
      <c r="H459" s="5" t="s">
        <v>34</v>
      </c>
      <c r="I459" s="5" t="s">
        <v>25</v>
      </c>
      <c r="J459" s="6">
        <f>Table1[[#This Row],[Profit]]/Table1[[#This Row],[Sales]]</f>
        <v>0.67826712205644446</v>
      </c>
      <c r="K459" s="5" t="str">
        <f t="shared" si="7"/>
        <v>Low</v>
      </c>
      <c r="L459" s="5" t="str">
        <f>TEXT(Table1[[#This Row],[Order_Date]],"MMM")</f>
        <v>Mar</v>
      </c>
      <c r="M459" s="5" t="str">
        <f>IF(Table1[[#This Row],[Profit]]&gt;=1000,"Excellent",IF(Table1[[#This Row],[Profit]]&gt;=500,"Good", IF(Table1[[#This Row],[Profit]]&lt;500,"Low")))</f>
        <v>Low</v>
      </c>
      <c r="N459" s="7" t="str">
        <f>TEXT(Table1[[#This Row],[Order_Date]],"YYY")</f>
        <v>2024</v>
      </c>
    </row>
    <row r="460" spans="1:14" x14ac:dyDescent="0.3">
      <c r="A460" s="4">
        <v>45359</v>
      </c>
      <c r="B460" s="5" t="s">
        <v>18</v>
      </c>
      <c r="C460" s="5" t="s">
        <v>14</v>
      </c>
      <c r="D460" s="23">
        <v>207.44</v>
      </c>
      <c r="E460" s="23">
        <v>109.59</v>
      </c>
      <c r="F460" s="23">
        <v>97.85</v>
      </c>
      <c r="G460" s="5" t="s">
        <v>9</v>
      </c>
      <c r="H460" s="5" t="s">
        <v>12</v>
      </c>
      <c r="I460" s="5" t="s">
        <v>11</v>
      </c>
      <c r="J460" s="6">
        <f>Table1[[#This Row],[Profit]]/Table1[[#This Row],[Sales]]</f>
        <v>0.47170266101041264</v>
      </c>
      <c r="K460" s="5" t="str">
        <f t="shared" si="7"/>
        <v>Low</v>
      </c>
      <c r="L460" s="5" t="str">
        <f>TEXT(Table1[[#This Row],[Order_Date]],"MMM")</f>
        <v>Mar</v>
      </c>
      <c r="M460" s="5" t="str">
        <f>IF(Table1[[#This Row],[Profit]]&gt;=1000,"Excellent",IF(Table1[[#This Row],[Profit]]&gt;=500,"Good", IF(Table1[[#This Row],[Profit]]&lt;500,"Low")))</f>
        <v>Low</v>
      </c>
      <c r="N460" s="7" t="str">
        <f>TEXT(Table1[[#This Row],[Order_Date]],"YYY")</f>
        <v>2024</v>
      </c>
    </row>
    <row r="461" spans="1:14" x14ac:dyDescent="0.3">
      <c r="A461" s="4">
        <v>45361</v>
      </c>
      <c r="B461" s="5" t="s">
        <v>16</v>
      </c>
      <c r="C461" s="5" t="s">
        <v>23</v>
      </c>
      <c r="D461" s="23">
        <v>65.73</v>
      </c>
      <c r="E461" s="23">
        <v>25.16</v>
      </c>
      <c r="F461" s="23">
        <v>40.57</v>
      </c>
      <c r="G461" s="5" t="s">
        <v>6</v>
      </c>
      <c r="H461" s="5" t="s">
        <v>30</v>
      </c>
      <c r="I461" s="5" t="s">
        <v>4</v>
      </c>
      <c r="J461" s="6">
        <f>Table1[[#This Row],[Profit]]/Table1[[#This Row],[Sales]]</f>
        <v>0.61722196865966827</v>
      </c>
      <c r="K461" s="5" t="str">
        <f t="shared" si="7"/>
        <v>Low</v>
      </c>
      <c r="L461" s="5" t="str">
        <f>TEXT(Table1[[#This Row],[Order_Date]],"MMM")</f>
        <v>Mar</v>
      </c>
      <c r="M461" s="5" t="str">
        <f>IF(Table1[[#This Row],[Profit]]&gt;=1000,"Excellent",IF(Table1[[#This Row],[Profit]]&gt;=500,"Good", IF(Table1[[#This Row],[Profit]]&lt;500,"Low")))</f>
        <v>Low</v>
      </c>
      <c r="N461" s="7" t="str">
        <f>TEXT(Table1[[#This Row],[Order_Date]],"YYY")</f>
        <v>2024</v>
      </c>
    </row>
    <row r="462" spans="1:14" x14ac:dyDescent="0.3">
      <c r="A462" s="4">
        <v>45361</v>
      </c>
      <c r="B462" s="5" t="s">
        <v>8</v>
      </c>
      <c r="C462" s="5" t="s">
        <v>31</v>
      </c>
      <c r="D462" s="23">
        <v>79.489999999999995</v>
      </c>
      <c r="E462" s="23">
        <v>22.3</v>
      </c>
      <c r="F462" s="23">
        <v>57.19</v>
      </c>
      <c r="G462" s="5" t="s">
        <v>9</v>
      </c>
      <c r="H462" s="5" t="s">
        <v>29</v>
      </c>
      <c r="I462" s="5" t="s">
        <v>4</v>
      </c>
      <c r="J462" s="6">
        <f>Table1[[#This Row],[Profit]]/Table1[[#This Row],[Sales]]</f>
        <v>0.71946156749276635</v>
      </c>
      <c r="K462" s="5" t="str">
        <f t="shared" si="7"/>
        <v>Low</v>
      </c>
      <c r="L462" s="5" t="str">
        <f>TEXT(Table1[[#This Row],[Order_Date]],"MMM")</f>
        <v>Mar</v>
      </c>
      <c r="M462" s="5" t="str">
        <f>IF(Table1[[#This Row],[Profit]]&gt;=1000,"Excellent",IF(Table1[[#This Row],[Profit]]&gt;=500,"Good", IF(Table1[[#This Row],[Profit]]&lt;500,"Low")))</f>
        <v>Low</v>
      </c>
      <c r="N462" s="7" t="str">
        <f>TEXT(Table1[[#This Row],[Order_Date]],"YYY")</f>
        <v>2024</v>
      </c>
    </row>
    <row r="463" spans="1:14" x14ac:dyDescent="0.3">
      <c r="A463" s="4">
        <v>45362</v>
      </c>
      <c r="B463" s="5" t="s">
        <v>18</v>
      </c>
      <c r="C463" s="5" t="s">
        <v>31</v>
      </c>
      <c r="D463" s="23">
        <v>242.41</v>
      </c>
      <c r="E463" s="23">
        <v>64.599999999999994</v>
      </c>
      <c r="F463" s="23">
        <v>177.81</v>
      </c>
      <c r="G463" s="5" t="s">
        <v>20</v>
      </c>
      <c r="H463" s="5" t="s">
        <v>3</v>
      </c>
      <c r="I463" s="5" t="s">
        <v>27</v>
      </c>
      <c r="J463" s="6">
        <f>Table1[[#This Row],[Profit]]/Table1[[#This Row],[Sales]]</f>
        <v>0.73350934367394083</v>
      </c>
      <c r="K463" s="5" t="str">
        <f t="shared" si="7"/>
        <v>Low</v>
      </c>
      <c r="L463" s="5" t="str">
        <f>TEXT(Table1[[#This Row],[Order_Date]],"MMM")</f>
        <v>Mar</v>
      </c>
      <c r="M463" s="5" t="str">
        <f>IF(Table1[[#This Row],[Profit]]&gt;=1000,"Excellent",IF(Table1[[#This Row],[Profit]]&gt;=500,"Good", IF(Table1[[#This Row],[Profit]]&lt;500,"Low")))</f>
        <v>Low</v>
      </c>
      <c r="N463" s="7" t="str">
        <f>TEXT(Table1[[#This Row],[Order_Date]],"YYY")</f>
        <v>2024</v>
      </c>
    </row>
    <row r="464" spans="1:14" x14ac:dyDescent="0.3">
      <c r="A464" s="4">
        <v>45362</v>
      </c>
      <c r="B464" s="5" t="s">
        <v>13</v>
      </c>
      <c r="C464" s="5" t="s">
        <v>26</v>
      </c>
      <c r="D464" s="23">
        <v>943.17</v>
      </c>
      <c r="E464" s="23">
        <v>329.28</v>
      </c>
      <c r="F464" s="23">
        <v>613.89</v>
      </c>
      <c r="G464" s="5" t="s">
        <v>6</v>
      </c>
      <c r="H464" s="5" t="s">
        <v>21</v>
      </c>
      <c r="I464" s="5" t="s">
        <v>17</v>
      </c>
      <c r="J464" s="6">
        <f>Table1[[#This Row],[Profit]]/Table1[[#This Row],[Sales]]</f>
        <v>0.65087948089951975</v>
      </c>
      <c r="K464" s="5" t="str">
        <f t="shared" si="7"/>
        <v>Low</v>
      </c>
      <c r="L464" s="5" t="str">
        <f>TEXT(Table1[[#This Row],[Order_Date]],"MMM")</f>
        <v>Mar</v>
      </c>
      <c r="M464" s="5" t="str">
        <f>IF(Table1[[#This Row],[Profit]]&gt;=1000,"Excellent",IF(Table1[[#This Row],[Profit]]&gt;=500,"Good", IF(Table1[[#This Row],[Profit]]&lt;500,"Low")))</f>
        <v>Good</v>
      </c>
      <c r="N464" s="7" t="str">
        <f>TEXT(Table1[[#This Row],[Order_Date]],"YYY")</f>
        <v>2024</v>
      </c>
    </row>
    <row r="465" spans="1:14" x14ac:dyDescent="0.3">
      <c r="A465" s="4">
        <v>45362</v>
      </c>
      <c r="B465" s="5" t="s">
        <v>16</v>
      </c>
      <c r="C465" s="5" t="s">
        <v>23</v>
      </c>
      <c r="D465" s="23">
        <v>74.75</v>
      </c>
      <c r="E465" s="23">
        <v>29.61</v>
      </c>
      <c r="F465" s="23">
        <v>45.14</v>
      </c>
      <c r="G465" s="5" t="s">
        <v>20</v>
      </c>
      <c r="H465" s="5" t="s">
        <v>28</v>
      </c>
      <c r="I465" s="5" t="s">
        <v>17</v>
      </c>
      <c r="J465" s="6">
        <f>Table1[[#This Row],[Profit]]/Table1[[#This Row],[Sales]]</f>
        <v>0.60387959866220742</v>
      </c>
      <c r="K465" s="5" t="str">
        <f t="shared" si="7"/>
        <v>Low</v>
      </c>
      <c r="L465" s="5" t="str">
        <f>TEXT(Table1[[#This Row],[Order_Date]],"MMM")</f>
        <v>Mar</v>
      </c>
      <c r="M465" s="5" t="str">
        <f>IF(Table1[[#This Row],[Profit]]&gt;=1000,"Excellent",IF(Table1[[#This Row],[Profit]]&gt;=500,"Good", IF(Table1[[#This Row],[Profit]]&lt;500,"Low")))</f>
        <v>Low</v>
      </c>
      <c r="N465" s="7" t="str">
        <f>TEXT(Table1[[#This Row],[Order_Date]],"YYY")</f>
        <v>2024</v>
      </c>
    </row>
    <row r="466" spans="1:14" x14ac:dyDescent="0.3">
      <c r="A466" s="4">
        <v>45363</v>
      </c>
      <c r="B466" s="5" t="s">
        <v>16</v>
      </c>
      <c r="C466" s="5" t="s">
        <v>23</v>
      </c>
      <c r="D466" s="23">
        <v>235.65</v>
      </c>
      <c r="E466" s="23">
        <v>94.89</v>
      </c>
      <c r="F466" s="23">
        <v>140.76</v>
      </c>
      <c r="G466" s="5" t="s">
        <v>32</v>
      </c>
      <c r="H466" s="5" t="s">
        <v>10</v>
      </c>
      <c r="I466" s="5" t="s">
        <v>17</v>
      </c>
      <c r="J466" s="6">
        <f>Table1[[#This Row],[Profit]]/Table1[[#This Row],[Sales]]</f>
        <v>0.59732654360280069</v>
      </c>
      <c r="K466" s="5" t="str">
        <f t="shared" si="7"/>
        <v>Low</v>
      </c>
      <c r="L466" s="5" t="str">
        <f>TEXT(Table1[[#This Row],[Order_Date]],"MMM")</f>
        <v>Mar</v>
      </c>
      <c r="M466" s="5" t="str">
        <f>IF(Table1[[#This Row],[Profit]]&gt;=1000,"Excellent",IF(Table1[[#This Row],[Profit]]&gt;=500,"Good", IF(Table1[[#This Row],[Profit]]&lt;500,"Low")))</f>
        <v>Low</v>
      </c>
      <c r="N466" s="7" t="str">
        <f>TEXT(Table1[[#This Row],[Order_Date]],"YYY")</f>
        <v>2024</v>
      </c>
    </row>
    <row r="467" spans="1:14" x14ac:dyDescent="0.3">
      <c r="A467" s="4">
        <v>45363</v>
      </c>
      <c r="B467" s="5" t="s">
        <v>18</v>
      </c>
      <c r="C467" s="5" t="s">
        <v>5</v>
      </c>
      <c r="D467" s="23">
        <v>1516.81</v>
      </c>
      <c r="E467" s="23">
        <v>469.84</v>
      </c>
      <c r="F467" s="23">
        <v>1046.97</v>
      </c>
      <c r="G467" s="5" t="s">
        <v>6</v>
      </c>
      <c r="H467" s="5" t="s">
        <v>37</v>
      </c>
      <c r="I467" s="5" t="s">
        <v>25</v>
      </c>
      <c r="J467" s="6">
        <f>Table1[[#This Row],[Profit]]/Table1[[#This Row],[Sales]]</f>
        <v>0.69024465819713743</v>
      </c>
      <c r="K467" s="5" t="str">
        <f t="shared" si="7"/>
        <v>Medium</v>
      </c>
      <c r="L467" s="5" t="str">
        <f>TEXT(Table1[[#This Row],[Order_Date]],"MMM")</f>
        <v>Mar</v>
      </c>
      <c r="M467" s="5" t="str">
        <f>IF(Table1[[#This Row],[Profit]]&gt;=1000,"Excellent",IF(Table1[[#This Row],[Profit]]&gt;=500,"Good", IF(Table1[[#This Row],[Profit]]&lt;500,"Low")))</f>
        <v>Excellent</v>
      </c>
      <c r="N467" s="7" t="str">
        <f>TEXT(Table1[[#This Row],[Order_Date]],"YYY")</f>
        <v>2024</v>
      </c>
    </row>
    <row r="468" spans="1:14" x14ac:dyDescent="0.3">
      <c r="A468" s="4">
        <v>45363</v>
      </c>
      <c r="B468" s="5" t="s">
        <v>0</v>
      </c>
      <c r="C468" s="5" t="s">
        <v>19</v>
      </c>
      <c r="D468" s="23">
        <v>9.2899999999999991</v>
      </c>
      <c r="E468" s="23">
        <v>4.13</v>
      </c>
      <c r="F468" s="23">
        <v>5.16</v>
      </c>
      <c r="G468" s="5" t="s">
        <v>20</v>
      </c>
      <c r="H468" s="5" t="s">
        <v>36</v>
      </c>
      <c r="I468" s="5" t="s">
        <v>22</v>
      </c>
      <c r="J468" s="6">
        <f>Table1[[#This Row],[Profit]]/Table1[[#This Row],[Sales]]</f>
        <v>0.55543595263724443</v>
      </c>
      <c r="K468" s="5" t="str">
        <f t="shared" si="7"/>
        <v>Low</v>
      </c>
      <c r="L468" s="5" t="str">
        <f>TEXT(Table1[[#This Row],[Order_Date]],"MMM")</f>
        <v>Mar</v>
      </c>
      <c r="M468" s="5" t="str">
        <f>IF(Table1[[#This Row],[Profit]]&gt;=1000,"Excellent",IF(Table1[[#This Row],[Profit]]&gt;=500,"Good", IF(Table1[[#This Row],[Profit]]&lt;500,"Low")))</f>
        <v>Low</v>
      </c>
      <c r="N468" s="7" t="str">
        <f>TEXT(Table1[[#This Row],[Order_Date]],"YYY")</f>
        <v>2024</v>
      </c>
    </row>
    <row r="469" spans="1:14" x14ac:dyDescent="0.3">
      <c r="A469" s="4">
        <v>45363</v>
      </c>
      <c r="B469" s="5" t="s">
        <v>13</v>
      </c>
      <c r="C469" s="5" t="s">
        <v>14</v>
      </c>
      <c r="D469" s="23">
        <v>203.81</v>
      </c>
      <c r="E469" s="23">
        <v>102.72</v>
      </c>
      <c r="F469" s="23">
        <v>101.09</v>
      </c>
      <c r="G469" s="5" t="s">
        <v>9</v>
      </c>
      <c r="H469" s="5" t="s">
        <v>35</v>
      </c>
      <c r="I469" s="5" t="s">
        <v>4</v>
      </c>
      <c r="J469" s="6">
        <f>Table1[[#This Row],[Profit]]/Table1[[#This Row],[Sales]]</f>
        <v>0.49600117756734213</v>
      </c>
      <c r="K469" s="5" t="str">
        <f t="shared" si="7"/>
        <v>Low</v>
      </c>
      <c r="L469" s="5" t="str">
        <f>TEXT(Table1[[#This Row],[Order_Date]],"MMM")</f>
        <v>Mar</v>
      </c>
      <c r="M469" s="5" t="str">
        <f>IF(Table1[[#This Row],[Profit]]&gt;=1000,"Excellent",IF(Table1[[#This Row],[Profit]]&gt;=500,"Good", IF(Table1[[#This Row],[Profit]]&lt;500,"Low")))</f>
        <v>Low</v>
      </c>
      <c r="N469" s="7" t="str">
        <f>TEXT(Table1[[#This Row],[Order_Date]],"YYY")</f>
        <v>2024</v>
      </c>
    </row>
    <row r="470" spans="1:14" x14ac:dyDescent="0.3">
      <c r="A470" s="4">
        <v>45364</v>
      </c>
      <c r="B470" s="5" t="s">
        <v>18</v>
      </c>
      <c r="C470" s="5" t="s">
        <v>5</v>
      </c>
      <c r="D470" s="23">
        <v>2196.66</v>
      </c>
      <c r="E470" s="23">
        <v>684.86</v>
      </c>
      <c r="F470" s="23">
        <v>1511.8</v>
      </c>
      <c r="G470" s="5" t="s">
        <v>2</v>
      </c>
      <c r="H470" s="5" t="s">
        <v>35</v>
      </c>
      <c r="I470" s="5" t="s">
        <v>11</v>
      </c>
      <c r="J470" s="6">
        <f>Table1[[#This Row],[Profit]]/Table1[[#This Row],[Sales]]</f>
        <v>0.68822667140112714</v>
      </c>
      <c r="K470" s="5" t="str">
        <f t="shared" si="7"/>
        <v>High</v>
      </c>
      <c r="L470" s="5" t="str">
        <f>TEXT(Table1[[#This Row],[Order_Date]],"MMM")</f>
        <v>Mar</v>
      </c>
      <c r="M470" s="5" t="str">
        <f>IF(Table1[[#This Row],[Profit]]&gt;=1000,"Excellent",IF(Table1[[#This Row],[Profit]]&gt;=500,"Good", IF(Table1[[#This Row],[Profit]]&lt;500,"Low")))</f>
        <v>Excellent</v>
      </c>
      <c r="N470" s="7" t="str">
        <f>TEXT(Table1[[#This Row],[Order_Date]],"YYY")</f>
        <v>2024</v>
      </c>
    </row>
    <row r="471" spans="1:14" x14ac:dyDescent="0.3">
      <c r="A471" s="4">
        <v>45364</v>
      </c>
      <c r="B471" s="5" t="s">
        <v>8</v>
      </c>
      <c r="C471" s="5" t="s">
        <v>14</v>
      </c>
      <c r="D471" s="23">
        <v>39.24</v>
      </c>
      <c r="E471" s="23">
        <v>12.52</v>
      </c>
      <c r="F471" s="23">
        <v>26.72</v>
      </c>
      <c r="G471" s="5" t="s">
        <v>2</v>
      </c>
      <c r="H471" s="5" t="s">
        <v>35</v>
      </c>
      <c r="I471" s="5" t="s">
        <v>11</v>
      </c>
      <c r="J471" s="6">
        <f>Table1[[#This Row],[Profit]]/Table1[[#This Row],[Sales]]</f>
        <v>0.68093781855249735</v>
      </c>
      <c r="K471" s="5" t="str">
        <f t="shared" si="7"/>
        <v>Low</v>
      </c>
      <c r="L471" s="5" t="str">
        <f>TEXT(Table1[[#This Row],[Order_Date]],"MMM")</f>
        <v>Mar</v>
      </c>
      <c r="M471" s="5" t="str">
        <f>IF(Table1[[#This Row],[Profit]]&gt;=1000,"Excellent",IF(Table1[[#This Row],[Profit]]&gt;=500,"Good", IF(Table1[[#This Row],[Profit]]&lt;500,"Low")))</f>
        <v>Low</v>
      </c>
      <c r="N471" s="7" t="str">
        <f>TEXT(Table1[[#This Row],[Order_Date]],"YYY")</f>
        <v>2024</v>
      </c>
    </row>
    <row r="472" spans="1:14" x14ac:dyDescent="0.3">
      <c r="A472" s="4">
        <v>45365</v>
      </c>
      <c r="B472" s="5" t="s">
        <v>0</v>
      </c>
      <c r="C472" s="5" t="s">
        <v>23</v>
      </c>
      <c r="D472" s="23">
        <v>399.49</v>
      </c>
      <c r="E472" s="23">
        <v>155.88</v>
      </c>
      <c r="F472" s="23">
        <v>243.61</v>
      </c>
      <c r="G472" s="5" t="s">
        <v>20</v>
      </c>
      <c r="H472" s="5" t="s">
        <v>3</v>
      </c>
      <c r="I472" s="5" t="s">
        <v>27</v>
      </c>
      <c r="J472" s="6">
        <f>Table1[[#This Row],[Profit]]/Table1[[#This Row],[Sales]]</f>
        <v>0.60980249818518617</v>
      </c>
      <c r="K472" s="5" t="str">
        <f t="shared" si="7"/>
        <v>Low</v>
      </c>
      <c r="L472" s="5" t="str">
        <f>TEXT(Table1[[#This Row],[Order_Date]],"MMM")</f>
        <v>Mar</v>
      </c>
      <c r="M472" s="5" t="str">
        <f>IF(Table1[[#This Row],[Profit]]&gt;=1000,"Excellent",IF(Table1[[#This Row],[Profit]]&gt;=500,"Good", IF(Table1[[#This Row],[Profit]]&lt;500,"Low")))</f>
        <v>Low</v>
      </c>
      <c r="N472" s="7" t="str">
        <f>TEXT(Table1[[#This Row],[Order_Date]],"YYY")</f>
        <v>2024</v>
      </c>
    </row>
    <row r="473" spans="1:14" x14ac:dyDescent="0.3">
      <c r="A473" s="4">
        <v>45365</v>
      </c>
      <c r="B473" s="5" t="s">
        <v>16</v>
      </c>
      <c r="C473" s="5" t="s">
        <v>5</v>
      </c>
      <c r="D473" s="23">
        <v>2382.5500000000002</v>
      </c>
      <c r="E473" s="23">
        <v>833.21</v>
      </c>
      <c r="F473" s="23">
        <v>1549.34</v>
      </c>
      <c r="G473" s="5" t="s">
        <v>9</v>
      </c>
      <c r="H473" s="5" t="s">
        <v>15</v>
      </c>
      <c r="I473" s="5" t="s">
        <v>17</v>
      </c>
      <c r="J473" s="6">
        <f>Table1[[#This Row],[Profit]]/Table1[[#This Row],[Sales]]</f>
        <v>0.65028645778682492</v>
      </c>
      <c r="K473" s="5" t="str">
        <f t="shared" si="7"/>
        <v>High</v>
      </c>
      <c r="L473" s="5" t="str">
        <f>TEXT(Table1[[#This Row],[Order_Date]],"MMM")</f>
        <v>Mar</v>
      </c>
      <c r="M473" s="5" t="str">
        <f>IF(Table1[[#This Row],[Profit]]&gt;=1000,"Excellent",IF(Table1[[#This Row],[Profit]]&gt;=500,"Good", IF(Table1[[#This Row],[Profit]]&lt;500,"Low")))</f>
        <v>Excellent</v>
      </c>
      <c r="N473" s="7" t="str">
        <f>TEXT(Table1[[#This Row],[Order_Date]],"YYY")</f>
        <v>2024</v>
      </c>
    </row>
    <row r="474" spans="1:14" x14ac:dyDescent="0.3">
      <c r="A474" s="4">
        <v>45365</v>
      </c>
      <c r="B474" s="5" t="s">
        <v>8</v>
      </c>
      <c r="C474" s="5" t="s">
        <v>31</v>
      </c>
      <c r="D474" s="23">
        <v>176.77</v>
      </c>
      <c r="E474" s="23">
        <v>47.63</v>
      </c>
      <c r="F474" s="23">
        <v>129.13999999999999</v>
      </c>
      <c r="G474" s="5" t="s">
        <v>32</v>
      </c>
      <c r="H474" s="5" t="s">
        <v>28</v>
      </c>
      <c r="I474" s="5" t="s">
        <v>27</v>
      </c>
      <c r="J474" s="6">
        <f>Table1[[#This Row],[Profit]]/Table1[[#This Row],[Sales]]</f>
        <v>0.7305538270068449</v>
      </c>
      <c r="K474" s="5" t="str">
        <f t="shared" si="7"/>
        <v>Low</v>
      </c>
      <c r="L474" s="5" t="str">
        <f>TEXT(Table1[[#This Row],[Order_Date]],"MMM")</f>
        <v>Mar</v>
      </c>
      <c r="M474" s="5" t="str">
        <f>IF(Table1[[#This Row],[Profit]]&gt;=1000,"Excellent",IF(Table1[[#This Row],[Profit]]&gt;=500,"Good", IF(Table1[[#This Row],[Profit]]&lt;500,"Low")))</f>
        <v>Low</v>
      </c>
      <c r="N474" s="7" t="str">
        <f>TEXT(Table1[[#This Row],[Order_Date]],"YYY")</f>
        <v>2024</v>
      </c>
    </row>
    <row r="475" spans="1:14" x14ac:dyDescent="0.3">
      <c r="A475" s="4">
        <v>45365</v>
      </c>
      <c r="B475" s="5" t="s">
        <v>18</v>
      </c>
      <c r="C475" s="5" t="s">
        <v>23</v>
      </c>
      <c r="D475" s="23">
        <v>425.87</v>
      </c>
      <c r="E475" s="23">
        <v>122.23</v>
      </c>
      <c r="F475" s="23">
        <v>303.64</v>
      </c>
      <c r="G475" s="5" t="s">
        <v>6</v>
      </c>
      <c r="H475" s="5" t="s">
        <v>12</v>
      </c>
      <c r="I475" s="5" t="s">
        <v>25</v>
      </c>
      <c r="J475" s="6">
        <f>Table1[[#This Row],[Profit]]/Table1[[#This Row],[Sales]]</f>
        <v>0.71298753140629767</v>
      </c>
      <c r="K475" s="5" t="str">
        <f t="shared" si="7"/>
        <v>Low</v>
      </c>
      <c r="L475" s="5" t="str">
        <f>TEXT(Table1[[#This Row],[Order_Date]],"MMM")</f>
        <v>Mar</v>
      </c>
      <c r="M475" s="5" t="str">
        <f>IF(Table1[[#This Row],[Profit]]&gt;=1000,"Excellent",IF(Table1[[#This Row],[Profit]]&gt;=500,"Good", IF(Table1[[#This Row],[Profit]]&lt;500,"Low")))</f>
        <v>Low</v>
      </c>
      <c r="N475" s="7" t="str">
        <f>TEXT(Table1[[#This Row],[Order_Date]],"YYY")</f>
        <v>2024</v>
      </c>
    </row>
    <row r="476" spans="1:14" x14ac:dyDescent="0.3">
      <c r="A476" s="4">
        <v>45366</v>
      </c>
      <c r="B476" s="5" t="s">
        <v>8</v>
      </c>
      <c r="C476" s="5" t="s">
        <v>23</v>
      </c>
      <c r="D476" s="23">
        <v>68.739999999999995</v>
      </c>
      <c r="E476" s="23">
        <v>26.13</v>
      </c>
      <c r="F476" s="23">
        <v>42.61</v>
      </c>
      <c r="G476" s="5" t="s">
        <v>32</v>
      </c>
      <c r="H476" s="5" t="s">
        <v>28</v>
      </c>
      <c r="I476" s="5" t="s">
        <v>17</v>
      </c>
      <c r="J476" s="6">
        <f>Table1[[#This Row],[Profit]]/Table1[[#This Row],[Sales]]</f>
        <v>0.6198719813791097</v>
      </c>
      <c r="K476" s="5" t="str">
        <f t="shared" si="7"/>
        <v>Low</v>
      </c>
      <c r="L476" s="5" t="str">
        <f>TEXT(Table1[[#This Row],[Order_Date]],"MMM")</f>
        <v>Mar</v>
      </c>
      <c r="M476" s="5" t="str">
        <f>IF(Table1[[#This Row],[Profit]]&gt;=1000,"Excellent",IF(Table1[[#This Row],[Profit]]&gt;=500,"Good", IF(Table1[[#This Row],[Profit]]&lt;500,"Low")))</f>
        <v>Low</v>
      </c>
      <c r="N476" s="7" t="str">
        <f>TEXT(Table1[[#This Row],[Order_Date]],"YYY")</f>
        <v>2024</v>
      </c>
    </row>
    <row r="477" spans="1:14" x14ac:dyDescent="0.3">
      <c r="A477" s="4">
        <v>45367</v>
      </c>
      <c r="B477" s="5" t="s">
        <v>8</v>
      </c>
      <c r="C477" s="5" t="s">
        <v>26</v>
      </c>
      <c r="D477" s="23">
        <v>891.54</v>
      </c>
      <c r="E477" s="23">
        <v>288.13</v>
      </c>
      <c r="F477" s="23">
        <v>603.41</v>
      </c>
      <c r="G477" s="5" t="s">
        <v>32</v>
      </c>
      <c r="H477" s="5" t="s">
        <v>28</v>
      </c>
      <c r="I477" s="5" t="s">
        <v>11</v>
      </c>
      <c r="J477" s="6">
        <f>Table1[[#This Row],[Profit]]/Table1[[#This Row],[Sales]]</f>
        <v>0.67681764138457046</v>
      </c>
      <c r="K477" s="5" t="str">
        <f t="shared" si="7"/>
        <v>Low</v>
      </c>
      <c r="L477" s="5" t="str">
        <f>TEXT(Table1[[#This Row],[Order_Date]],"MMM")</f>
        <v>Mar</v>
      </c>
      <c r="M477" s="5" t="str">
        <f>IF(Table1[[#This Row],[Profit]]&gt;=1000,"Excellent",IF(Table1[[#This Row],[Profit]]&gt;=500,"Good", IF(Table1[[#This Row],[Profit]]&lt;500,"Low")))</f>
        <v>Good</v>
      </c>
      <c r="N477" s="7" t="str">
        <f>TEXT(Table1[[#This Row],[Order_Date]],"YYY")</f>
        <v>2024</v>
      </c>
    </row>
    <row r="478" spans="1:14" x14ac:dyDescent="0.3">
      <c r="A478" s="4">
        <v>45367</v>
      </c>
      <c r="B478" s="5" t="s">
        <v>16</v>
      </c>
      <c r="C478" s="5" t="s">
        <v>26</v>
      </c>
      <c r="D478" s="23">
        <v>352.05</v>
      </c>
      <c r="E478" s="23">
        <v>114.86</v>
      </c>
      <c r="F478" s="23">
        <v>237.19</v>
      </c>
      <c r="G478" s="5" t="s">
        <v>20</v>
      </c>
      <c r="H478" s="5" t="s">
        <v>36</v>
      </c>
      <c r="I478" s="5" t="s">
        <v>25</v>
      </c>
      <c r="J478" s="6">
        <f>Table1[[#This Row],[Profit]]/Table1[[#This Row],[Sales]]</f>
        <v>0.67373952563556305</v>
      </c>
      <c r="K478" s="5" t="str">
        <f t="shared" si="7"/>
        <v>Low</v>
      </c>
      <c r="L478" s="5" t="str">
        <f>TEXT(Table1[[#This Row],[Order_Date]],"MMM")</f>
        <v>Mar</v>
      </c>
      <c r="M478" s="5" t="str">
        <f>IF(Table1[[#This Row],[Profit]]&gt;=1000,"Excellent",IF(Table1[[#This Row],[Profit]]&gt;=500,"Good", IF(Table1[[#This Row],[Profit]]&lt;500,"Low")))</f>
        <v>Low</v>
      </c>
      <c r="N478" s="7" t="str">
        <f>TEXT(Table1[[#This Row],[Order_Date]],"YYY")</f>
        <v>2024</v>
      </c>
    </row>
    <row r="479" spans="1:14" x14ac:dyDescent="0.3">
      <c r="A479" s="4">
        <v>45368</v>
      </c>
      <c r="B479" s="5" t="s">
        <v>18</v>
      </c>
      <c r="C479" s="5" t="s">
        <v>31</v>
      </c>
      <c r="D479" s="23">
        <v>184.41</v>
      </c>
      <c r="E479" s="23">
        <v>51.96</v>
      </c>
      <c r="F479" s="23">
        <v>132.44999999999999</v>
      </c>
      <c r="G479" s="5" t="s">
        <v>9</v>
      </c>
      <c r="H479" s="5" t="s">
        <v>3</v>
      </c>
      <c r="I479" s="5" t="s">
        <v>25</v>
      </c>
      <c r="J479" s="6">
        <f>Table1[[#This Row],[Profit]]/Table1[[#This Row],[Sales]]</f>
        <v>0.71823653814869037</v>
      </c>
      <c r="K479" s="5" t="str">
        <f t="shared" si="7"/>
        <v>Low</v>
      </c>
      <c r="L479" s="5" t="str">
        <f>TEXT(Table1[[#This Row],[Order_Date]],"MMM")</f>
        <v>Mar</v>
      </c>
      <c r="M479" s="5" t="str">
        <f>IF(Table1[[#This Row],[Profit]]&gt;=1000,"Excellent",IF(Table1[[#This Row],[Profit]]&gt;=500,"Good", IF(Table1[[#This Row],[Profit]]&lt;500,"Low")))</f>
        <v>Low</v>
      </c>
      <c r="N479" s="7" t="str">
        <f>TEXT(Table1[[#This Row],[Order_Date]],"YYY")</f>
        <v>2024</v>
      </c>
    </row>
    <row r="480" spans="1:14" x14ac:dyDescent="0.3">
      <c r="A480" s="4">
        <v>45369</v>
      </c>
      <c r="B480" s="5" t="s">
        <v>13</v>
      </c>
      <c r="C480" s="5" t="s">
        <v>26</v>
      </c>
      <c r="D480" s="23">
        <v>509.26</v>
      </c>
      <c r="E480" s="23">
        <v>169.52</v>
      </c>
      <c r="F480" s="23">
        <v>339.74</v>
      </c>
      <c r="G480" s="5" t="s">
        <v>2</v>
      </c>
      <c r="H480" s="5" t="s">
        <v>29</v>
      </c>
      <c r="I480" s="5" t="s">
        <v>11</v>
      </c>
      <c r="J480" s="6">
        <f>Table1[[#This Row],[Profit]]/Table1[[#This Row],[Sales]]</f>
        <v>0.6671248478184032</v>
      </c>
      <c r="K480" s="5" t="str">
        <f t="shared" si="7"/>
        <v>Low</v>
      </c>
      <c r="L480" s="5" t="str">
        <f>TEXT(Table1[[#This Row],[Order_Date]],"MMM")</f>
        <v>Mar</v>
      </c>
      <c r="M480" s="5" t="str">
        <f>IF(Table1[[#This Row],[Profit]]&gt;=1000,"Excellent",IF(Table1[[#This Row],[Profit]]&gt;=500,"Good", IF(Table1[[#This Row],[Profit]]&lt;500,"Low")))</f>
        <v>Low</v>
      </c>
      <c r="N480" s="7" t="str">
        <f>TEXT(Table1[[#This Row],[Order_Date]],"YYY")</f>
        <v>2024</v>
      </c>
    </row>
    <row r="481" spans="1:14" x14ac:dyDescent="0.3">
      <c r="A481" s="4">
        <v>45371</v>
      </c>
      <c r="B481" s="5" t="s">
        <v>0</v>
      </c>
      <c r="C481" s="5" t="s">
        <v>1</v>
      </c>
      <c r="D481" s="23">
        <v>739.16</v>
      </c>
      <c r="E481" s="23">
        <v>415.81</v>
      </c>
      <c r="F481" s="23">
        <v>323.35000000000002</v>
      </c>
      <c r="G481" s="5" t="s">
        <v>6</v>
      </c>
      <c r="H481" s="5" t="s">
        <v>28</v>
      </c>
      <c r="I481" s="5" t="s">
        <v>4</v>
      </c>
      <c r="J481" s="6">
        <f>Table1[[#This Row],[Profit]]/Table1[[#This Row],[Sales]]</f>
        <v>0.43745603117051796</v>
      </c>
      <c r="K481" s="5" t="str">
        <f t="shared" si="7"/>
        <v>Low</v>
      </c>
      <c r="L481" s="5" t="str">
        <f>TEXT(Table1[[#This Row],[Order_Date]],"MMM")</f>
        <v>Mar</v>
      </c>
      <c r="M481" s="5" t="str">
        <f>IF(Table1[[#This Row],[Profit]]&gt;=1000,"Excellent",IF(Table1[[#This Row],[Profit]]&gt;=500,"Good", IF(Table1[[#This Row],[Profit]]&lt;500,"Low")))</f>
        <v>Low</v>
      </c>
      <c r="N481" s="7" t="str">
        <f>TEXT(Table1[[#This Row],[Order_Date]],"YYY")</f>
        <v>2024</v>
      </c>
    </row>
    <row r="482" spans="1:14" x14ac:dyDescent="0.3">
      <c r="A482" s="4">
        <v>45371</v>
      </c>
      <c r="B482" s="5" t="s">
        <v>18</v>
      </c>
      <c r="C482" s="5" t="s">
        <v>31</v>
      </c>
      <c r="D482" s="23">
        <v>101.85</v>
      </c>
      <c r="E482" s="23">
        <v>29.37</v>
      </c>
      <c r="F482" s="23">
        <v>72.48</v>
      </c>
      <c r="G482" s="5" t="s">
        <v>6</v>
      </c>
      <c r="H482" s="5" t="s">
        <v>36</v>
      </c>
      <c r="I482" s="5" t="s">
        <v>17</v>
      </c>
      <c r="J482" s="6">
        <f>Table1[[#This Row],[Profit]]/Table1[[#This Row],[Sales]]</f>
        <v>0.71163475699558176</v>
      </c>
      <c r="K482" s="5" t="str">
        <f t="shared" si="7"/>
        <v>Low</v>
      </c>
      <c r="L482" s="5" t="str">
        <f>TEXT(Table1[[#This Row],[Order_Date]],"MMM")</f>
        <v>Mar</v>
      </c>
      <c r="M482" s="5" t="str">
        <f>IF(Table1[[#This Row],[Profit]]&gt;=1000,"Excellent",IF(Table1[[#This Row],[Profit]]&gt;=500,"Good", IF(Table1[[#This Row],[Profit]]&lt;500,"Low")))</f>
        <v>Low</v>
      </c>
      <c r="N482" s="7" t="str">
        <f>TEXT(Table1[[#This Row],[Order_Date]],"YYY")</f>
        <v>2024</v>
      </c>
    </row>
    <row r="483" spans="1:14" x14ac:dyDescent="0.3">
      <c r="A483" s="4">
        <v>45371</v>
      </c>
      <c r="B483" s="5" t="s">
        <v>18</v>
      </c>
      <c r="C483" s="5" t="s">
        <v>1</v>
      </c>
      <c r="D483" s="23">
        <v>58.63</v>
      </c>
      <c r="E483" s="23">
        <v>29.21</v>
      </c>
      <c r="F483" s="23">
        <v>29.42</v>
      </c>
      <c r="G483" s="5" t="s">
        <v>20</v>
      </c>
      <c r="H483" s="5" t="s">
        <v>29</v>
      </c>
      <c r="I483" s="5" t="s">
        <v>25</v>
      </c>
      <c r="J483" s="6">
        <f>Table1[[#This Row],[Profit]]/Table1[[#This Row],[Sales]]</f>
        <v>0.50179089203479443</v>
      </c>
      <c r="K483" s="5" t="str">
        <f t="shared" si="7"/>
        <v>Low</v>
      </c>
      <c r="L483" s="5" t="str">
        <f>TEXT(Table1[[#This Row],[Order_Date]],"MMM")</f>
        <v>Mar</v>
      </c>
      <c r="M483" s="5" t="str">
        <f>IF(Table1[[#This Row],[Profit]]&gt;=1000,"Excellent",IF(Table1[[#This Row],[Profit]]&gt;=500,"Good", IF(Table1[[#This Row],[Profit]]&lt;500,"Low")))</f>
        <v>Low</v>
      </c>
      <c r="N483" s="7" t="str">
        <f>TEXT(Table1[[#This Row],[Order_Date]],"YYY")</f>
        <v>2024</v>
      </c>
    </row>
    <row r="484" spans="1:14" x14ac:dyDescent="0.3">
      <c r="A484" s="4">
        <v>45372</v>
      </c>
      <c r="B484" s="5" t="s">
        <v>16</v>
      </c>
      <c r="C484" s="5" t="s">
        <v>19</v>
      </c>
      <c r="D484" s="23">
        <v>53.14</v>
      </c>
      <c r="E484" s="23">
        <v>22.69</v>
      </c>
      <c r="F484" s="23">
        <v>30.45</v>
      </c>
      <c r="G484" s="5" t="s">
        <v>2</v>
      </c>
      <c r="H484" s="5" t="s">
        <v>30</v>
      </c>
      <c r="I484" s="5" t="s">
        <v>4</v>
      </c>
      <c r="J484" s="6">
        <f>Table1[[#This Row],[Profit]]/Table1[[#This Row],[Sales]]</f>
        <v>0.57301467820850582</v>
      </c>
      <c r="K484" s="5" t="str">
        <f t="shared" si="7"/>
        <v>Low</v>
      </c>
      <c r="L484" s="5" t="str">
        <f>TEXT(Table1[[#This Row],[Order_Date]],"MMM")</f>
        <v>Mar</v>
      </c>
      <c r="M484" s="5" t="str">
        <f>IF(Table1[[#This Row],[Profit]]&gt;=1000,"Excellent",IF(Table1[[#This Row],[Profit]]&gt;=500,"Good", IF(Table1[[#This Row],[Profit]]&lt;500,"Low")))</f>
        <v>Low</v>
      </c>
      <c r="N484" s="7" t="str">
        <f>TEXT(Table1[[#This Row],[Order_Date]],"YYY")</f>
        <v>2024</v>
      </c>
    </row>
    <row r="485" spans="1:14" x14ac:dyDescent="0.3">
      <c r="A485" s="4">
        <v>45372</v>
      </c>
      <c r="B485" s="5" t="s">
        <v>16</v>
      </c>
      <c r="C485" s="5" t="s">
        <v>5</v>
      </c>
      <c r="D485" s="23">
        <v>952.94</v>
      </c>
      <c r="E485" s="23">
        <v>384.72</v>
      </c>
      <c r="F485" s="23">
        <v>568.22</v>
      </c>
      <c r="G485" s="5" t="s">
        <v>20</v>
      </c>
      <c r="H485" s="5" t="s">
        <v>29</v>
      </c>
      <c r="I485" s="5" t="s">
        <v>22</v>
      </c>
      <c r="J485" s="6">
        <f>Table1[[#This Row],[Profit]]/Table1[[#This Row],[Sales]]</f>
        <v>0.59628098306294208</v>
      </c>
      <c r="K485" s="5" t="str">
        <f t="shared" si="7"/>
        <v>Low</v>
      </c>
      <c r="L485" s="5" t="str">
        <f>TEXT(Table1[[#This Row],[Order_Date]],"MMM")</f>
        <v>Mar</v>
      </c>
      <c r="M485" s="5" t="str">
        <f>IF(Table1[[#This Row],[Profit]]&gt;=1000,"Excellent",IF(Table1[[#This Row],[Profit]]&gt;=500,"Good", IF(Table1[[#This Row],[Profit]]&lt;500,"Low")))</f>
        <v>Good</v>
      </c>
      <c r="N485" s="7" t="str">
        <f>TEXT(Table1[[#This Row],[Order_Date]],"YYY")</f>
        <v>2024</v>
      </c>
    </row>
    <row r="486" spans="1:14" x14ac:dyDescent="0.3">
      <c r="A486" s="4">
        <v>45372</v>
      </c>
      <c r="B486" s="5" t="s">
        <v>16</v>
      </c>
      <c r="C486" s="5" t="s">
        <v>19</v>
      </c>
      <c r="D486" s="23">
        <v>133.44999999999999</v>
      </c>
      <c r="E486" s="23">
        <v>53.63</v>
      </c>
      <c r="F486" s="23">
        <v>79.819999999999993</v>
      </c>
      <c r="G486" s="5" t="s">
        <v>32</v>
      </c>
      <c r="H486" s="5" t="s">
        <v>36</v>
      </c>
      <c r="I486" s="5" t="s">
        <v>17</v>
      </c>
      <c r="J486" s="6">
        <f>Table1[[#This Row],[Profit]]/Table1[[#This Row],[Sales]]</f>
        <v>0.59812663919070808</v>
      </c>
      <c r="K486" s="5" t="str">
        <f t="shared" si="7"/>
        <v>Low</v>
      </c>
      <c r="L486" s="5" t="str">
        <f>TEXT(Table1[[#This Row],[Order_Date]],"MMM")</f>
        <v>Mar</v>
      </c>
      <c r="M486" s="5" t="str">
        <f>IF(Table1[[#This Row],[Profit]]&gt;=1000,"Excellent",IF(Table1[[#This Row],[Profit]]&gt;=500,"Good", IF(Table1[[#This Row],[Profit]]&lt;500,"Low")))</f>
        <v>Low</v>
      </c>
      <c r="N486" s="7" t="str">
        <f>TEXT(Table1[[#This Row],[Order_Date]],"YYY")</f>
        <v>2024</v>
      </c>
    </row>
    <row r="487" spans="1:14" x14ac:dyDescent="0.3">
      <c r="A487" s="4">
        <v>45372</v>
      </c>
      <c r="B487" s="5" t="s">
        <v>0</v>
      </c>
      <c r="C487" s="5" t="s">
        <v>14</v>
      </c>
      <c r="D487" s="23">
        <v>235.67</v>
      </c>
      <c r="E487" s="23">
        <v>113.87</v>
      </c>
      <c r="F487" s="23">
        <v>121.8</v>
      </c>
      <c r="G487" s="5" t="s">
        <v>6</v>
      </c>
      <c r="H487" s="5" t="s">
        <v>33</v>
      </c>
      <c r="I487" s="5" t="s">
        <v>22</v>
      </c>
      <c r="J487" s="6">
        <f>Table1[[#This Row],[Profit]]/Table1[[#This Row],[Sales]]</f>
        <v>0.51682437306403017</v>
      </c>
      <c r="K487" s="5" t="str">
        <f t="shared" si="7"/>
        <v>Low</v>
      </c>
      <c r="L487" s="5" t="str">
        <f>TEXT(Table1[[#This Row],[Order_Date]],"MMM")</f>
        <v>Mar</v>
      </c>
      <c r="M487" s="5" t="str">
        <f>IF(Table1[[#This Row],[Profit]]&gt;=1000,"Excellent",IF(Table1[[#This Row],[Profit]]&gt;=500,"Good", IF(Table1[[#This Row],[Profit]]&lt;500,"Low")))</f>
        <v>Low</v>
      </c>
      <c r="N487" s="7" t="str">
        <f>TEXT(Table1[[#This Row],[Order_Date]],"YYY")</f>
        <v>2024</v>
      </c>
    </row>
    <row r="488" spans="1:14" x14ac:dyDescent="0.3">
      <c r="A488" s="4">
        <v>45372</v>
      </c>
      <c r="B488" s="5" t="s">
        <v>16</v>
      </c>
      <c r="C488" s="5" t="s">
        <v>26</v>
      </c>
      <c r="D488" s="23">
        <v>813.01</v>
      </c>
      <c r="E488" s="23">
        <v>238.33</v>
      </c>
      <c r="F488" s="23">
        <v>574.67999999999995</v>
      </c>
      <c r="G488" s="5" t="s">
        <v>6</v>
      </c>
      <c r="H488" s="5" t="s">
        <v>35</v>
      </c>
      <c r="I488" s="5" t="s">
        <v>4</v>
      </c>
      <c r="J488" s="6">
        <f>Table1[[#This Row],[Profit]]/Table1[[#This Row],[Sales]]</f>
        <v>0.70685477423401921</v>
      </c>
      <c r="K488" s="5" t="str">
        <f t="shared" si="7"/>
        <v>Low</v>
      </c>
      <c r="L488" s="5" t="str">
        <f>TEXT(Table1[[#This Row],[Order_Date]],"MMM")</f>
        <v>Mar</v>
      </c>
      <c r="M488" s="5" t="str">
        <f>IF(Table1[[#This Row],[Profit]]&gt;=1000,"Excellent",IF(Table1[[#This Row],[Profit]]&gt;=500,"Good", IF(Table1[[#This Row],[Profit]]&lt;500,"Low")))</f>
        <v>Good</v>
      </c>
      <c r="N488" s="7" t="str">
        <f>TEXT(Table1[[#This Row],[Order_Date]],"YYY")</f>
        <v>2024</v>
      </c>
    </row>
    <row r="489" spans="1:14" x14ac:dyDescent="0.3">
      <c r="A489" s="4">
        <v>45373</v>
      </c>
      <c r="B489" s="5" t="s">
        <v>0</v>
      </c>
      <c r="C489" s="5" t="s">
        <v>31</v>
      </c>
      <c r="D489" s="23">
        <v>52.41</v>
      </c>
      <c r="E489" s="23">
        <v>17.59</v>
      </c>
      <c r="F489" s="23">
        <v>34.82</v>
      </c>
      <c r="G489" s="5" t="s">
        <v>9</v>
      </c>
      <c r="H489" s="5" t="s">
        <v>36</v>
      </c>
      <c r="I489" s="5" t="s">
        <v>11</v>
      </c>
      <c r="J489" s="6">
        <f>Table1[[#This Row],[Profit]]/Table1[[#This Row],[Sales]]</f>
        <v>0.66437702728486936</v>
      </c>
      <c r="K489" s="5" t="str">
        <f t="shared" si="7"/>
        <v>Low</v>
      </c>
      <c r="L489" s="5" t="str">
        <f>TEXT(Table1[[#This Row],[Order_Date]],"MMM")</f>
        <v>Mar</v>
      </c>
      <c r="M489" s="5" t="str">
        <f>IF(Table1[[#This Row],[Profit]]&gt;=1000,"Excellent",IF(Table1[[#This Row],[Profit]]&gt;=500,"Good", IF(Table1[[#This Row],[Profit]]&lt;500,"Low")))</f>
        <v>Low</v>
      </c>
      <c r="N489" s="7" t="str">
        <f>TEXT(Table1[[#This Row],[Order_Date]],"YYY")</f>
        <v>2024</v>
      </c>
    </row>
    <row r="490" spans="1:14" x14ac:dyDescent="0.3">
      <c r="A490" s="4">
        <v>45373</v>
      </c>
      <c r="B490" s="5" t="s">
        <v>13</v>
      </c>
      <c r="C490" s="5" t="s">
        <v>5</v>
      </c>
      <c r="D490" s="23">
        <v>1255.78</v>
      </c>
      <c r="E490" s="23">
        <v>388.48</v>
      </c>
      <c r="F490" s="23">
        <v>867.3</v>
      </c>
      <c r="G490" s="5" t="s">
        <v>6</v>
      </c>
      <c r="H490" s="5" t="s">
        <v>33</v>
      </c>
      <c r="I490" s="5" t="s">
        <v>4</v>
      </c>
      <c r="J490" s="6">
        <f>Table1[[#This Row],[Profit]]/Table1[[#This Row],[Sales]]</f>
        <v>0.69064645081144782</v>
      </c>
      <c r="K490" s="5" t="str">
        <f t="shared" si="7"/>
        <v>Low</v>
      </c>
      <c r="L490" s="5" t="str">
        <f>TEXT(Table1[[#This Row],[Order_Date]],"MMM")</f>
        <v>Mar</v>
      </c>
      <c r="M490" s="5" t="str">
        <f>IF(Table1[[#This Row],[Profit]]&gt;=1000,"Excellent",IF(Table1[[#This Row],[Profit]]&gt;=500,"Good", IF(Table1[[#This Row],[Profit]]&lt;500,"Low")))</f>
        <v>Good</v>
      </c>
      <c r="N490" s="7" t="str">
        <f>TEXT(Table1[[#This Row],[Order_Date]],"YYY")</f>
        <v>2024</v>
      </c>
    </row>
    <row r="491" spans="1:14" x14ac:dyDescent="0.3">
      <c r="A491" s="4">
        <v>45374</v>
      </c>
      <c r="B491" s="5" t="s">
        <v>16</v>
      </c>
      <c r="C491" s="5" t="s">
        <v>26</v>
      </c>
      <c r="D491" s="23">
        <v>575.97</v>
      </c>
      <c r="E491" s="23">
        <v>176.91</v>
      </c>
      <c r="F491" s="23">
        <v>399.06</v>
      </c>
      <c r="G491" s="5" t="s">
        <v>32</v>
      </c>
      <c r="H491" s="5" t="s">
        <v>15</v>
      </c>
      <c r="I491" s="5" t="s">
        <v>4</v>
      </c>
      <c r="J491" s="6">
        <f>Table1[[#This Row],[Profit]]/Table1[[#This Row],[Sales]]</f>
        <v>0.69284858586384701</v>
      </c>
      <c r="K491" s="5" t="str">
        <f t="shared" si="7"/>
        <v>Low</v>
      </c>
      <c r="L491" s="5" t="str">
        <f>TEXT(Table1[[#This Row],[Order_Date]],"MMM")</f>
        <v>Mar</v>
      </c>
      <c r="M491" s="5" t="str">
        <f>IF(Table1[[#This Row],[Profit]]&gt;=1000,"Excellent",IF(Table1[[#This Row],[Profit]]&gt;=500,"Good", IF(Table1[[#This Row],[Profit]]&lt;500,"Low")))</f>
        <v>Low</v>
      </c>
      <c r="N491" s="7" t="str">
        <f>TEXT(Table1[[#This Row],[Order_Date]],"YYY")</f>
        <v>2024</v>
      </c>
    </row>
    <row r="492" spans="1:14" x14ac:dyDescent="0.3">
      <c r="A492" s="4">
        <v>45374</v>
      </c>
      <c r="B492" s="5" t="s">
        <v>16</v>
      </c>
      <c r="C492" s="5" t="s">
        <v>19</v>
      </c>
      <c r="D492" s="23">
        <v>135.49</v>
      </c>
      <c r="E492" s="23">
        <v>33.619999999999997</v>
      </c>
      <c r="F492" s="23">
        <v>101.87</v>
      </c>
      <c r="G492" s="5" t="s">
        <v>32</v>
      </c>
      <c r="H492" s="5" t="s">
        <v>36</v>
      </c>
      <c r="I492" s="5" t="s">
        <v>17</v>
      </c>
      <c r="J492" s="6">
        <f>Table1[[#This Row],[Profit]]/Table1[[#This Row],[Sales]]</f>
        <v>0.7518636061701971</v>
      </c>
      <c r="K492" s="5" t="str">
        <f t="shared" si="7"/>
        <v>Low</v>
      </c>
      <c r="L492" s="5" t="str">
        <f>TEXT(Table1[[#This Row],[Order_Date]],"MMM")</f>
        <v>Mar</v>
      </c>
      <c r="M492" s="5" t="str">
        <f>IF(Table1[[#This Row],[Profit]]&gt;=1000,"Excellent",IF(Table1[[#This Row],[Profit]]&gt;=500,"Good", IF(Table1[[#This Row],[Profit]]&lt;500,"Low")))</f>
        <v>Low</v>
      </c>
      <c r="N492" s="7" t="str">
        <f>TEXT(Table1[[#This Row],[Order_Date]],"YYY")</f>
        <v>2024</v>
      </c>
    </row>
    <row r="493" spans="1:14" x14ac:dyDescent="0.3">
      <c r="A493" s="4">
        <v>45374</v>
      </c>
      <c r="B493" s="5" t="s">
        <v>16</v>
      </c>
      <c r="C493" s="5" t="s">
        <v>5</v>
      </c>
      <c r="D493" s="23">
        <v>342.19</v>
      </c>
      <c r="E493" s="23">
        <v>136.96</v>
      </c>
      <c r="F493" s="23">
        <v>205.23</v>
      </c>
      <c r="G493" s="5" t="s">
        <v>32</v>
      </c>
      <c r="H493" s="5" t="s">
        <v>3</v>
      </c>
      <c r="I493" s="5" t="s">
        <v>4</v>
      </c>
      <c r="J493" s="6">
        <f>Table1[[#This Row],[Profit]]/Table1[[#This Row],[Sales]]</f>
        <v>0.59975452234138926</v>
      </c>
      <c r="K493" s="5" t="str">
        <f t="shared" si="7"/>
        <v>Low</v>
      </c>
      <c r="L493" s="5" t="str">
        <f>TEXT(Table1[[#This Row],[Order_Date]],"MMM")</f>
        <v>Mar</v>
      </c>
      <c r="M493" s="5" t="str">
        <f>IF(Table1[[#This Row],[Profit]]&gt;=1000,"Excellent",IF(Table1[[#This Row],[Profit]]&gt;=500,"Good", IF(Table1[[#This Row],[Profit]]&lt;500,"Low")))</f>
        <v>Low</v>
      </c>
      <c r="N493" s="7" t="str">
        <f>TEXT(Table1[[#This Row],[Order_Date]],"YYY")</f>
        <v>2024</v>
      </c>
    </row>
    <row r="494" spans="1:14" x14ac:dyDescent="0.3">
      <c r="A494" s="4">
        <v>45374</v>
      </c>
      <c r="B494" s="5" t="s">
        <v>0</v>
      </c>
      <c r="C494" s="5" t="s">
        <v>1</v>
      </c>
      <c r="D494" s="23">
        <v>303.02</v>
      </c>
      <c r="E494" s="23">
        <v>146.11000000000001</v>
      </c>
      <c r="F494" s="23">
        <v>156.91</v>
      </c>
      <c r="G494" s="5" t="s">
        <v>32</v>
      </c>
      <c r="H494" s="5" t="s">
        <v>34</v>
      </c>
      <c r="I494" s="5" t="s">
        <v>25</v>
      </c>
      <c r="J494" s="6">
        <f>Table1[[#This Row],[Profit]]/Table1[[#This Row],[Sales]]</f>
        <v>0.51782060590060064</v>
      </c>
      <c r="K494" s="5" t="str">
        <f t="shared" si="7"/>
        <v>Low</v>
      </c>
      <c r="L494" s="5" t="str">
        <f>TEXT(Table1[[#This Row],[Order_Date]],"MMM")</f>
        <v>Mar</v>
      </c>
      <c r="M494" s="5" t="str">
        <f>IF(Table1[[#This Row],[Profit]]&gt;=1000,"Excellent",IF(Table1[[#This Row],[Profit]]&gt;=500,"Good", IF(Table1[[#This Row],[Profit]]&lt;500,"Low")))</f>
        <v>Low</v>
      </c>
      <c r="N494" s="7" t="str">
        <f>TEXT(Table1[[#This Row],[Order_Date]],"YYY")</f>
        <v>2024</v>
      </c>
    </row>
    <row r="495" spans="1:14" x14ac:dyDescent="0.3">
      <c r="A495" s="4">
        <v>45376</v>
      </c>
      <c r="B495" s="5" t="s">
        <v>8</v>
      </c>
      <c r="C495" s="5" t="s">
        <v>19</v>
      </c>
      <c r="D495" s="23">
        <v>120.89</v>
      </c>
      <c r="E495" s="23">
        <v>41.1</v>
      </c>
      <c r="F495" s="23">
        <v>79.790000000000006</v>
      </c>
      <c r="G495" s="5" t="s">
        <v>20</v>
      </c>
      <c r="H495" s="5" t="s">
        <v>24</v>
      </c>
      <c r="I495" s="5" t="s">
        <v>4</v>
      </c>
      <c r="J495" s="6">
        <f>Table1[[#This Row],[Profit]]/Table1[[#This Row],[Sales]]</f>
        <v>0.6600215071552652</v>
      </c>
      <c r="K495" s="5" t="str">
        <f t="shared" si="7"/>
        <v>Low</v>
      </c>
      <c r="L495" s="5" t="str">
        <f>TEXT(Table1[[#This Row],[Order_Date]],"MMM")</f>
        <v>Mar</v>
      </c>
      <c r="M495" s="5" t="str">
        <f>IF(Table1[[#This Row],[Profit]]&gt;=1000,"Excellent",IF(Table1[[#This Row],[Profit]]&gt;=500,"Good", IF(Table1[[#This Row],[Profit]]&lt;500,"Low")))</f>
        <v>Low</v>
      </c>
      <c r="N495" s="7" t="str">
        <f>TEXT(Table1[[#This Row],[Order_Date]],"YYY")</f>
        <v>2024</v>
      </c>
    </row>
    <row r="496" spans="1:14" x14ac:dyDescent="0.3">
      <c r="A496" s="4">
        <v>45376</v>
      </c>
      <c r="B496" s="5" t="s">
        <v>13</v>
      </c>
      <c r="C496" s="5" t="s">
        <v>1</v>
      </c>
      <c r="D496" s="23">
        <v>64.040000000000006</v>
      </c>
      <c r="E496" s="23">
        <v>31.85</v>
      </c>
      <c r="F496" s="23">
        <v>32.19</v>
      </c>
      <c r="G496" s="5" t="s">
        <v>6</v>
      </c>
      <c r="H496" s="5" t="s">
        <v>15</v>
      </c>
      <c r="I496" s="5" t="s">
        <v>22</v>
      </c>
      <c r="J496" s="6">
        <f>Table1[[#This Row],[Profit]]/Table1[[#This Row],[Sales]]</f>
        <v>0.50265459088069953</v>
      </c>
      <c r="K496" s="5" t="str">
        <f t="shared" si="7"/>
        <v>Low</v>
      </c>
      <c r="L496" s="5" t="str">
        <f>TEXT(Table1[[#This Row],[Order_Date]],"MMM")</f>
        <v>Mar</v>
      </c>
      <c r="M496" s="5" t="str">
        <f>IF(Table1[[#This Row],[Profit]]&gt;=1000,"Excellent",IF(Table1[[#This Row],[Profit]]&gt;=500,"Good", IF(Table1[[#This Row],[Profit]]&lt;500,"Low")))</f>
        <v>Low</v>
      </c>
      <c r="N496" s="7" t="str">
        <f>TEXT(Table1[[#This Row],[Order_Date]],"YYY")</f>
        <v>2024</v>
      </c>
    </row>
    <row r="497" spans="1:14" x14ac:dyDescent="0.3">
      <c r="A497" s="4">
        <v>45377</v>
      </c>
      <c r="B497" s="5" t="s">
        <v>0</v>
      </c>
      <c r="C497" s="5" t="s">
        <v>26</v>
      </c>
      <c r="D497" s="23">
        <v>819.48</v>
      </c>
      <c r="E497" s="23">
        <v>349.87</v>
      </c>
      <c r="F497" s="23">
        <v>469.61</v>
      </c>
      <c r="G497" s="5" t="s">
        <v>2</v>
      </c>
      <c r="H497" s="5" t="s">
        <v>30</v>
      </c>
      <c r="I497" s="5" t="s">
        <v>22</v>
      </c>
      <c r="J497" s="6">
        <f>Table1[[#This Row],[Profit]]/Table1[[#This Row],[Sales]]</f>
        <v>0.57305852491824083</v>
      </c>
      <c r="K497" s="5" t="str">
        <f t="shared" si="7"/>
        <v>Low</v>
      </c>
      <c r="L497" s="5" t="str">
        <f>TEXT(Table1[[#This Row],[Order_Date]],"MMM")</f>
        <v>Mar</v>
      </c>
      <c r="M497" s="5" t="str">
        <f>IF(Table1[[#This Row],[Profit]]&gt;=1000,"Excellent",IF(Table1[[#This Row],[Profit]]&gt;=500,"Good", IF(Table1[[#This Row],[Profit]]&lt;500,"Low")))</f>
        <v>Low</v>
      </c>
      <c r="N497" s="7" t="str">
        <f>TEXT(Table1[[#This Row],[Order_Date]],"YYY")</f>
        <v>2024</v>
      </c>
    </row>
    <row r="498" spans="1:14" x14ac:dyDescent="0.3">
      <c r="A498" s="4">
        <v>45378</v>
      </c>
      <c r="B498" s="5" t="s">
        <v>0</v>
      </c>
      <c r="C498" s="5" t="s">
        <v>23</v>
      </c>
      <c r="D498" s="23">
        <v>72.349999999999994</v>
      </c>
      <c r="E498" s="23">
        <v>25.93</v>
      </c>
      <c r="F498" s="23">
        <v>46.42</v>
      </c>
      <c r="G498" s="5" t="s">
        <v>6</v>
      </c>
      <c r="H498" s="5" t="s">
        <v>36</v>
      </c>
      <c r="I498" s="5" t="s">
        <v>25</v>
      </c>
      <c r="J498" s="6">
        <f>Table1[[#This Row],[Profit]]/Table1[[#This Row],[Sales]]</f>
        <v>0.64160331720801667</v>
      </c>
      <c r="K498" s="5" t="str">
        <f t="shared" si="7"/>
        <v>Low</v>
      </c>
      <c r="L498" s="5" t="str">
        <f>TEXT(Table1[[#This Row],[Order_Date]],"MMM")</f>
        <v>Mar</v>
      </c>
      <c r="M498" s="5" t="str">
        <f>IF(Table1[[#This Row],[Profit]]&gt;=1000,"Excellent",IF(Table1[[#This Row],[Profit]]&gt;=500,"Good", IF(Table1[[#This Row],[Profit]]&lt;500,"Low")))</f>
        <v>Low</v>
      </c>
      <c r="N498" s="7" t="str">
        <f>TEXT(Table1[[#This Row],[Order_Date]],"YYY")</f>
        <v>2024</v>
      </c>
    </row>
    <row r="499" spans="1:14" x14ac:dyDescent="0.3">
      <c r="A499" s="4">
        <v>45378</v>
      </c>
      <c r="B499" s="5" t="s">
        <v>16</v>
      </c>
      <c r="C499" s="5" t="s">
        <v>23</v>
      </c>
      <c r="D499" s="23">
        <v>490.35</v>
      </c>
      <c r="E499" s="23">
        <v>170.26</v>
      </c>
      <c r="F499" s="23">
        <v>320.08999999999997</v>
      </c>
      <c r="G499" s="5" t="s">
        <v>2</v>
      </c>
      <c r="H499" s="5" t="s">
        <v>29</v>
      </c>
      <c r="I499" s="5" t="s">
        <v>25</v>
      </c>
      <c r="J499" s="6">
        <f>Table1[[#This Row],[Profit]]/Table1[[#This Row],[Sales]]</f>
        <v>0.6527786275109615</v>
      </c>
      <c r="K499" s="5" t="str">
        <f t="shared" si="7"/>
        <v>Low</v>
      </c>
      <c r="L499" s="5" t="str">
        <f>TEXT(Table1[[#This Row],[Order_Date]],"MMM")</f>
        <v>Mar</v>
      </c>
      <c r="M499" s="5" t="str">
        <f>IF(Table1[[#This Row],[Profit]]&gt;=1000,"Excellent",IF(Table1[[#This Row],[Profit]]&gt;=500,"Good", IF(Table1[[#This Row],[Profit]]&lt;500,"Low")))</f>
        <v>Low</v>
      </c>
      <c r="N499" s="7" t="str">
        <f>TEXT(Table1[[#This Row],[Order_Date]],"YYY")</f>
        <v>2024</v>
      </c>
    </row>
    <row r="500" spans="1:14" x14ac:dyDescent="0.3">
      <c r="A500" s="4">
        <v>45379</v>
      </c>
      <c r="B500" s="5" t="s">
        <v>8</v>
      </c>
      <c r="C500" s="5" t="s">
        <v>5</v>
      </c>
      <c r="D500" s="23">
        <v>1077.49</v>
      </c>
      <c r="E500" s="23">
        <v>378.96</v>
      </c>
      <c r="F500" s="23">
        <v>698.53</v>
      </c>
      <c r="G500" s="5" t="s">
        <v>32</v>
      </c>
      <c r="H500" s="5" t="s">
        <v>28</v>
      </c>
      <c r="I500" s="5" t="s">
        <v>22</v>
      </c>
      <c r="J500" s="6">
        <f>Table1[[#This Row],[Profit]]/Table1[[#This Row],[Sales]]</f>
        <v>0.64829371966329152</v>
      </c>
      <c r="K500" s="5" t="str">
        <f t="shared" si="7"/>
        <v>Low</v>
      </c>
      <c r="L500" s="5" t="str">
        <f>TEXT(Table1[[#This Row],[Order_Date]],"MMM")</f>
        <v>Mar</v>
      </c>
      <c r="M500" s="5" t="str">
        <f>IF(Table1[[#This Row],[Profit]]&gt;=1000,"Excellent",IF(Table1[[#This Row],[Profit]]&gt;=500,"Good", IF(Table1[[#This Row],[Profit]]&lt;500,"Low")))</f>
        <v>Good</v>
      </c>
      <c r="N500" s="7" t="str">
        <f>TEXT(Table1[[#This Row],[Order_Date]],"YYY")</f>
        <v>2024</v>
      </c>
    </row>
    <row r="501" spans="1:14" x14ac:dyDescent="0.3">
      <c r="A501" s="4">
        <v>45380</v>
      </c>
      <c r="B501" s="5" t="s">
        <v>8</v>
      </c>
      <c r="C501" s="5" t="s">
        <v>14</v>
      </c>
      <c r="D501" s="23">
        <v>363.25</v>
      </c>
      <c r="E501" s="23">
        <v>195.21</v>
      </c>
      <c r="F501" s="23">
        <v>168.04</v>
      </c>
      <c r="G501" s="5" t="s">
        <v>2</v>
      </c>
      <c r="H501" s="5" t="s">
        <v>24</v>
      </c>
      <c r="I501" s="5" t="s">
        <v>25</v>
      </c>
      <c r="J501" s="6">
        <f>Table1[[#This Row],[Profit]]/Table1[[#This Row],[Sales]]</f>
        <v>0.46260151410874051</v>
      </c>
      <c r="K501" s="5" t="str">
        <f t="shared" si="7"/>
        <v>Low</v>
      </c>
      <c r="L501" s="5" t="str">
        <f>TEXT(Table1[[#This Row],[Order_Date]],"MMM")</f>
        <v>Mar</v>
      </c>
      <c r="M501" s="5" t="str">
        <f>IF(Table1[[#This Row],[Profit]]&gt;=1000,"Excellent",IF(Table1[[#This Row],[Profit]]&gt;=500,"Good", IF(Table1[[#This Row],[Profit]]&lt;500,"Low")))</f>
        <v>Low</v>
      </c>
      <c r="N501" s="7" t="str">
        <f>TEXT(Table1[[#This Row],[Order_Date]],"YYY")</f>
        <v>2024</v>
      </c>
    </row>
    <row r="502" spans="1:14" x14ac:dyDescent="0.3">
      <c r="A502" s="4">
        <v>45380</v>
      </c>
      <c r="B502" s="5" t="s">
        <v>18</v>
      </c>
      <c r="C502" s="5" t="s">
        <v>1</v>
      </c>
      <c r="D502" s="23">
        <v>1157.5899999999999</v>
      </c>
      <c r="E502" s="23">
        <v>622.80999999999995</v>
      </c>
      <c r="F502" s="23">
        <v>534.78</v>
      </c>
      <c r="G502" s="5" t="s">
        <v>9</v>
      </c>
      <c r="H502" s="5" t="s">
        <v>10</v>
      </c>
      <c r="I502" s="5" t="s">
        <v>25</v>
      </c>
      <c r="J502" s="6">
        <f>Table1[[#This Row],[Profit]]/Table1[[#This Row],[Sales]]</f>
        <v>0.46197703850240585</v>
      </c>
      <c r="K502" s="5" t="str">
        <f t="shared" si="7"/>
        <v>Low</v>
      </c>
      <c r="L502" s="5" t="str">
        <f>TEXT(Table1[[#This Row],[Order_Date]],"MMM")</f>
        <v>Mar</v>
      </c>
      <c r="M502" s="5" t="str">
        <f>IF(Table1[[#This Row],[Profit]]&gt;=1000,"Excellent",IF(Table1[[#This Row],[Profit]]&gt;=500,"Good", IF(Table1[[#This Row],[Profit]]&lt;500,"Low")))</f>
        <v>Good</v>
      </c>
      <c r="N502" s="7" t="str">
        <f>TEXT(Table1[[#This Row],[Order_Date]],"YYY")</f>
        <v>2024</v>
      </c>
    </row>
    <row r="503" spans="1:14" x14ac:dyDescent="0.3">
      <c r="A503" s="4">
        <v>45380</v>
      </c>
      <c r="B503" s="5" t="s">
        <v>0</v>
      </c>
      <c r="C503" s="5" t="s">
        <v>5</v>
      </c>
      <c r="D503" s="23">
        <v>1137.28</v>
      </c>
      <c r="E503" s="23">
        <v>407.22</v>
      </c>
      <c r="F503" s="23">
        <v>730.06</v>
      </c>
      <c r="G503" s="5" t="s">
        <v>2</v>
      </c>
      <c r="H503" s="5" t="s">
        <v>37</v>
      </c>
      <c r="I503" s="5" t="s">
        <v>4</v>
      </c>
      <c r="J503" s="6">
        <f>Table1[[#This Row],[Profit]]/Table1[[#This Row],[Sales]]</f>
        <v>0.64193514350028136</v>
      </c>
      <c r="K503" s="5" t="str">
        <f t="shared" si="7"/>
        <v>Low</v>
      </c>
      <c r="L503" s="5" t="str">
        <f>TEXT(Table1[[#This Row],[Order_Date]],"MMM")</f>
        <v>Mar</v>
      </c>
      <c r="M503" s="5" t="str">
        <f>IF(Table1[[#This Row],[Profit]]&gt;=1000,"Excellent",IF(Table1[[#This Row],[Profit]]&gt;=500,"Good", IF(Table1[[#This Row],[Profit]]&lt;500,"Low")))</f>
        <v>Good</v>
      </c>
      <c r="N503" s="7" t="str">
        <f>TEXT(Table1[[#This Row],[Order_Date]],"YYY")</f>
        <v>2024</v>
      </c>
    </row>
    <row r="504" spans="1:14" x14ac:dyDescent="0.3">
      <c r="A504" s="4">
        <v>45381</v>
      </c>
      <c r="B504" s="5" t="s">
        <v>8</v>
      </c>
      <c r="C504" s="5" t="s">
        <v>31</v>
      </c>
      <c r="D504" s="23">
        <v>193.47</v>
      </c>
      <c r="E504" s="23">
        <v>42.38</v>
      </c>
      <c r="F504" s="23">
        <v>151.09</v>
      </c>
      <c r="G504" s="5" t="s">
        <v>32</v>
      </c>
      <c r="H504" s="5" t="s">
        <v>29</v>
      </c>
      <c r="I504" s="5" t="s">
        <v>4</v>
      </c>
      <c r="J504" s="6">
        <f>Table1[[#This Row],[Profit]]/Table1[[#This Row],[Sales]]</f>
        <v>0.78094795058665434</v>
      </c>
      <c r="K504" s="5" t="str">
        <f t="shared" si="7"/>
        <v>Low</v>
      </c>
      <c r="L504" s="5" t="str">
        <f>TEXT(Table1[[#This Row],[Order_Date]],"MMM")</f>
        <v>Mar</v>
      </c>
      <c r="M504" s="5" t="str">
        <f>IF(Table1[[#This Row],[Profit]]&gt;=1000,"Excellent",IF(Table1[[#This Row],[Profit]]&gt;=500,"Good", IF(Table1[[#This Row],[Profit]]&lt;500,"Low")))</f>
        <v>Low</v>
      </c>
      <c r="N504" s="7" t="str">
        <f>TEXT(Table1[[#This Row],[Order_Date]],"YYY")</f>
        <v>2024</v>
      </c>
    </row>
    <row r="505" spans="1:14" x14ac:dyDescent="0.3">
      <c r="A505" s="4">
        <v>45382</v>
      </c>
      <c r="B505" s="5" t="s">
        <v>16</v>
      </c>
      <c r="C505" s="5" t="s">
        <v>23</v>
      </c>
      <c r="D505" s="23">
        <v>178.43</v>
      </c>
      <c r="E505" s="23">
        <v>87.84</v>
      </c>
      <c r="F505" s="23">
        <v>90.59</v>
      </c>
      <c r="G505" s="5" t="s">
        <v>6</v>
      </c>
      <c r="H505" s="5" t="s">
        <v>35</v>
      </c>
      <c r="I505" s="5" t="s">
        <v>27</v>
      </c>
      <c r="J505" s="6">
        <f>Table1[[#This Row],[Profit]]/Table1[[#This Row],[Sales]]</f>
        <v>0.50770610323376109</v>
      </c>
      <c r="K505" s="5" t="str">
        <f t="shared" si="7"/>
        <v>Low</v>
      </c>
      <c r="L505" s="5" t="str">
        <f>TEXT(Table1[[#This Row],[Order_Date]],"MMM")</f>
        <v>Mar</v>
      </c>
      <c r="M505" s="5" t="str">
        <f>IF(Table1[[#This Row],[Profit]]&gt;=1000,"Excellent",IF(Table1[[#This Row],[Profit]]&gt;=500,"Good", IF(Table1[[#This Row],[Profit]]&lt;500,"Low")))</f>
        <v>Low</v>
      </c>
      <c r="N505" s="7" t="str">
        <f>TEXT(Table1[[#This Row],[Order_Date]],"YYY")</f>
        <v>2024</v>
      </c>
    </row>
    <row r="506" spans="1:14" x14ac:dyDescent="0.3">
      <c r="A506" s="4">
        <v>45382</v>
      </c>
      <c r="B506" s="5" t="s">
        <v>13</v>
      </c>
      <c r="C506" s="5" t="s">
        <v>1</v>
      </c>
      <c r="D506" s="23">
        <v>189.36</v>
      </c>
      <c r="E506" s="23">
        <v>115.16</v>
      </c>
      <c r="F506" s="23">
        <v>74.2</v>
      </c>
      <c r="G506" s="5" t="s">
        <v>9</v>
      </c>
      <c r="H506" s="5" t="s">
        <v>29</v>
      </c>
      <c r="I506" s="5" t="s">
        <v>17</v>
      </c>
      <c r="J506" s="6">
        <f>Table1[[#This Row],[Profit]]/Table1[[#This Row],[Sales]]</f>
        <v>0.39184621884241655</v>
      </c>
      <c r="K506" s="5" t="str">
        <f t="shared" si="7"/>
        <v>Low</v>
      </c>
      <c r="L506" s="5" t="str">
        <f>TEXT(Table1[[#This Row],[Order_Date]],"MMM")</f>
        <v>Mar</v>
      </c>
      <c r="M506" s="5" t="str">
        <f>IF(Table1[[#This Row],[Profit]]&gt;=1000,"Excellent",IF(Table1[[#This Row],[Profit]]&gt;=500,"Good", IF(Table1[[#This Row],[Profit]]&lt;500,"Low")))</f>
        <v>Low</v>
      </c>
      <c r="N506" s="7" t="str">
        <f>TEXT(Table1[[#This Row],[Order_Date]],"YYY")</f>
        <v>2024</v>
      </c>
    </row>
    <row r="507" spans="1:14" x14ac:dyDescent="0.3">
      <c r="A507" s="4">
        <v>45382</v>
      </c>
      <c r="B507" s="5" t="s">
        <v>13</v>
      </c>
      <c r="C507" s="5" t="s">
        <v>23</v>
      </c>
      <c r="D507" s="23">
        <v>718.41</v>
      </c>
      <c r="E507" s="23">
        <v>222.36</v>
      </c>
      <c r="F507" s="23">
        <v>496.05</v>
      </c>
      <c r="G507" s="5" t="s">
        <v>32</v>
      </c>
      <c r="H507" s="5" t="s">
        <v>35</v>
      </c>
      <c r="I507" s="5" t="s">
        <v>11</v>
      </c>
      <c r="J507" s="6">
        <f>Table1[[#This Row],[Profit]]/Table1[[#This Row],[Sales]]</f>
        <v>0.69048315029022433</v>
      </c>
      <c r="K507" s="5" t="str">
        <f t="shared" si="7"/>
        <v>Low</v>
      </c>
      <c r="L507" s="5" t="str">
        <f>TEXT(Table1[[#This Row],[Order_Date]],"MMM")</f>
        <v>Mar</v>
      </c>
      <c r="M507" s="5" t="str">
        <f>IF(Table1[[#This Row],[Profit]]&gt;=1000,"Excellent",IF(Table1[[#This Row],[Profit]]&gt;=500,"Good", IF(Table1[[#This Row],[Profit]]&lt;500,"Low")))</f>
        <v>Low</v>
      </c>
      <c r="N507" s="7" t="str">
        <f>TEXT(Table1[[#This Row],[Order_Date]],"YYY")</f>
        <v>2024</v>
      </c>
    </row>
    <row r="508" spans="1:14" x14ac:dyDescent="0.3">
      <c r="A508" s="4">
        <v>45382</v>
      </c>
      <c r="B508" s="5" t="s">
        <v>13</v>
      </c>
      <c r="C508" s="5" t="s">
        <v>23</v>
      </c>
      <c r="D508" s="23">
        <v>103.88</v>
      </c>
      <c r="E508" s="23">
        <v>50.25</v>
      </c>
      <c r="F508" s="23">
        <v>53.63</v>
      </c>
      <c r="G508" s="5" t="s">
        <v>2</v>
      </c>
      <c r="H508" s="5" t="s">
        <v>24</v>
      </c>
      <c r="I508" s="5" t="s">
        <v>25</v>
      </c>
      <c r="J508" s="6">
        <f>Table1[[#This Row],[Profit]]/Table1[[#This Row],[Sales]]</f>
        <v>0.51626877165960727</v>
      </c>
      <c r="K508" s="5" t="str">
        <f t="shared" si="7"/>
        <v>Low</v>
      </c>
      <c r="L508" s="5" t="str">
        <f>TEXT(Table1[[#This Row],[Order_Date]],"MMM")</f>
        <v>Mar</v>
      </c>
      <c r="M508" s="5" t="str">
        <f>IF(Table1[[#This Row],[Profit]]&gt;=1000,"Excellent",IF(Table1[[#This Row],[Profit]]&gt;=500,"Good", IF(Table1[[#This Row],[Profit]]&lt;500,"Low")))</f>
        <v>Low</v>
      </c>
      <c r="N508" s="7" t="str">
        <f>TEXT(Table1[[#This Row],[Order_Date]],"YYY")</f>
        <v>2024</v>
      </c>
    </row>
    <row r="509" spans="1:14" x14ac:dyDescent="0.3">
      <c r="A509" s="4">
        <v>45383</v>
      </c>
      <c r="B509" s="5" t="s">
        <v>8</v>
      </c>
      <c r="C509" s="5" t="s">
        <v>23</v>
      </c>
      <c r="D509" s="23">
        <v>728.04</v>
      </c>
      <c r="E509" s="23">
        <v>252.13</v>
      </c>
      <c r="F509" s="23">
        <v>475.91</v>
      </c>
      <c r="G509" s="5" t="s">
        <v>32</v>
      </c>
      <c r="H509" s="5" t="s">
        <v>29</v>
      </c>
      <c r="I509" s="5" t="s">
        <v>27</v>
      </c>
      <c r="J509" s="6">
        <f>Table1[[#This Row],[Profit]]/Table1[[#This Row],[Sales]]</f>
        <v>0.65368661062578981</v>
      </c>
      <c r="K509" s="5" t="str">
        <f t="shared" si="7"/>
        <v>Low</v>
      </c>
      <c r="L509" s="5" t="str">
        <f>TEXT(Table1[[#This Row],[Order_Date]],"MMM")</f>
        <v>Apr</v>
      </c>
      <c r="M509" s="5" t="str">
        <f>IF(Table1[[#This Row],[Profit]]&gt;=1000,"Excellent",IF(Table1[[#This Row],[Profit]]&gt;=500,"Good", IF(Table1[[#This Row],[Profit]]&lt;500,"Low")))</f>
        <v>Low</v>
      </c>
      <c r="N509" s="7" t="str">
        <f>TEXT(Table1[[#This Row],[Order_Date]],"YYY")</f>
        <v>2024</v>
      </c>
    </row>
    <row r="510" spans="1:14" x14ac:dyDescent="0.3">
      <c r="A510" s="4">
        <v>45384</v>
      </c>
      <c r="B510" s="5" t="s">
        <v>16</v>
      </c>
      <c r="C510" s="5" t="s">
        <v>19</v>
      </c>
      <c r="D510" s="23">
        <v>73.540000000000006</v>
      </c>
      <c r="E510" s="23">
        <v>19.82</v>
      </c>
      <c r="F510" s="23">
        <v>53.72</v>
      </c>
      <c r="G510" s="5" t="s">
        <v>2</v>
      </c>
      <c r="H510" s="5" t="s">
        <v>34</v>
      </c>
      <c r="I510" s="5" t="s">
        <v>25</v>
      </c>
      <c r="J510" s="6">
        <f>Table1[[#This Row],[Profit]]/Table1[[#This Row],[Sales]]</f>
        <v>0.73048680989937442</v>
      </c>
      <c r="K510" s="5" t="str">
        <f t="shared" si="7"/>
        <v>Low</v>
      </c>
      <c r="L510" s="5" t="str">
        <f>TEXT(Table1[[#This Row],[Order_Date]],"MMM")</f>
        <v>Apr</v>
      </c>
      <c r="M510" s="5" t="str">
        <f>IF(Table1[[#This Row],[Profit]]&gt;=1000,"Excellent",IF(Table1[[#This Row],[Profit]]&gt;=500,"Good", IF(Table1[[#This Row],[Profit]]&lt;500,"Low")))</f>
        <v>Low</v>
      </c>
      <c r="N510" s="7" t="str">
        <f>TEXT(Table1[[#This Row],[Order_Date]],"YYY")</f>
        <v>2024</v>
      </c>
    </row>
    <row r="511" spans="1:14" x14ac:dyDescent="0.3">
      <c r="A511" s="4">
        <v>45384</v>
      </c>
      <c r="B511" s="5" t="s">
        <v>18</v>
      </c>
      <c r="C511" s="5" t="s">
        <v>23</v>
      </c>
      <c r="D511" s="23">
        <v>759.91</v>
      </c>
      <c r="E511" s="23">
        <v>309.58999999999997</v>
      </c>
      <c r="F511" s="23">
        <v>450.32</v>
      </c>
      <c r="G511" s="5" t="s">
        <v>20</v>
      </c>
      <c r="H511" s="5" t="s">
        <v>7</v>
      </c>
      <c r="I511" s="5" t="s">
        <v>22</v>
      </c>
      <c r="J511" s="6">
        <f>Table1[[#This Row],[Profit]]/Table1[[#This Row],[Sales]]</f>
        <v>0.59259649168980544</v>
      </c>
      <c r="K511" s="5" t="str">
        <f t="shared" si="7"/>
        <v>Low</v>
      </c>
      <c r="L511" s="5" t="str">
        <f>TEXT(Table1[[#This Row],[Order_Date]],"MMM")</f>
        <v>Apr</v>
      </c>
      <c r="M511" s="5" t="str">
        <f>IF(Table1[[#This Row],[Profit]]&gt;=1000,"Excellent",IF(Table1[[#This Row],[Profit]]&gt;=500,"Good", IF(Table1[[#This Row],[Profit]]&lt;500,"Low")))</f>
        <v>Low</v>
      </c>
      <c r="N511" s="7" t="str">
        <f>TEXT(Table1[[#This Row],[Order_Date]],"YYY")</f>
        <v>2024</v>
      </c>
    </row>
    <row r="512" spans="1:14" x14ac:dyDescent="0.3">
      <c r="A512" s="4">
        <v>45384</v>
      </c>
      <c r="B512" s="5" t="s">
        <v>16</v>
      </c>
      <c r="C512" s="5" t="s">
        <v>26</v>
      </c>
      <c r="D512" s="23">
        <v>759.51</v>
      </c>
      <c r="E512" s="23">
        <v>302.24</v>
      </c>
      <c r="F512" s="23">
        <v>457.27</v>
      </c>
      <c r="G512" s="5" t="s">
        <v>20</v>
      </c>
      <c r="H512" s="5" t="s">
        <v>29</v>
      </c>
      <c r="I512" s="5" t="s">
        <v>27</v>
      </c>
      <c r="J512" s="6">
        <f>Table1[[#This Row],[Profit]]/Table1[[#This Row],[Sales]]</f>
        <v>0.60205922239338516</v>
      </c>
      <c r="K512" s="5" t="str">
        <f t="shared" si="7"/>
        <v>Low</v>
      </c>
      <c r="L512" s="5" t="str">
        <f>TEXT(Table1[[#This Row],[Order_Date]],"MMM")</f>
        <v>Apr</v>
      </c>
      <c r="M512" s="5" t="str">
        <f>IF(Table1[[#This Row],[Profit]]&gt;=1000,"Excellent",IF(Table1[[#This Row],[Profit]]&gt;=500,"Good", IF(Table1[[#This Row],[Profit]]&lt;500,"Low")))</f>
        <v>Low</v>
      </c>
      <c r="N512" s="7" t="str">
        <f>TEXT(Table1[[#This Row],[Order_Date]],"YYY")</f>
        <v>2024</v>
      </c>
    </row>
    <row r="513" spans="1:14" x14ac:dyDescent="0.3">
      <c r="A513" s="4">
        <v>45385</v>
      </c>
      <c r="B513" s="5" t="s">
        <v>0</v>
      </c>
      <c r="C513" s="5" t="s">
        <v>19</v>
      </c>
      <c r="D513" s="23">
        <v>83.66</v>
      </c>
      <c r="E513" s="23">
        <v>25.39</v>
      </c>
      <c r="F513" s="23">
        <v>58.27</v>
      </c>
      <c r="G513" s="5" t="s">
        <v>32</v>
      </c>
      <c r="H513" s="5" t="s">
        <v>36</v>
      </c>
      <c r="I513" s="5" t="s">
        <v>27</v>
      </c>
      <c r="J513" s="6">
        <f>Table1[[#This Row],[Profit]]/Table1[[#This Row],[Sales]]</f>
        <v>0.69650968204637831</v>
      </c>
      <c r="K513" s="5" t="str">
        <f t="shared" si="7"/>
        <v>Low</v>
      </c>
      <c r="L513" s="5" t="str">
        <f>TEXT(Table1[[#This Row],[Order_Date]],"MMM")</f>
        <v>Apr</v>
      </c>
      <c r="M513" s="5" t="str">
        <f>IF(Table1[[#This Row],[Profit]]&gt;=1000,"Excellent",IF(Table1[[#This Row],[Profit]]&gt;=500,"Good", IF(Table1[[#This Row],[Profit]]&lt;500,"Low")))</f>
        <v>Low</v>
      </c>
      <c r="N513" s="7" t="str">
        <f>TEXT(Table1[[#This Row],[Order_Date]],"YYY")</f>
        <v>2024</v>
      </c>
    </row>
    <row r="514" spans="1:14" x14ac:dyDescent="0.3">
      <c r="A514" s="4">
        <v>45386</v>
      </c>
      <c r="B514" s="5" t="s">
        <v>13</v>
      </c>
      <c r="C514" s="5" t="s">
        <v>31</v>
      </c>
      <c r="D514" s="23">
        <v>194.25</v>
      </c>
      <c r="E514" s="23">
        <v>43.36</v>
      </c>
      <c r="F514" s="23">
        <v>150.88999999999999</v>
      </c>
      <c r="G514" s="5" t="s">
        <v>6</v>
      </c>
      <c r="H514" s="5" t="s">
        <v>35</v>
      </c>
      <c r="I514" s="5" t="s">
        <v>11</v>
      </c>
      <c r="J514" s="6">
        <f>Table1[[#This Row],[Profit]]/Table1[[#This Row],[Sales]]</f>
        <v>0.77678249678249667</v>
      </c>
      <c r="K514" s="5" t="str">
        <f t="shared" ref="K514:K577" si="8">IF(D514&gt;=2000,"High",IF(D514&gt;=1500,"Medium","Low"))</f>
        <v>Low</v>
      </c>
      <c r="L514" s="5" t="str">
        <f>TEXT(Table1[[#This Row],[Order_Date]],"MMM")</f>
        <v>Apr</v>
      </c>
      <c r="M514" s="5" t="str">
        <f>IF(Table1[[#This Row],[Profit]]&gt;=1000,"Excellent",IF(Table1[[#This Row],[Profit]]&gt;=500,"Good", IF(Table1[[#This Row],[Profit]]&lt;500,"Low")))</f>
        <v>Low</v>
      </c>
      <c r="N514" s="7" t="str">
        <f>TEXT(Table1[[#This Row],[Order_Date]],"YYY")</f>
        <v>2024</v>
      </c>
    </row>
    <row r="515" spans="1:14" x14ac:dyDescent="0.3">
      <c r="A515" s="4">
        <v>45386</v>
      </c>
      <c r="B515" s="5" t="s">
        <v>13</v>
      </c>
      <c r="C515" s="5" t="s">
        <v>23</v>
      </c>
      <c r="D515" s="23">
        <v>717.84</v>
      </c>
      <c r="E515" s="23">
        <v>257.47000000000003</v>
      </c>
      <c r="F515" s="23">
        <v>460.37</v>
      </c>
      <c r="G515" s="5" t="s">
        <v>9</v>
      </c>
      <c r="H515" s="5" t="s">
        <v>35</v>
      </c>
      <c r="I515" s="5" t="s">
        <v>22</v>
      </c>
      <c r="J515" s="6">
        <f>Table1[[#This Row],[Profit]]/Table1[[#This Row],[Sales]]</f>
        <v>0.64132675805193351</v>
      </c>
      <c r="K515" s="5" t="str">
        <f t="shared" si="8"/>
        <v>Low</v>
      </c>
      <c r="L515" s="5" t="str">
        <f>TEXT(Table1[[#This Row],[Order_Date]],"MMM")</f>
        <v>Apr</v>
      </c>
      <c r="M515" s="5" t="str">
        <f>IF(Table1[[#This Row],[Profit]]&gt;=1000,"Excellent",IF(Table1[[#This Row],[Profit]]&gt;=500,"Good", IF(Table1[[#This Row],[Profit]]&lt;500,"Low")))</f>
        <v>Low</v>
      </c>
      <c r="N515" s="7" t="str">
        <f>TEXT(Table1[[#This Row],[Order_Date]],"YYY")</f>
        <v>2024</v>
      </c>
    </row>
    <row r="516" spans="1:14" x14ac:dyDescent="0.3">
      <c r="A516" s="4">
        <v>45387</v>
      </c>
      <c r="B516" s="5" t="s">
        <v>8</v>
      </c>
      <c r="C516" s="5" t="s">
        <v>5</v>
      </c>
      <c r="D516" s="23">
        <v>1410.43</v>
      </c>
      <c r="E516" s="23">
        <v>475.74</v>
      </c>
      <c r="F516" s="23">
        <v>934.69</v>
      </c>
      <c r="G516" s="5" t="s">
        <v>9</v>
      </c>
      <c r="H516" s="5" t="s">
        <v>35</v>
      </c>
      <c r="I516" s="5" t="s">
        <v>11</v>
      </c>
      <c r="J516" s="6">
        <f>Table1[[#This Row],[Profit]]/Table1[[#This Row],[Sales]]</f>
        <v>0.66269860964386751</v>
      </c>
      <c r="K516" s="5" t="str">
        <f t="shared" si="8"/>
        <v>Low</v>
      </c>
      <c r="L516" s="5" t="str">
        <f>TEXT(Table1[[#This Row],[Order_Date]],"MMM")</f>
        <v>Apr</v>
      </c>
      <c r="M516" s="5" t="str">
        <f>IF(Table1[[#This Row],[Profit]]&gt;=1000,"Excellent",IF(Table1[[#This Row],[Profit]]&gt;=500,"Good", IF(Table1[[#This Row],[Profit]]&lt;500,"Low")))</f>
        <v>Good</v>
      </c>
      <c r="N516" s="7" t="str">
        <f>TEXT(Table1[[#This Row],[Order_Date]],"YYY")</f>
        <v>2024</v>
      </c>
    </row>
    <row r="517" spans="1:14" x14ac:dyDescent="0.3">
      <c r="A517" s="4">
        <v>45387</v>
      </c>
      <c r="B517" s="5" t="s">
        <v>18</v>
      </c>
      <c r="C517" s="5" t="s">
        <v>31</v>
      </c>
      <c r="D517" s="23">
        <v>141.94</v>
      </c>
      <c r="E517" s="23">
        <v>28.7</v>
      </c>
      <c r="F517" s="23">
        <v>113.24</v>
      </c>
      <c r="G517" s="5" t="s">
        <v>6</v>
      </c>
      <c r="H517" s="5" t="s">
        <v>21</v>
      </c>
      <c r="I517" s="5" t="s">
        <v>11</v>
      </c>
      <c r="J517" s="6">
        <f>Table1[[#This Row],[Profit]]/Table1[[#This Row],[Sales]]</f>
        <v>0.79780188812174158</v>
      </c>
      <c r="K517" s="5" t="str">
        <f t="shared" si="8"/>
        <v>Low</v>
      </c>
      <c r="L517" s="5" t="str">
        <f>TEXT(Table1[[#This Row],[Order_Date]],"MMM")</f>
        <v>Apr</v>
      </c>
      <c r="M517" s="5" t="str">
        <f>IF(Table1[[#This Row],[Profit]]&gt;=1000,"Excellent",IF(Table1[[#This Row],[Profit]]&gt;=500,"Good", IF(Table1[[#This Row],[Profit]]&lt;500,"Low")))</f>
        <v>Low</v>
      </c>
      <c r="N517" s="7" t="str">
        <f>TEXT(Table1[[#This Row],[Order_Date]],"YYY")</f>
        <v>2024</v>
      </c>
    </row>
    <row r="518" spans="1:14" x14ac:dyDescent="0.3">
      <c r="A518" s="4">
        <v>45387</v>
      </c>
      <c r="B518" s="5" t="s">
        <v>0</v>
      </c>
      <c r="C518" s="5" t="s">
        <v>14</v>
      </c>
      <c r="D518" s="23">
        <v>248.96</v>
      </c>
      <c r="E518" s="23">
        <v>81.760000000000005</v>
      </c>
      <c r="F518" s="23">
        <v>167.2</v>
      </c>
      <c r="G518" s="5" t="s">
        <v>20</v>
      </c>
      <c r="H518" s="5" t="s">
        <v>12</v>
      </c>
      <c r="I518" s="5" t="s">
        <v>11</v>
      </c>
      <c r="J518" s="6">
        <f>Table1[[#This Row],[Profit]]/Table1[[#This Row],[Sales]]</f>
        <v>0.67159383033419018</v>
      </c>
      <c r="K518" s="5" t="str">
        <f t="shared" si="8"/>
        <v>Low</v>
      </c>
      <c r="L518" s="5" t="str">
        <f>TEXT(Table1[[#This Row],[Order_Date]],"MMM")</f>
        <v>Apr</v>
      </c>
      <c r="M518" s="5" t="str">
        <f>IF(Table1[[#This Row],[Profit]]&gt;=1000,"Excellent",IF(Table1[[#This Row],[Profit]]&gt;=500,"Good", IF(Table1[[#This Row],[Profit]]&lt;500,"Low")))</f>
        <v>Low</v>
      </c>
      <c r="N518" s="7" t="str">
        <f>TEXT(Table1[[#This Row],[Order_Date]],"YYY")</f>
        <v>2024</v>
      </c>
    </row>
    <row r="519" spans="1:14" x14ac:dyDescent="0.3">
      <c r="A519" s="4">
        <v>45387</v>
      </c>
      <c r="B519" s="5" t="s">
        <v>8</v>
      </c>
      <c r="C519" s="5" t="s">
        <v>26</v>
      </c>
      <c r="D519" s="23">
        <v>1106.93</v>
      </c>
      <c r="E519" s="23">
        <v>418.23</v>
      </c>
      <c r="F519" s="23">
        <v>688.7</v>
      </c>
      <c r="G519" s="5" t="s">
        <v>9</v>
      </c>
      <c r="H519" s="5" t="s">
        <v>12</v>
      </c>
      <c r="I519" s="5" t="s">
        <v>17</v>
      </c>
      <c r="J519" s="6">
        <f>Table1[[#This Row],[Profit]]/Table1[[#This Row],[Sales]]</f>
        <v>0.62217123033976851</v>
      </c>
      <c r="K519" s="5" t="str">
        <f t="shared" si="8"/>
        <v>Low</v>
      </c>
      <c r="L519" s="5" t="str">
        <f>TEXT(Table1[[#This Row],[Order_Date]],"MMM")</f>
        <v>Apr</v>
      </c>
      <c r="M519" s="5" t="str">
        <f>IF(Table1[[#This Row],[Profit]]&gt;=1000,"Excellent",IF(Table1[[#This Row],[Profit]]&gt;=500,"Good", IF(Table1[[#This Row],[Profit]]&lt;500,"Low")))</f>
        <v>Good</v>
      </c>
      <c r="N519" s="7" t="str">
        <f>TEXT(Table1[[#This Row],[Order_Date]],"YYY")</f>
        <v>2024</v>
      </c>
    </row>
    <row r="520" spans="1:14" x14ac:dyDescent="0.3">
      <c r="A520" s="4">
        <v>45387</v>
      </c>
      <c r="B520" s="5" t="s">
        <v>18</v>
      </c>
      <c r="C520" s="5" t="s">
        <v>23</v>
      </c>
      <c r="D520" s="23">
        <v>314.58999999999997</v>
      </c>
      <c r="E520" s="23">
        <v>137.69999999999999</v>
      </c>
      <c r="F520" s="23">
        <v>176.89</v>
      </c>
      <c r="G520" s="5" t="s">
        <v>2</v>
      </c>
      <c r="H520" s="5" t="s">
        <v>3</v>
      </c>
      <c r="I520" s="5" t="s">
        <v>17</v>
      </c>
      <c r="J520" s="6">
        <f>Table1[[#This Row],[Profit]]/Table1[[#This Row],[Sales]]</f>
        <v>0.56228742172351309</v>
      </c>
      <c r="K520" s="5" t="str">
        <f t="shared" si="8"/>
        <v>Low</v>
      </c>
      <c r="L520" s="5" t="str">
        <f>TEXT(Table1[[#This Row],[Order_Date]],"MMM")</f>
        <v>Apr</v>
      </c>
      <c r="M520" s="5" t="str">
        <f>IF(Table1[[#This Row],[Profit]]&gt;=1000,"Excellent",IF(Table1[[#This Row],[Profit]]&gt;=500,"Good", IF(Table1[[#This Row],[Profit]]&lt;500,"Low")))</f>
        <v>Low</v>
      </c>
      <c r="N520" s="7" t="str">
        <f>TEXT(Table1[[#This Row],[Order_Date]],"YYY")</f>
        <v>2024</v>
      </c>
    </row>
    <row r="521" spans="1:14" x14ac:dyDescent="0.3">
      <c r="A521" s="4">
        <v>45388</v>
      </c>
      <c r="B521" s="5" t="s">
        <v>13</v>
      </c>
      <c r="C521" s="5" t="s">
        <v>14</v>
      </c>
      <c r="D521" s="23">
        <v>311.02999999999997</v>
      </c>
      <c r="E521" s="23">
        <v>100.3</v>
      </c>
      <c r="F521" s="23">
        <v>210.73</v>
      </c>
      <c r="G521" s="5" t="s">
        <v>32</v>
      </c>
      <c r="H521" s="5" t="s">
        <v>12</v>
      </c>
      <c r="I521" s="5" t="s">
        <v>4</v>
      </c>
      <c r="J521" s="6">
        <f>Table1[[#This Row],[Profit]]/Table1[[#This Row],[Sales]]</f>
        <v>0.67752306851429123</v>
      </c>
      <c r="K521" s="5" t="str">
        <f t="shared" si="8"/>
        <v>Low</v>
      </c>
      <c r="L521" s="5" t="str">
        <f>TEXT(Table1[[#This Row],[Order_Date]],"MMM")</f>
        <v>Apr</v>
      </c>
      <c r="M521" s="5" t="str">
        <f>IF(Table1[[#This Row],[Profit]]&gt;=1000,"Excellent",IF(Table1[[#This Row],[Profit]]&gt;=500,"Good", IF(Table1[[#This Row],[Profit]]&lt;500,"Low")))</f>
        <v>Low</v>
      </c>
      <c r="N521" s="7" t="str">
        <f>TEXT(Table1[[#This Row],[Order_Date]],"YYY")</f>
        <v>2024</v>
      </c>
    </row>
    <row r="522" spans="1:14" x14ac:dyDescent="0.3">
      <c r="A522" s="4">
        <v>45389</v>
      </c>
      <c r="B522" s="5" t="s">
        <v>13</v>
      </c>
      <c r="C522" s="5" t="s">
        <v>1</v>
      </c>
      <c r="D522" s="23">
        <v>692.51</v>
      </c>
      <c r="E522" s="23">
        <v>341.78</v>
      </c>
      <c r="F522" s="23">
        <v>350.73</v>
      </c>
      <c r="G522" s="5" t="s">
        <v>6</v>
      </c>
      <c r="H522" s="5" t="s">
        <v>33</v>
      </c>
      <c r="I522" s="5" t="s">
        <v>17</v>
      </c>
      <c r="J522" s="6">
        <f>Table1[[#This Row],[Profit]]/Table1[[#This Row],[Sales]]</f>
        <v>0.50646200054872859</v>
      </c>
      <c r="K522" s="5" t="str">
        <f t="shared" si="8"/>
        <v>Low</v>
      </c>
      <c r="L522" s="5" t="str">
        <f>TEXT(Table1[[#This Row],[Order_Date]],"MMM")</f>
        <v>Apr</v>
      </c>
      <c r="M522" s="5" t="str">
        <f>IF(Table1[[#This Row],[Profit]]&gt;=1000,"Excellent",IF(Table1[[#This Row],[Profit]]&gt;=500,"Good", IF(Table1[[#This Row],[Profit]]&lt;500,"Low")))</f>
        <v>Low</v>
      </c>
      <c r="N522" s="7" t="str">
        <f>TEXT(Table1[[#This Row],[Order_Date]],"YYY")</f>
        <v>2024</v>
      </c>
    </row>
    <row r="523" spans="1:14" x14ac:dyDescent="0.3">
      <c r="A523" s="4">
        <v>45389</v>
      </c>
      <c r="B523" s="5" t="s">
        <v>8</v>
      </c>
      <c r="C523" s="5" t="s">
        <v>5</v>
      </c>
      <c r="D523" s="23">
        <v>2445.23</v>
      </c>
      <c r="E523" s="23">
        <v>864.41</v>
      </c>
      <c r="F523" s="23">
        <v>1580.82</v>
      </c>
      <c r="G523" s="5" t="s">
        <v>9</v>
      </c>
      <c r="H523" s="5" t="s">
        <v>35</v>
      </c>
      <c r="I523" s="5" t="s">
        <v>22</v>
      </c>
      <c r="J523" s="6">
        <f>Table1[[#This Row],[Profit]]/Table1[[#This Row],[Sales]]</f>
        <v>0.64649133210372844</v>
      </c>
      <c r="K523" s="5" t="str">
        <f t="shared" si="8"/>
        <v>High</v>
      </c>
      <c r="L523" s="5" t="str">
        <f>TEXT(Table1[[#This Row],[Order_Date]],"MMM")</f>
        <v>Apr</v>
      </c>
      <c r="M523" s="5" t="str">
        <f>IF(Table1[[#This Row],[Profit]]&gt;=1000,"Excellent",IF(Table1[[#This Row],[Profit]]&gt;=500,"Good", IF(Table1[[#This Row],[Profit]]&lt;500,"Low")))</f>
        <v>Excellent</v>
      </c>
      <c r="N523" s="7" t="str">
        <f>TEXT(Table1[[#This Row],[Order_Date]],"YYY")</f>
        <v>2024</v>
      </c>
    </row>
    <row r="524" spans="1:14" x14ac:dyDescent="0.3">
      <c r="A524" s="4">
        <v>45391</v>
      </c>
      <c r="B524" s="5" t="s">
        <v>8</v>
      </c>
      <c r="C524" s="5" t="s">
        <v>14</v>
      </c>
      <c r="D524" s="23">
        <v>85.61</v>
      </c>
      <c r="E524" s="23">
        <v>31.82</v>
      </c>
      <c r="F524" s="23">
        <v>53.79</v>
      </c>
      <c r="G524" s="5" t="s">
        <v>32</v>
      </c>
      <c r="H524" s="5" t="s">
        <v>36</v>
      </c>
      <c r="I524" s="5" t="s">
        <v>11</v>
      </c>
      <c r="J524" s="6">
        <f>Table1[[#This Row],[Profit]]/Table1[[#This Row],[Sales]]</f>
        <v>0.62831444924658331</v>
      </c>
      <c r="K524" s="5" t="str">
        <f t="shared" si="8"/>
        <v>Low</v>
      </c>
      <c r="L524" s="5" t="str">
        <f>TEXT(Table1[[#This Row],[Order_Date]],"MMM")</f>
        <v>Apr</v>
      </c>
      <c r="M524" s="5" t="str">
        <f>IF(Table1[[#This Row],[Profit]]&gt;=1000,"Excellent",IF(Table1[[#This Row],[Profit]]&gt;=500,"Good", IF(Table1[[#This Row],[Profit]]&lt;500,"Low")))</f>
        <v>Low</v>
      </c>
      <c r="N524" s="7" t="str">
        <f>TEXT(Table1[[#This Row],[Order_Date]],"YYY")</f>
        <v>2024</v>
      </c>
    </row>
    <row r="525" spans="1:14" x14ac:dyDescent="0.3">
      <c r="A525" s="4">
        <v>45391</v>
      </c>
      <c r="B525" s="5" t="s">
        <v>18</v>
      </c>
      <c r="C525" s="5" t="s">
        <v>14</v>
      </c>
      <c r="D525" s="23">
        <v>142.91999999999999</v>
      </c>
      <c r="E525" s="23">
        <v>77.72</v>
      </c>
      <c r="F525" s="23">
        <v>65.2</v>
      </c>
      <c r="G525" s="5" t="s">
        <v>2</v>
      </c>
      <c r="H525" s="5" t="s">
        <v>3</v>
      </c>
      <c r="I525" s="5" t="s">
        <v>11</v>
      </c>
      <c r="J525" s="6">
        <f>Table1[[#This Row],[Profit]]/Table1[[#This Row],[Sales]]</f>
        <v>0.45619927232017921</v>
      </c>
      <c r="K525" s="5" t="str">
        <f t="shared" si="8"/>
        <v>Low</v>
      </c>
      <c r="L525" s="5" t="str">
        <f>TEXT(Table1[[#This Row],[Order_Date]],"MMM")</f>
        <v>Apr</v>
      </c>
      <c r="M525" s="5" t="str">
        <f>IF(Table1[[#This Row],[Profit]]&gt;=1000,"Excellent",IF(Table1[[#This Row],[Profit]]&gt;=500,"Good", IF(Table1[[#This Row],[Profit]]&lt;500,"Low")))</f>
        <v>Low</v>
      </c>
      <c r="N525" s="7" t="str">
        <f>TEXT(Table1[[#This Row],[Order_Date]],"YYY")</f>
        <v>2024</v>
      </c>
    </row>
    <row r="526" spans="1:14" x14ac:dyDescent="0.3">
      <c r="A526" s="4">
        <v>45391</v>
      </c>
      <c r="B526" s="5" t="s">
        <v>0</v>
      </c>
      <c r="C526" s="5" t="s">
        <v>19</v>
      </c>
      <c r="D526" s="23">
        <v>108.69</v>
      </c>
      <c r="E526" s="23">
        <v>37.06</v>
      </c>
      <c r="F526" s="23">
        <v>71.63</v>
      </c>
      <c r="G526" s="5" t="s">
        <v>6</v>
      </c>
      <c r="H526" s="5" t="s">
        <v>21</v>
      </c>
      <c r="I526" s="5" t="s">
        <v>22</v>
      </c>
      <c r="J526" s="6">
        <f>Table1[[#This Row],[Profit]]/Table1[[#This Row],[Sales]]</f>
        <v>0.65903026957401778</v>
      </c>
      <c r="K526" s="5" t="str">
        <f t="shared" si="8"/>
        <v>Low</v>
      </c>
      <c r="L526" s="5" t="str">
        <f>TEXT(Table1[[#This Row],[Order_Date]],"MMM")</f>
        <v>Apr</v>
      </c>
      <c r="M526" s="5" t="str">
        <f>IF(Table1[[#This Row],[Profit]]&gt;=1000,"Excellent",IF(Table1[[#This Row],[Profit]]&gt;=500,"Good", IF(Table1[[#This Row],[Profit]]&lt;500,"Low")))</f>
        <v>Low</v>
      </c>
      <c r="N526" s="7" t="str">
        <f>TEXT(Table1[[#This Row],[Order_Date]],"YYY")</f>
        <v>2024</v>
      </c>
    </row>
    <row r="527" spans="1:14" x14ac:dyDescent="0.3">
      <c r="A527" s="4">
        <v>45392</v>
      </c>
      <c r="B527" s="5" t="s">
        <v>8</v>
      </c>
      <c r="C527" s="5" t="s">
        <v>14</v>
      </c>
      <c r="D527" s="23">
        <v>96.03</v>
      </c>
      <c r="E527" s="23">
        <v>45.48</v>
      </c>
      <c r="F527" s="23">
        <v>50.55</v>
      </c>
      <c r="G527" s="5" t="s">
        <v>20</v>
      </c>
      <c r="H527" s="5" t="s">
        <v>30</v>
      </c>
      <c r="I527" s="5" t="s">
        <v>25</v>
      </c>
      <c r="J527" s="6">
        <f>Table1[[#This Row],[Profit]]/Table1[[#This Row],[Sales]]</f>
        <v>0.52639800062480469</v>
      </c>
      <c r="K527" s="5" t="str">
        <f t="shared" si="8"/>
        <v>Low</v>
      </c>
      <c r="L527" s="5" t="str">
        <f>TEXT(Table1[[#This Row],[Order_Date]],"MMM")</f>
        <v>Apr</v>
      </c>
      <c r="M527" s="5" t="str">
        <f>IF(Table1[[#This Row],[Profit]]&gt;=1000,"Excellent",IF(Table1[[#This Row],[Profit]]&gt;=500,"Good", IF(Table1[[#This Row],[Profit]]&lt;500,"Low")))</f>
        <v>Low</v>
      </c>
      <c r="N527" s="7" t="str">
        <f>TEXT(Table1[[#This Row],[Order_Date]],"YYY")</f>
        <v>2024</v>
      </c>
    </row>
    <row r="528" spans="1:14" x14ac:dyDescent="0.3">
      <c r="A528" s="4">
        <v>45393</v>
      </c>
      <c r="B528" s="5" t="s">
        <v>8</v>
      </c>
      <c r="C528" s="5" t="s">
        <v>5</v>
      </c>
      <c r="D528" s="23">
        <v>1954.42</v>
      </c>
      <c r="E528" s="23">
        <v>643.23</v>
      </c>
      <c r="F528" s="23">
        <v>1311.19</v>
      </c>
      <c r="G528" s="5" t="s">
        <v>6</v>
      </c>
      <c r="H528" s="5" t="s">
        <v>10</v>
      </c>
      <c r="I528" s="5" t="s">
        <v>4</v>
      </c>
      <c r="J528" s="6">
        <f>Table1[[#This Row],[Profit]]/Table1[[#This Row],[Sales]]</f>
        <v>0.67088445676978337</v>
      </c>
      <c r="K528" s="5" t="str">
        <f t="shared" si="8"/>
        <v>Medium</v>
      </c>
      <c r="L528" s="5" t="str">
        <f>TEXT(Table1[[#This Row],[Order_Date]],"MMM")</f>
        <v>Apr</v>
      </c>
      <c r="M528" s="5" t="str">
        <f>IF(Table1[[#This Row],[Profit]]&gt;=1000,"Excellent",IF(Table1[[#This Row],[Profit]]&gt;=500,"Good", IF(Table1[[#This Row],[Profit]]&lt;500,"Low")))</f>
        <v>Excellent</v>
      </c>
      <c r="N528" s="7" t="str">
        <f>TEXT(Table1[[#This Row],[Order_Date]],"YYY")</f>
        <v>2024</v>
      </c>
    </row>
    <row r="529" spans="1:14" x14ac:dyDescent="0.3">
      <c r="A529" s="4">
        <v>45394</v>
      </c>
      <c r="B529" s="5" t="s">
        <v>16</v>
      </c>
      <c r="C529" s="5" t="s">
        <v>31</v>
      </c>
      <c r="D529" s="23">
        <v>98.43</v>
      </c>
      <c r="E529" s="23">
        <v>28.49</v>
      </c>
      <c r="F529" s="23">
        <v>69.94</v>
      </c>
      <c r="G529" s="5" t="s">
        <v>32</v>
      </c>
      <c r="H529" s="5" t="s">
        <v>15</v>
      </c>
      <c r="I529" s="5" t="s">
        <v>11</v>
      </c>
      <c r="J529" s="6">
        <f>Table1[[#This Row],[Profit]]/Table1[[#This Row],[Sales]]</f>
        <v>0.71055572488062579</v>
      </c>
      <c r="K529" s="5" t="str">
        <f t="shared" si="8"/>
        <v>Low</v>
      </c>
      <c r="L529" s="5" t="str">
        <f>TEXT(Table1[[#This Row],[Order_Date]],"MMM")</f>
        <v>Apr</v>
      </c>
      <c r="M529" s="5" t="str">
        <f>IF(Table1[[#This Row],[Profit]]&gt;=1000,"Excellent",IF(Table1[[#This Row],[Profit]]&gt;=500,"Good", IF(Table1[[#This Row],[Profit]]&lt;500,"Low")))</f>
        <v>Low</v>
      </c>
      <c r="N529" s="7" t="str">
        <f>TEXT(Table1[[#This Row],[Order_Date]],"YYY")</f>
        <v>2024</v>
      </c>
    </row>
    <row r="530" spans="1:14" x14ac:dyDescent="0.3">
      <c r="A530" s="4">
        <v>45394</v>
      </c>
      <c r="B530" s="5" t="s">
        <v>16</v>
      </c>
      <c r="C530" s="5" t="s">
        <v>23</v>
      </c>
      <c r="D530" s="23">
        <v>412.53</v>
      </c>
      <c r="E530" s="23">
        <v>145.93</v>
      </c>
      <c r="F530" s="23">
        <v>266.60000000000002</v>
      </c>
      <c r="G530" s="5" t="s">
        <v>6</v>
      </c>
      <c r="H530" s="5" t="s">
        <v>12</v>
      </c>
      <c r="I530" s="5" t="s">
        <v>4</v>
      </c>
      <c r="J530" s="6">
        <f>Table1[[#This Row],[Profit]]/Table1[[#This Row],[Sales]]</f>
        <v>0.64625602986449482</v>
      </c>
      <c r="K530" s="5" t="str">
        <f t="shared" si="8"/>
        <v>Low</v>
      </c>
      <c r="L530" s="5" t="str">
        <f>TEXT(Table1[[#This Row],[Order_Date]],"MMM")</f>
        <v>Apr</v>
      </c>
      <c r="M530" s="5" t="str">
        <f>IF(Table1[[#This Row],[Profit]]&gt;=1000,"Excellent",IF(Table1[[#This Row],[Profit]]&gt;=500,"Good", IF(Table1[[#This Row],[Profit]]&lt;500,"Low")))</f>
        <v>Low</v>
      </c>
      <c r="N530" s="7" t="str">
        <f>TEXT(Table1[[#This Row],[Order_Date]],"YYY")</f>
        <v>2024</v>
      </c>
    </row>
    <row r="531" spans="1:14" x14ac:dyDescent="0.3">
      <c r="A531" s="4">
        <v>45395</v>
      </c>
      <c r="B531" s="5" t="s">
        <v>13</v>
      </c>
      <c r="C531" s="5" t="s">
        <v>5</v>
      </c>
      <c r="D531" s="23">
        <v>887.49</v>
      </c>
      <c r="E531" s="23">
        <v>442.37</v>
      </c>
      <c r="F531" s="23">
        <v>445.12</v>
      </c>
      <c r="G531" s="5" t="s">
        <v>2</v>
      </c>
      <c r="H531" s="5" t="s">
        <v>37</v>
      </c>
      <c r="I531" s="5" t="s">
        <v>22</v>
      </c>
      <c r="J531" s="6">
        <f>Table1[[#This Row],[Profit]]/Table1[[#This Row],[Sales]]</f>
        <v>0.50154931323169838</v>
      </c>
      <c r="K531" s="5" t="str">
        <f t="shared" si="8"/>
        <v>Low</v>
      </c>
      <c r="L531" s="5" t="str">
        <f>TEXT(Table1[[#This Row],[Order_Date]],"MMM")</f>
        <v>Apr</v>
      </c>
      <c r="M531" s="5" t="str">
        <f>IF(Table1[[#This Row],[Profit]]&gt;=1000,"Excellent",IF(Table1[[#This Row],[Profit]]&gt;=500,"Good", IF(Table1[[#This Row],[Profit]]&lt;500,"Low")))</f>
        <v>Low</v>
      </c>
      <c r="N531" s="7" t="str">
        <f>TEXT(Table1[[#This Row],[Order_Date]],"YYY")</f>
        <v>2024</v>
      </c>
    </row>
    <row r="532" spans="1:14" x14ac:dyDescent="0.3">
      <c r="A532" s="4">
        <v>45395</v>
      </c>
      <c r="B532" s="5" t="s">
        <v>18</v>
      </c>
      <c r="C532" s="5" t="s">
        <v>31</v>
      </c>
      <c r="D532" s="23">
        <v>196.37</v>
      </c>
      <c r="E532" s="23">
        <v>47.24</v>
      </c>
      <c r="F532" s="23">
        <v>149.13</v>
      </c>
      <c r="G532" s="5" t="s">
        <v>9</v>
      </c>
      <c r="H532" s="5" t="s">
        <v>7</v>
      </c>
      <c r="I532" s="5" t="s">
        <v>4</v>
      </c>
      <c r="J532" s="6">
        <f>Table1[[#This Row],[Profit]]/Table1[[#This Row],[Sales]]</f>
        <v>0.75943372205530368</v>
      </c>
      <c r="K532" s="5" t="str">
        <f t="shared" si="8"/>
        <v>Low</v>
      </c>
      <c r="L532" s="5" t="str">
        <f>TEXT(Table1[[#This Row],[Order_Date]],"MMM")</f>
        <v>Apr</v>
      </c>
      <c r="M532" s="5" t="str">
        <f>IF(Table1[[#This Row],[Profit]]&gt;=1000,"Excellent",IF(Table1[[#This Row],[Profit]]&gt;=500,"Good", IF(Table1[[#This Row],[Profit]]&lt;500,"Low")))</f>
        <v>Low</v>
      </c>
      <c r="N532" s="7" t="str">
        <f>TEXT(Table1[[#This Row],[Order_Date]],"YYY")</f>
        <v>2024</v>
      </c>
    </row>
    <row r="533" spans="1:14" x14ac:dyDescent="0.3">
      <c r="A533" s="4">
        <v>45395</v>
      </c>
      <c r="B533" s="5" t="s">
        <v>18</v>
      </c>
      <c r="C533" s="5" t="s">
        <v>23</v>
      </c>
      <c r="D533" s="23">
        <v>426.74</v>
      </c>
      <c r="E533" s="23">
        <v>139.30000000000001</v>
      </c>
      <c r="F533" s="23">
        <v>287.44</v>
      </c>
      <c r="G533" s="5" t="s">
        <v>20</v>
      </c>
      <c r="H533" s="5" t="s">
        <v>10</v>
      </c>
      <c r="I533" s="5" t="s">
        <v>17</v>
      </c>
      <c r="J533" s="6">
        <f>Table1[[#This Row],[Profit]]/Table1[[#This Row],[Sales]]</f>
        <v>0.67357172985893043</v>
      </c>
      <c r="K533" s="5" t="str">
        <f t="shared" si="8"/>
        <v>Low</v>
      </c>
      <c r="L533" s="5" t="str">
        <f>TEXT(Table1[[#This Row],[Order_Date]],"MMM")</f>
        <v>Apr</v>
      </c>
      <c r="M533" s="5" t="str">
        <f>IF(Table1[[#This Row],[Profit]]&gt;=1000,"Excellent",IF(Table1[[#This Row],[Profit]]&gt;=500,"Good", IF(Table1[[#This Row],[Profit]]&lt;500,"Low")))</f>
        <v>Low</v>
      </c>
      <c r="N533" s="7" t="str">
        <f>TEXT(Table1[[#This Row],[Order_Date]],"YYY")</f>
        <v>2024</v>
      </c>
    </row>
    <row r="534" spans="1:14" x14ac:dyDescent="0.3">
      <c r="A534" s="4">
        <v>45395</v>
      </c>
      <c r="B534" s="5" t="s">
        <v>13</v>
      </c>
      <c r="C534" s="5" t="s">
        <v>23</v>
      </c>
      <c r="D534" s="23">
        <v>869.28</v>
      </c>
      <c r="E534" s="23">
        <v>393.86</v>
      </c>
      <c r="F534" s="23">
        <v>475.42</v>
      </c>
      <c r="G534" s="5" t="s">
        <v>32</v>
      </c>
      <c r="H534" s="5" t="s">
        <v>3</v>
      </c>
      <c r="I534" s="5" t="s">
        <v>22</v>
      </c>
      <c r="J534" s="6">
        <f>Table1[[#This Row],[Profit]]/Table1[[#This Row],[Sales]]</f>
        <v>0.54691238726302227</v>
      </c>
      <c r="K534" s="5" t="str">
        <f t="shared" si="8"/>
        <v>Low</v>
      </c>
      <c r="L534" s="5" t="str">
        <f>TEXT(Table1[[#This Row],[Order_Date]],"MMM")</f>
        <v>Apr</v>
      </c>
      <c r="M534" s="5" t="str">
        <f>IF(Table1[[#This Row],[Profit]]&gt;=1000,"Excellent",IF(Table1[[#This Row],[Profit]]&gt;=500,"Good", IF(Table1[[#This Row],[Profit]]&lt;500,"Low")))</f>
        <v>Low</v>
      </c>
      <c r="N534" s="7" t="str">
        <f>TEXT(Table1[[#This Row],[Order_Date]],"YYY")</f>
        <v>2024</v>
      </c>
    </row>
    <row r="535" spans="1:14" x14ac:dyDescent="0.3">
      <c r="A535" s="4">
        <v>45396</v>
      </c>
      <c r="B535" s="5" t="s">
        <v>18</v>
      </c>
      <c r="C535" s="5" t="s">
        <v>14</v>
      </c>
      <c r="D535" s="23">
        <v>368.85</v>
      </c>
      <c r="E535" s="23">
        <v>120.05</v>
      </c>
      <c r="F535" s="23">
        <v>248.8</v>
      </c>
      <c r="G535" s="5" t="s">
        <v>20</v>
      </c>
      <c r="H535" s="5" t="s">
        <v>36</v>
      </c>
      <c r="I535" s="5" t="s">
        <v>11</v>
      </c>
      <c r="J535" s="6">
        <f>Table1[[#This Row],[Profit]]/Table1[[#This Row],[Sales]]</f>
        <v>0.67452894130405316</v>
      </c>
      <c r="K535" s="5" t="str">
        <f t="shared" si="8"/>
        <v>Low</v>
      </c>
      <c r="L535" s="5" t="str">
        <f>TEXT(Table1[[#This Row],[Order_Date]],"MMM")</f>
        <v>Apr</v>
      </c>
      <c r="M535" s="5" t="str">
        <f>IF(Table1[[#This Row],[Profit]]&gt;=1000,"Excellent",IF(Table1[[#This Row],[Profit]]&gt;=500,"Good", IF(Table1[[#This Row],[Profit]]&lt;500,"Low")))</f>
        <v>Low</v>
      </c>
      <c r="N535" s="7" t="str">
        <f>TEXT(Table1[[#This Row],[Order_Date]],"YYY")</f>
        <v>2024</v>
      </c>
    </row>
    <row r="536" spans="1:14" x14ac:dyDescent="0.3">
      <c r="A536" s="4">
        <v>45396</v>
      </c>
      <c r="B536" s="5" t="s">
        <v>16</v>
      </c>
      <c r="C536" s="5" t="s">
        <v>5</v>
      </c>
      <c r="D536" s="23">
        <v>120.48</v>
      </c>
      <c r="E536" s="23">
        <v>53.02</v>
      </c>
      <c r="F536" s="23">
        <v>67.459999999999994</v>
      </c>
      <c r="G536" s="5" t="s">
        <v>6</v>
      </c>
      <c r="H536" s="5" t="s">
        <v>36</v>
      </c>
      <c r="I536" s="5" t="s">
        <v>17</v>
      </c>
      <c r="J536" s="6">
        <f>Table1[[#This Row],[Profit]]/Table1[[#This Row],[Sales]]</f>
        <v>0.55992695883134125</v>
      </c>
      <c r="K536" s="5" t="str">
        <f t="shared" si="8"/>
        <v>Low</v>
      </c>
      <c r="L536" s="5" t="str">
        <f>TEXT(Table1[[#This Row],[Order_Date]],"MMM")</f>
        <v>Apr</v>
      </c>
      <c r="M536" s="5" t="str">
        <f>IF(Table1[[#This Row],[Profit]]&gt;=1000,"Excellent",IF(Table1[[#This Row],[Profit]]&gt;=500,"Good", IF(Table1[[#This Row],[Profit]]&lt;500,"Low")))</f>
        <v>Low</v>
      </c>
      <c r="N536" s="7" t="str">
        <f>TEXT(Table1[[#This Row],[Order_Date]],"YYY")</f>
        <v>2024</v>
      </c>
    </row>
    <row r="537" spans="1:14" x14ac:dyDescent="0.3">
      <c r="A537" s="4">
        <v>45396</v>
      </c>
      <c r="B537" s="5" t="s">
        <v>16</v>
      </c>
      <c r="C537" s="5" t="s">
        <v>14</v>
      </c>
      <c r="D537" s="23">
        <v>65.56</v>
      </c>
      <c r="E537" s="23">
        <v>30.82</v>
      </c>
      <c r="F537" s="23">
        <v>34.74</v>
      </c>
      <c r="G537" s="5" t="s">
        <v>9</v>
      </c>
      <c r="H537" s="5" t="s">
        <v>36</v>
      </c>
      <c r="I537" s="5" t="s">
        <v>4</v>
      </c>
      <c r="J537" s="6">
        <f>Table1[[#This Row],[Profit]]/Table1[[#This Row],[Sales]]</f>
        <v>0.52989627821842589</v>
      </c>
      <c r="K537" s="5" t="str">
        <f t="shared" si="8"/>
        <v>Low</v>
      </c>
      <c r="L537" s="5" t="str">
        <f>TEXT(Table1[[#This Row],[Order_Date]],"MMM")</f>
        <v>Apr</v>
      </c>
      <c r="M537" s="5" t="str">
        <f>IF(Table1[[#This Row],[Profit]]&gt;=1000,"Excellent",IF(Table1[[#This Row],[Profit]]&gt;=500,"Good", IF(Table1[[#This Row],[Profit]]&lt;500,"Low")))</f>
        <v>Low</v>
      </c>
      <c r="N537" s="7" t="str">
        <f>TEXT(Table1[[#This Row],[Order_Date]],"YYY")</f>
        <v>2024</v>
      </c>
    </row>
    <row r="538" spans="1:14" x14ac:dyDescent="0.3">
      <c r="A538" s="4">
        <v>45396</v>
      </c>
      <c r="B538" s="5" t="s">
        <v>8</v>
      </c>
      <c r="C538" s="5" t="s">
        <v>14</v>
      </c>
      <c r="D538" s="23">
        <v>182.45</v>
      </c>
      <c r="E538" s="23">
        <v>83.19</v>
      </c>
      <c r="F538" s="23">
        <v>99.26</v>
      </c>
      <c r="G538" s="5" t="s">
        <v>32</v>
      </c>
      <c r="H538" s="5" t="s">
        <v>3</v>
      </c>
      <c r="I538" s="5" t="s">
        <v>25</v>
      </c>
      <c r="J538" s="6">
        <f>Table1[[#This Row],[Profit]]/Table1[[#This Row],[Sales]]</f>
        <v>0.54403946286653881</v>
      </c>
      <c r="K538" s="5" t="str">
        <f t="shared" si="8"/>
        <v>Low</v>
      </c>
      <c r="L538" s="5" t="str">
        <f>TEXT(Table1[[#This Row],[Order_Date]],"MMM")</f>
        <v>Apr</v>
      </c>
      <c r="M538" s="5" t="str">
        <f>IF(Table1[[#This Row],[Profit]]&gt;=1000,"Excellent",IF(Table1[[#This Row],[Profit]]&gt;=500,"Good", IF(Table1[[#This Row],[Profit]]&lt;500,"Low")))</f>
        <v>Low</v>
      </c>
      <c r="N538" s="7" t="str">
        <f>TEXT(Table1[[#This Row],[Order_Date]],"YYY")</f>
        <v>2024</v>
      </c>
    </row>
    <row r="539" spans="1:14" x14ac:dyDescent="0.3">
      <c r="A539" s="4">
        <v>45397</v>
      </c>
      <c r="B539" s="5" t="s">
        <v>16</v>
      </c>
      <c r="C539" s="5" t="s">
        <v>19</v>
      </c>
      <c r="D539" s="23">
        <v>104.19</v>
      </c>
      <c r="E539" s="23">
        <v>42.04</v>
      </c>
      <c r="F539" s="23">
        <v>62.15</v>
      </c>
      <c r="G539" s="5" t="s">
        <v>9</v>
      </c>
      <c r="H539" s="5" t="s">
        <v>12</v>
      </c>
      <c r="I539" s="5" t="s">
        <v>11</v>
      </c>
      <c r="J539" s="6">
        <f>Table1[[#This Row],[Profit]]/Table1[[#This Row],[Sales]]</f>
        <v>0.59650638257030431</v>
      </c>
      <c r="K539" s="5" t="str">
        <f t="shared" si="8"/>
        <v>Low</v>
      </c>
      <c r="L539" s="5" t="str">
        <f>TEXT(Table1[[#This Row],[Order_Date]],"MMM")</f>
        <v>Apr</v>
      </c>
      <c r="M539" s="5" t="str">
        <f>IF(Table1[[#This Row],[Profit]]&gt;=1000,"Excellent",IF(Table1[[#This Row],[Profit]]&gt;=500,"Good", IF(Table1[[#This Row],[Profit]]&lt;500,"Low")))</f>
        <v>Low</v>
      </c>
      <c r="N539" s="7" t="str">
        <f>TEXT(Table1[[#This Row],[Order_Date]],"YYY")</f>
        <v>2024</v>
      </c>
    </row>
    <row r="540" spans="1:14" x14ac:dyDescent="0.3">
      <c r="A540" s="4">
        <v>45399</v>
      </c>
      <c r="B540" s="5" t="s">
        <v>13</v>
      </c>
      <c r="C540" s="5" t="s">
        <v>31</v>
      </c>
      <c r="D540" s="23">
        <v>83.28</v>
      </c>
      <c r="E540" s="23">
        <v>30.74</v>
      </c>
      <c r="F540" s="23">
        <v>52.54</v>
      </c>
      <c r="G540" s="5" t="s">
        <v>2</v>
      </c>
      <c r="H540" s="5" t="s">
        <v>36</v>
      </c>
      <c r="I540" s="5" t="s">
        <v>17</v>
      </c>
      <c r="J540" s="6">
        <f>Table1[[#This Row],[Profit]]/Table1[[#This Row],[Sales]]</f>
        <v>0.63088376560999038</v>
      </c>
      <c r="K540" s="5" t="str">
        <f t="shared" si="8"/>
        <v>Low</v>
      </c>
      <c r="L540" s="5" t="str">
        <f>TEXT(Table1[[#This Row],[Order_Date]],"MMM")</f>
        <v>Apr</v>
      </c>
      <c r="M540" s="5" t="str">
        <f>IF(Table1[[#This Row],[Profit]]&gt;=1000,"Excellent",IF(Table1[[#This Row],[Profit]]&gt;=500,"Good", IF(Table1[[#This Row],[Profit]]&lt;500,"Low")))</f>
        <v>Low</v>
      </c>
      <c r="N540" s="7" t="str">
        <f>TEXT(Table1[[#This Row],[Order_Date]],"YYY")</f>
        <v>2024</v>
      </c>
    </row>
    <row r="541" spans="1:14" x14ac:dyDescent="0.3">
      <c r="A541" s="4">
        <v>45399</v>
      </c>
      <c r="B541" s="5" t="s">
        <v>0</v>
      </c>
      <c r="C541" s="5" t="s">
        <v>23</v>
      </c>
      <c r="D541" s="23">
        <v>210.04</v>
      </c>
      <c r="E541" s="23">
        <v>102.28</v>
      </c>
      <c r="F541" s="23">
        <v>107.76</v>
      </c>
      <c r="G541" s="5" t="s">
        <v>6</v>
      </c>
      <c r="H541" s="5" t="s">
        <v>28</v>
      </c>
      <c r="I541" s="5" t="s">
        <v>27</v>
      </c>
      <c r="J541" s="6">
        <f>Table1[[#This Row],[Profit]]/Table1[[#This Row],[Sales]]</f>
        <v>0.51304513426014098</v>
      </c>
      <c r="K541" s="5" t="str">
        <f t="shared" si="8"/>
        <v>Low</v>
      </c>
      <c r="L541" s="5" t="str">
        <f>TEXT(Table1[[#This Row],[Order_Date]],"MMM")</f>
        <v>Apr</v>
      </c>
      <c r="M541" s="5" t="str">
        <f>IF(Table1[[#This Row],[Profit]]&gt;=1000,"Excellent",IF(Table1[[#This Row],[Profit]]&gt;=500,"Good", IF(Table1[[#This Row],[Profit]]&lt;500,"Low")))</f>
        <v>Low</v>
      </c>
      <c r="N541" s="7" t="str">
        <f>TEXT(Table1[[#This Row],[Order_Date]],"YYY")</f>
        <v>2024</v>
      </c>
    </row>
    <row r="542" spans="1:14" x14ac:dyDescent="0.3">
      <c r="A542" s="4">
        <v>45399</v>
      </c>
      <c r="B542" s="5" t="s">
        <v>16</v>
      </c>
      <c r="C542" s="5" t="s">
        <v>19</v>
      </c>
      <c r="D542" s="23">
        <v>17.48</v>
      </c>
      <c r="E542" s="23">
        <v>7.03</v>
      </c>
      <c r="F542" s="23">
        <v>10.45</v>
      </c>
      <c r="G542" s="5" t="s">
        <v>2</v>
      </c>
      <c r="H542" s="5" t="s">
        <v>35</v>
      </c>
      <c r="I542" s="5" t="s">
        <v>4</v>
      </c>
      <c r="J542" s="6">
        <f>Table1[[#This Row],[Profit]]/Table1[[#This Row],[Sales]]</f>
        <v>0.59782608695652173</v>
      </c>
      <c r="K542" s="5" t="str">
        <f t="shared" si="8"/>
        <v>Low</v>
      </c>
      <c r="L542" s="5" t="str">
        <f>TEXT(Table1[[#This Row],[Order_Date]],"MMM")</f>
        <v>Apr</v>
      </c>
      <c r="M542" s="5" t="str">
        <f>IF(Table1[[#This Row],[Profit]]&gt;=1000,"Excellent",IF(Table1[[#This Row],[Profit]]&gt;=500,"Good", IF(Table1[[#This Row],[Profit]]&lt;500,"Low")))</f>
        <v>Low</v>
      </c>
      <c r="N542" s="7" t="str">
        <f>TEXT(Table1[[#This Row],[Order_Date]],"YYY")</f>
        <v>2024</v>
      </c>
    </row>
    <row r="543" spans="1:14" x14ac:dyDescent="0.3">
      <c r="A543" s="4">
        <v>45399</v>
      </c>
      <c r="B543" s="5" t="s">
        <v>0</v>
      </c>
      <c r="C543" s="5" t="s">
        <v>1</v>
      </c>
      <c r="D543" s="23">
        <v>533.05999999999995</v>
      </c>
      <c r="E543" s="23">
        <v>245.22</v>
      </c>
      <c r="F543" s="23">
        <v>287.83999999999997</v>
      </c>
      <c r="G543" s="5" t="s">
        <v>32</v>
      </c>
      <c r="H543" s="5" t="s">
        <v>12</v>
      </c>
      <c r="I543" s="5" t="s">
        <v>22</v>
      </c>
      <c r="J543" s="6">
        <f>Table1[[#This Row],[Profit]]/Table1[[#This Row],[Sales]]</f>
        <v>0.53997673807826507</v>
      </c>
      <c r="K543" s="5" t="str">
        <f t="shared" si="8"/>
        <v>Low</v>
      </c>
      <c r="L543" s="5" t="str">
        <f>TEXT(Table1[[#This Row],[Order_Date]],"MMM")</f>
        <v>Apr</v>
      </c>
      <c r="M543" s="5" t="str">
        <f>IF(Table1[[#This Row],[Profit]]&gt;=1000,"Excellent",IF(Table1[[#This Row],[Profit]]&gt;=500,"Good", IF(Table1[[#This Row],[Profit]]&lt;500,"Low")))</f>
        <v>Low</v>
      </c>
      <c r="N543" s="7" t="str">
        <f>TEXT(Table1[[#This Row],[Order_Date]],"YYY")</f>
        <v>2024</v>
      </c>
    </row>
    <row r="544" spans="1:14" x14ac:dyDescent="0.3">
      <c r="A544" s="4">
        <v>45400</v>
      </c>
      <c r="B544" s="5" t="s">
        <v>8</v>
      </c>
      <c r="C544" s="5" t="s">
        <v>19</v>
      </c>
      <c r="D544" s="23">
        <v>110.85</v>
      </c>
      <c r="E544" s="23">
        <v>40.92</v>
      </c>
      <c r="F544" s="23">
        <v>69.930000000000007</v>
      </c>
      <c r="G544" s="5" t="s">
        <v>2</v>
      </c>
      <c r="H544" s="5" t="s">
        <v>15</v>
      </c>
      <c r="I544" s="5" t="s">
        <v>22</v>
      </c>
      <c r="J544" s="6">
        <f>Table1[[#This Row],[Profit]]/Table1[[#This Row],[Sales]]</f>
        <v>0.63085250338295007</v>
      </c>
      <c r="K544" s="5" t="str">
        <f t="shared" si="8"/>
        <v>Low</v>
      </c>
      <c r="L544" s="5" t="str">
        <f>TEXT(Table1[[#This Row],[Order_Date]],"MMM")</f>
        <v>Apr</v>
      </c>
      <c r="M544" s="5" t="str">
        <f>IF(Table1[[#This Row],[Profit]]&gt;=1000,"Excellent",IF(Table1[[#This Row],[Profit]]&gt;=500,"Good", IF(Table1[[#This Row],[Profit]]&lt;500,"Low")))</f>
        <v>Low</v>
      </c>
      <c r="N544" s="7" t="str">
        <f>TEXT(Table1[[#This Row],[Order_Date]],"YYY")</f>
        <v>2024</v>
      </c>
    </row>
    <row r="545" spans="1:14" x14ac:dyDescent="0.3">
      <c r="A545" s="4">
        <v>45400</v>
      </c>
      <c r="B545" s="5" t="s">
        <v>18</v>
      </c>
      <c r="C545" s="5" t="s">
        <v>23</v>
      </c>
      <c r="D545" s="23">
        <v>268.56</v>
      </c>
      <c r="E545" s="23">
        <v>85.92</v>
      </c>
      <c r="F545" s="23">
        <v>182.64</v>
      </c>
      <c r="G545" s="5" t="s">
        <v>9</v>
      </c>
      <c r="H545" s="5" t="s">
        <v>34</v>
      </c>
      <c r="I545" s="5" t="s">
        <v>11</v>
      </c>
      <c r="J545" s="6">
        <f>Table1[[#This Row],[Profit]]/Table1[[#This Row],[Sales]]</f>
        <v>0.68007149240393205</v>
      </c>
      <c r="K545" s="5" t="str">
        <f t="shared" si="8"/>
        <v>Low</v>
      </c>
      <c r="L545" s="5" t="str">
        <f>TEXT(Table1[[#This Row],[Order_Date]],"MMM")</f>
        <v>Apr</v>
      </c>
      <c r="M545" s="5" t="str">
        <f>IF(Table1[[#This Row],[Profit]]&gt;=1000,"Excellent",IF(Table1[[#This Row],[Profit]]&gt;=500,"Good", IF(Table1[[#This Row],[Profit]]&lt;500,"Low")))</f>
        <v>Low</v>
      </c>
      <c r="N545" s="7" t="str">
        <f>TEXT(Table1[[#This Row],[Order_Date]],"YYY")</f>
        <v>2024</v>
      </c>
    </row>
    <row r="546" spans="1:14" x14ac:dyDescent="0.3">
      <c r="A546" s="4">
        <v>45402</v>
      </c>
      <c r="B546" s="5" t="s">
        <v>0</v>
      </c>
      <c r="C546" s="5" t="s">
        <v>19</v>
      </c>
      <c r="D546" s="23">
        <v>79.86</v>
      </c>
      <c r="E546" s="23">
        <v>22.55</v>
      </c>
      <c r="F546" s="23">
        <v>57.31</v>
      </c>
      <c r="G546" s="5" t="s">
        <v>20</v>
      </c>
      <c r="H546" s="5" t="s">
        <v>10</v>
      </c>
      <c r="I546" s="5" t="s">
        <v>27</v>
      </c>
      <c r="J546" s="6">
        <f>Table1[[#This Row],[Profit]]/Table1[[#This Row],[Sales]]</f>
        <v>0.71763085399449034</v>
      </c>
      <c r="K546" s="5" t="str">
        <f t="shared" si="8"/>
        <v>Low</v>
      </c>
      <c r="L546" s="5" t="str">
        <f>TEXT(Table1[[#This Row],[Order_Date]],"MMM")</f>
        <v>Apr</v>
      </c>
      <c r="M546" s="5" t="str">
        <f>IF(Table1[[#This Row],[Profit]]&gt;=1000,"Excellent",IF(Table1[[#This Row],[Profit]]&gt;=500,"Good", IF(Table1[[#This Row],[Profit]]&lt;500,"Low")))</f>
        <v>Low</v>
      </c>
      <c r="N546" s="7" t="str">
        <f>TEXT(Table1[[#This Row],[Order_Date]],"YYY")</f>
        <v>2024</v>
      </c>
    </row>
    <row r="547" spans="1:14" x14ac:dyDescent="0.3">
      <c r="A547" s="4">
        <v>45403</v>
      </c>
      <c r="B547" s="5" t="s">
        <v>8</v>
      </c>
      <c r="C547" s="5" t="s">
        <v>26</v>
      </c>
      <c r="D547" s="23">
        <v>155.28</v>
      </c>
      <c r="E547" s="23">
        <v>51.35</v>
      </c>
      <c r="F547" s="23">
        <v>103.93</v>
      </c>
      <c r="G547" s="5" t="s">
        <v>20</v>
      </c>
      <c r="H547" s="5" t="s">
        <v>28</v>
      </c>
      <c r="I547" s="5" t="s">
        <v>25</v>
      </c>
      <c r="J547" s="6">
        <f>Table1[[#This Row],[Profit]]/Table1[[#This Row],[Sales]]</f>
        <v>0.66930705821741376</v>
      </c>
      <c r="K547" s="5" t="str">
        <f t="shared" si="8"/>
        <v>Low</v>
      </c>
      <c r="L547" s="5" t="str">
        <f>TEXT(Table1[[#This Row],[Order_Date]],"MMM")</f>
        <v>Apr</v>
      </c>
      <c r="M547" s="5" t="str">
        <f>IF(Table1[[#This Row],[Profit]]&gt;=1000,"Excellent",IF(Table1[[#This Row],[Profit]]&gt;=500,"Good", IF(Table1[[#This Row],[Profit]]&lt;500,"Low")))</f>
        <v>Low</v>
      </c>
      <c r="N547" s="7" t="str">
        <f>TEXT(Table1[[#This Row],[Order_Date]],"YYY")</f>
        <v>2024</v>
      </c>
    </row>
    <row r="548" spans="1:14" x14ac:dyDescent="0.3">
      <c r="A548" s="4">
        <v>45403</v>
      </c>
      <c r="B548" s="5" t="s">
        <v>8</v>
      </c>
      <c r="C548" s="5" t="s">
        <v>14</v>
      </c>
      <c r="D548" s="23">
        <v>241.54</v>
      </c>
      <c r="E548" s="23">
        <v>92.78</v>
      </c>
      <c r="F548" s="23">
        <v>148.76</v>
      </c>
      <c r="G548" s="5" t="s">
        <v>32</v>
      </c>
      <c r="H548" s="5" t="s">
        <v>12</v>
      </c>
      <c r="I548" s="5" t="s">
        <v>22</v>
      </c>
      <c r="J548" s="6">
        <f>Table1[[#This Row],[Profit]]/Table1[[#This Row],[Sales]]</f>
        <v>0.61588142750683117</v>
      </c>
      <c r="K548" s="5" t="str">
        <f t="shared" si="8"/>
        <v>Low</v>
      </c>
      <c r="L548" s="5" t="str">
        <f>TEXT(Table1[[#This Row],[Order_Date]],"MMM")</f>
        <v>Apr</v>
      </c>
      <c r="M548" s="5" t="str">
        <f>IF(Table1[[#This Row],[Profit]]&gt;=1000,"Excellent",IF(Table1[[#This Row],[Profit]]&gt;=500,"Good", IF(Table1[[#This Row],[Profit]]&lt;500,"Low")))</f>
        <v>Low</v>
      </c>
      <c r="N548" s="7" t="str">
        <f>TEXT(Table1[[#This Row],[Order_Date]],"YYY")</f>
        <v>2024</v>
      </c>
    </row>
    <row r="549" spans="1:14" x14ac:dyDescent="0.3">
      <c r="A549" s="4">
        <v>45404</v>
      </c>
      <c r="B549" s="5" t="s">
        <v>13</v>
      </c>
      <c r="C549" s="5" t="s">
        <v>5</v>
      </c>
      <c r="D549" s="23">
        <v>923.36</v>
      </c>
      <c r="E549" s="23">
        <v>316.85000000000002</v>
      </c>
      <c r="F549" s="23">
        <v>606.51</v>
      </c>
      <c r="G549" s="5" t="s">
        <v>20</v>
      </c>
      <c r="H549" s="5" t="s">
        <v>29</v>
      </c>
      <c r="I549" s="5" t="s">
        <v>27</v>
      </c>
      <c r="J549" s="6">
        <f>Table1[[#This Row],[Profit]]/Table1[[#This Row],[Sales]]</f>
        <v>0.65685106567319351</v>
      </c>
      <c r="K549" s="5" t="str">
        <f t="shared" si="8"/>
        <v>Low</v>
      </c>
      <c r="L549" s="5" t="str">
        <f>TEXT(Table1[[#This Row],[Order_Date]],"MMM")</f>
        <v>Apr</v>
      </c>
      <c r="M549" s="5" t="str">
        <f>IF(Table1[[#This Row],[Profit]]&gt;=1000,"Excellent",IF(Table1[[#This Row],[Profit]]&gt;=500,"Good", IF(Table1[[#This Row],[Profit]]&lt;500,"Low")))</f>
        <v>Good</v>
      </c>
      <c r="N549" s="7" t="str">
        <f>TEXT(Table1[[#This Row],[Order_Date]],"YYY")</f>
        <v>2024</v>
      </c>
    </row>
    <row r="550" spans="1:14" x14ac:dyDescent="0.3">
      <c r="A550" s="4">
        <v>45404</v>
      </c>
      <c r="B550" s="5" t="s">
        <v>8</v>
      </c>
      <c r="C550" s="5" t="s">
        <v>23</v>
      </c>
      <c r="D550" s="23">
        <v>487.88</v>
      </c>
      <c r="E550" s="23">
        <v>204.78</v>
      </c>
      <c r="F550" s="23">
        <v>283.10000000000002</v>
      </c>
      <c r="G550" s="5" t="s">
        <v>32</v>
      </c>
      <c r="H550" s="5" t="s">
        <v>15</v>
      </c>
      <c r="I550" s="5" t="s">
        <v>11</v>
      </c>
      <c r="J550" s="6">
        <f>Table1[[#This Row],[Profit]]/Table1[[#This Row],[Sales]]</f>
        <v>0.58026563909157991</v>
      </c>
      <c r="K550" s="5" t="str">
        <f t="shared" si="8"/>
        <v>Low</v>
      </c>
      <c r="L550" s="5" t="str">
        <f>TEXT(Table1[[#This Row],[Order_Date]],"MMM")</f>
        <v>Apr</v>
      </c>
      <c r="M550" s="5" t="str">
        <f>IF(Table1[[#This Row],[Profit]]&gt;=1000,"Excellent",IF(Table1[[#This Row],[Profit]]&gt;=500,"Good", IF(Table1[[#This Row],[Profit]]&lt;500,"Low")))</f>
        <v>Low</v>
      </c>
      <c r="N550" s="7" t="str">
        <f>TEXT(Table1[[#This Row],[Order_Date]],"YYY")</f>
        <v>2024</v>
      </c>
    </row>
    <row r="551" spans="1:14" x14ac:dyDescent="0.3">
      <c r="A551" s="4">
        <v>45404</v>
      </c>
      <c r="B551" s="5" t="s">
        <v>13</v>
      </c>
      <c r="C551" s="5" t="s">
        <v>23</v>
      </c>
      <c r="D551" s="23">
        <v>754.39</v>
      </c>
      <c r="E551" s="23">
        <v>218.3</v>
      </c>
      <c r="F551" s="23">
        <v>536.09</v>
      </c>
      <c r="G551" s="5" t="s">
        <v>20</v>
      </c>
      <c r="H551" s="5" t="s">
        <v>28</v>
      </c>
      <c r="I551" s="5" t="s">
        <v>22</v>
      </c>
      <c r="J551" s="6">
        <f>Table1[[#This Row],[Profit]]/Table1[[#This Row],[Sales]]</f>
        <v>0.71062712920372761</v>
      </c>
      <c r="K551" s="5" t="str">
        <f t="shared" si="8"/>
        <v>Low</v>
      </c>
      <c r="L551" s="5" t="str">
        <f>TEXT(Table1[[#This Row],[Order_Date]],"MMM")</f>
        <v>Apr</v>
      </c>
      <c r="M551" s="5" t="str">
        <f>IF(Table1[[#This Row],[Profit]]&gt;=1000,"Excellent",IF(Table1[[#This Row],[Profit]]&gt;=500,"Good", IF(Table1[[#This Row],[Profit]]&lt;500,"Low")))</f>
        <v>Good</v>
      </c>
      <c r="N551" s="7" t="str">
        <f>TEXT(Table1[[#This Row],[Order_Date]],"YYY")</f>
        <v>2024</v>
      </c>
    </row>
    <row r="552" spans="1:14" x14ac:dyDescent="0.3">
      <c r="A552" s="4">
        <v>45404</v>
      </c>
      <c r="B552" s="5" t="s">
        <v>8</v>
      </c>
      <c r="C552" s="5" t="s">
        <v>31</v>
      </c>
      <c r="D552" s="23">
        <v>16.96</v>
      </c>
      <c r="E552" s="23">
        <v>5.34</v>
      </c>
      <c r="F552" s="23">
        <v>11.62</v>
      </c>
      <c r="G552" s="5" t="s">
        <v>9</v>
      </c>
      <c r="H552" s="5" t="s">
        <v>15</v>
      </c>
      <c r="I552" s="5" t="s">
        <v>11</v>
      </c>
      <c r="J552" s="6">
        <f>Table1[[#This Row],[Profit]]/Table1[[#This Row],[Sales]]</f>
        <v>0.68514150943396224</v>
      </c>
      <c r="K552" s="5" t="str">
        <f t="shared" si="8"/>
        <v>Low</v>
      </c>
      <c r="L552" s="5" t="str">
        <f>TEXT(Table1[[#This Row],[Order_Date]],"MMM")</f>
        <v>Apr</v>
      </c>
      <c r="M552" s="5" t="str">
        <f>IF(Table1[[#This Row],[Profit]]&gt;=1000,"Excellent",IF(Table1[[#This Row],[Profit]]&gt;=500,"Good", IF(Table1[[#This Row],[Profit]]&lt;500,"Low")))</f>
        <v>Low</v>
      </c>
      <c r="N552" s="7" t="str">
        <f>TEXT(Table1[[#This Row],[Order_Date]],"YYY")</f>
        <v>2024</v>
      </c>
    </row>
    <row r="553" spans="1:14" x14ac:dyDescent="0.3">
      <c r="A553" s="4">
        <v>45404</v>
      </c>
      <c r="B553" s="5" t="s">
        <v>8</v>
      </c>
      <c r="C553" s="5" t="s">
        <v>1</v>
      </c>
      <c r="D553" s="23">
        <v>738.17</v>
      </c>
      <c r="E553" s="23">
        <v>455.07</v>
      </c>
      <c r="F553" s="23">
        <v>283.10000000000002</v>
      </c>
      <c r="G553" s="5" t="s">
        <v>9</v>
      </c>
      <c r="H553" s="5" t="s">
        <v>12</v>
      </c>
      <c r="I553" s="5" t="s">
        <v>25</v>
      </c>
      <c r="J553" s="6">
        <f>Table1[[#This Row],[Profit]]/Table1[[#This Row],[Sales]]</f>
        <v>0.3835159922511075</v>
      </c>
      <c r="K553" s="5" t="str">
        <f t="shared" si="8"/>
        <v>Low</v>
      </c>
      <c r="L553" s="5" t="str">
        <f>TEXT(Table1[[#This Row],[Order_Date]],"MMM")</f>
        <v>Apr</v>
      </c>
      <c r="M553" s="5" t="str">
        <f>IF(Table1[[#This Row],[Profit]]&gt;=1000,"Excellent",IF(Table1[[#This Row],[Profit]]&gt;=500,"Good", IF(Table1[[#This Row],[Profit]]&lt;500,"Low")))</f>
        <v>Low</v>
      </c>
      <c r="N553" s="7" t="str">
        <f>TEXT(Table1[[#This Row],[Order_Date]],"YYY")</f>
        <v>2024</v>
      </c>
    </row>
    <row r="554" spans="1:14" x14ac:dyDescent="0.3">
      <c r="A554" s="4">
        <v>45404</v>
      </c>
      <c r="B554" s="5" t="s">
        <v>8</v>
      </c>
      <c r="C554" s="5" t="s">
        <v>31</v>
      </c>
      <c r="D554" s="23">
        <v>212.52</v>
      </c>
      <c r="E554" s="23">
        <v>57.38</v>
      </c>
      <c r="F554" s="23">
        <v>155.13999999999999</v>
      </c>
      <c r="G554" s="5" t="s">
        <v>2</v>
      </c>
      <c r="H554" s="5" t="s">
        <v>30</v>
      </c>
      <c r="I554" s="5" t="s">
        <v>25</v>
      </c>
      <c r="J554" s="6">
        <f>Table1[[#This Row],[Profit]]/Table1[[#This Row],[Sales]]</f>
        <v>0.73000188217579509</v>
      </c>
      <c r="K554" s="5" t="str">
        <f t="shared" si="8"/>
        <v>Low</v>
      </c>
      <c r="L554" s="5" t="str">
        <f>TEXT(Table1[[#This Row],[Order_Date]],"MMM")</f>
        <v>Apr</v>
      </c>
      <c r="M554" s="5" t="str">
        <f>IF(Table1[[#This Row],[Profit]]&gt;=1000,"Excellent",IF(Table1[[#This Row],[Profit]]&gt;=500,"Good", IF(Table1[[#This Row],[Profit]]&lt;500,"Low")))</f>
        <v>Low</v>
      </c>
      <c r="N554" s="7" t="str">
        <f>TEXT(Table1[[#This Row],[Order_Date]],"YYY")</f>
        <v>2024</v>
      </c>
    </row>
    <row r="555" spans="1:14" x14ac:dyDescent="0.3">
      <c r="A555" s="4">
        <v>45405</v>
      </c>
      <c r="B555" s="5" t="s">
        <v>0</v>
      </c>
      <c r="C555" s="5" t="s">
        <v>5</v>
      </c>
      <c r="D555" s="23">
        <v>400.83</v>
      </c>
      <c r="E555" s="23">
        <v>189.98</v>
      </c>
      <c r="F555" s="23">
        <v>210.85</v>
      </c>
      <c r="G555" s="5" t="s">
        <v>32</v>
      </c>
      <c r="H555" s="5" t="s">
        <v>21</v>
      </c>
      <c r="I555" s="5" t="s">
        <v>11</v>
      </c>
      <c r="J555" s="6">
        <f>Table1[[#This Row],[Profit]]/Table1[[#This Row],[Sales]]</f>
        <v>0.52603348052790455</v>
      </c>
      <c r="K555" s="5" t="str">
        <f t="shared" si="8"/>
        <v>Low</v>
      </c>
      <c r="L555" s="5" t="str">
        <f>TEXT(Table1[[#This Row],[Order_Date]],"MMM")</f>
        <v>Apr</v>
      </c>
      <c r="M555" s="5" t="str">
        <f>IF(Table1[[#This Row],[Profit]]&gt;=1000,"Excellent",IF(Table1[[#This Row],[Profit]]&gt;=500,"Good", IF(Table1[[#This Row],[Profit]]&lt;500,"Low")))</f>
        <v>Low</v>
      </c>
      <c r="N555" s="7" t="str">
        <f>TEXT(Table1[[#This Row],[Order_Date]],"YYY")</f>
        <v>2024</v>
      </c>
    </row>
    <row r="556" spans="1:14" x14ac:dyDescent="0.3">
      <c r="A556" s="4">
        <v>45406</v>
      </c>
      <c r="B556" s="5" t="s">
        <v>8</v>
      </c>
      <c r="C556" s="5" t="s">
        <v>19</v>
      </c>
      <c r="D556" s="23">
        <v>86.68</v>
      </c>
      <c r="E556" s="23">
        <v>26.84</v>
      </c>
      <c r="F556" s="23">
        <v>59.84</v>
      </c>
      <c r="G556" s="5" t="s">
        <v>9</v>
      </c>
      <c r="H556" s="5" t="s">
        <v>29</v>
      </c>
      <c r="I556" s="5" t="s">
        <v>27</v>
      </c>
      <c r="J556" s="6">
        <f>Table1[[#This Row],[Profit]]/Table1[[#This Row],[Sales]]</f>
        <v>0.69035532994923854</v>
      </c>
      <c r="K556" s="5" t="str">
        <f t="shared" si="8"/>
        <v>Low</v>
      </c>
      <c r="L556" s="5" t="str">
        <f>TEXT(Table1[[#This Row],[Order_Date]],"MMM")</f>
        <v>Apr</v>
      </c>
      <c r="M556" s="5" t="str">
        <f>IF(Table1[[#This Row],[Profit]]&gt;=1000,"Excellent",IF(Table1[[#This Row],[Profit]]&gt;=500,"Good", IF(Table1[[#This Row],[Profit]]&lt;500,"Low")))</f>
        <v>Low</v>
      </c>
      <c r="N556" s="7" t="str">
        <f>TEXT(Table1[[#This Row],[Order_Date]],"YYY")</f>
        <v>2024</v>
      </c>
    </row>
    <row r="557" spans="1:14" x14ac:dyDescent="0.3">
      <c r="A557" s="4">
        <v>45406</v>
      </c>
      <c r="B557" s="5" t="s">
        <v>18</v>
      </c>
      <c r="C557" s="5" t="s">
        <v>26</v>
      </c>
      <c r="D557" s="23">
        <v>1015.81</v>
      </c>
      <c r="E557" s="23">
        <v>334.23</v>
      </c>
      <c r="F557" s="23">
        <v>681.58</v>
      </c>
      <c r="G557" s="5" t="s">
        <v>9</v>
      </c>
      <c r="H557" s="5" t="s">
        <v>28</v>
      </c>
      <c r="I557" s="5" t="s">
        <v>27</v>
      </c>
      <c r="J557" s="6">
        <f>Table1[[#This Row],[Profit]]/Table1[[#This Row],[Sales]]</f>
        <v>0.67097193372776409</v>
      </c>
      <c r="K557" s="5" t="str">
        <f t="shared" si="8"/>
        <v>Low</v>
      </c>
      <c r="L557" s="5" t="str">
        <f>TEXT(Table1[[#This Row],[Order_Date]],"MMM")</f>
        <v>Apr</v>
      </c>
      <c r="M557" s="5" t="str">
        <f>IF(Table1[[#This Row],[Profit]]&gt;=1000,"Excellent",IF(Table1[[#This Row],[Profit]]&gt;=500,"Good", IF(Table1[[#This Row],[Profit]]&lt;500,"Low")))</f>
        <v>Good</v>
      </c>
      <c r="N557" s="7" t="str">
        <f>TEXT(Table1[[#This Row],[Order_Date]],"YYY")</f>
        <v>2024</v>
      </c>
    </row>
    <row r="558" spans="1:14" x14ac:dyDescent="0.3">
      <c r="A558" s="4">
        <v>45407</v>
      </c>
      <c r="B558" s="5" t="s">
        <v>0</v>
      </c>
      <c r="C558" s="5" t="s">
        <v>14</v>
      </c>
      <c r="D558" s="23">
        <v>262.39999999999998</v>
      </c>
      <c r="E558" s="23">
        <v>114.17</v>
      </c>
      <c r="F558" s="23">
        <v>148.22999999999999</v>
      </c>
      <c r="G558" s="5" t="s">
        <v>32</v>
      </c>
      <c r="H558" s="5" t="s">
        <v>10</v>
      </c>
      <c r="I558" s="5" t="s">
        <v>17</v>
      </c>
      <c r="J558" s="6">
        <f>Table1[[#This Row],[Profit]]/Table1[[#This Row],[Sales]]</f>
        <v>0.56490091463414638</v>
      </c>
      <c r="K558" s="5" t="str">
        <f t="shared" si="8"/>
        <v>Low</v>
      </c>
      <c r="L558" s="5" t="str">
        <f>TEXT(Table1[[#This Row],[Order_Date]],"MMM")</f>
        <v>Apr</v>
      </c>
      <c r="M558" s="5" t="str">
        <f>IF(Table1[[#This Row],[Profit]]&gt;=1000,"Excellent",IF(Table1[[#This Row],[Profit]]&gt;=500,"Good", IF(Table1[[#This Row],[Profit]]&lt;500,"Low")))</f>
        <v>Low</v>
      </c>
      <c r="N558" s="7" t="str">
        <f>TEXT(Table1[[#This Row],[Order_Date]],"YYY")</f>
        <v>2024</v>
      </c>
    </row>
    <row r="559" spans="1:14" x14ac:dyDescent="0.3">
      <c r="A559" s="4">
        <v>45407</v>
      </c>
      <c r="B559" s="5" t="s">
        <v>8</v>
      </c>
      <c r="C559" s="5" t="s">
        <v>14</v>
      </c>
      <c r="D559" s="23">
        <v>113.2</v>
      </c>
      <c r="E559" s="23">
        <v>36.53</v>
      </c>
      <c r="F559" s="23">
        <v>76.67</v>
      </c>
      <c r="G559" s="5" t="s">
        <v>2</v>
      </c>
      <c r="H559" s="5" t="s">
        <v>30</v>
      </c>
      <c r="I559" s="5" t="s">
        <v>11</v>
      </c>
      <c r="J559" s="6">
        <f>Table1[[#This Row],[Profit]]/Table1[[#This Row],[Sales]]</f>
        <v>0.67729681978798584</v>
      </c>
      <c r="K559" s="5" t="str">
        <f t="shared" si="8"/>
        <v>Low</v>
      </c>
      <c r="L559" s="5" t="str">
        <f>TEXT(Table1[[#This Row],[Order_Date]],"MMM")</f>
        <v>Apr</v>
      </c>
      <c r="M559" s="5" t="str">
        <f>IF(Table1[[#This Row],[Profit]]&gt;=1000,"Excellent",IF(Table1[[#This Row],[Profit]]&gt;=500,"Good", IF(Table1[[#This Row],[Profit]]&lt;500,"Low")))</f>
        <v>Low</v>
      </c>
      <c r="N559" s="7" t="str">
        <f>TEXT(Table1[[#This Row],[Order_Date]],"YYY")</f>
        <v>2024</v>
      </c>
    </row>
    <row r="560" spans="1:14" x14ac:dyDescent="0.3">
      <c r="A560" s="4">
        <v>45408</v>
      </c>
      <c r="B560" s="5" t="s">
        <v>13</v>
      </c>
      <c r="C560" s="5" t="s">
        <v>23</v>
      </c>
      <c r="D560" s="23">
        <v>654.98</v>
      </c>
      <c r="E560" s="23">
        <v>221.7</v>
      </c>
      <c r="F560" s="23">
        <v>433.28</v>
      </c>
      <c r="G560" s="5" t="s">
        <v>6</v>
      </c>
      <c r="H560" s="5" t="s">
        <v>21</v>
      </c>
      <c r="I560" s="5" t="s">
        <v>22</v>
      </c>
      <c r="J560" s="6">
        <f>Table1[[#This Row],[Profit]]/Table1[[#This Row],[Sales]]</f>
        <v>0.66151638217960851</v>
      </c>
      <c r="K560" s="5" t="str">
        <f t="shared" si="8"/>
        <v>Low</v>
      </c>
      <c r="L560" s="5" t="str">
        <f>TEXT(Table1[[#This Row],[Order_Date]],"MMM")</f>
        <v>Apr</v>
      </c>
      <c r="M560" s="5" t="str">
        <f>IF(Table1[[#This Row],[Profit]]&gt;=1000,"Excellent",IF(Table1[[#This Row],[Profit]]&gt;=500,"Good", IF(Table1[[#This Row],[Profit]]&lt;500,"Low")))</f>
        <v>Low</v>
      </c>
      <c r="N560" s="7" t="str">
        <f>TEXT(Table1[[#This Row],[Order_Date]],"YYY")</f>
        <v>2024</v>
      </c>
    </row>
    <row r="561" spans="1:14" x14ac:dyDescent="0.3">
      <c r="A561" s="4">
        <v>45409</v>
      </c>
      <c r="B561" s="5" t="s">
        <v>0</v>
      </c>
      <c r="C561" s="5" t="s">
        <v>19</v>
      </c>
      <c r="D561" s="23">
        <v>78.819999999999993</v>
      </c>
      <c r="E561" s="23">
        <v>26.4</v>
      </c>
      <c r="F561" s="23">
        <v>52.42</v>
      </c>
      <c r="G561" s="5" t="s">
        <v>32</v>
      </c>
      <c r="H561" s="5" t="s">
        <v>24</v>
      </c>
      <c r="I561" s="5" t="s">
        <v>22</v>
      </c>
      <c r="J561" s="6">
        <f>Table1[[#This Row],[Profit]]/Table1[[#This Row],[Sales]]</f>
        <v>0.6650596295356509</v>
      </c>
      <c r="K561" s="5" t="str">
        <f t="shared" si="8"/>
        <v>Low</v>
      </c>
      <c r="L561" s="5" t="str">
        <f>TEXT(Table1[[#This Row],[Order_Date]],"MMM")</f>
        <v>Apr</v>
      </c>
      <c r="M561" s="5" t="str">
        <f>IF(Table1[[#This Row],[Profit]]&gt;=1000,"Excellent",IF(Table1[[#This Row],[Profit]]&gt;=500,"Good", IF(Table1[[#This Row],[Profit]]&lt;500,"Low")))</f>
        <v>Low</v>
      </c>
      <c r="N561" s="7" t="str">
        <f>TEXT(Table1[[#This Row],[Order_Date]],"YYY")</f>
        <v>2024</v>
      </c>
    </row>
    <row r="562" spans="1:14" x14ac:dyDescent="0.3">
      <c r="A562" s="4">
        <v>45409</v>
      </c>
      <c r="B562" s="5" t="s">
        <v>18</v>
      </c>
      <c r="C562" s="5" t="s">
        <v>26</v>
      </c>
      <c r="D562" s="23">
        <v>464.24</v>
      </c>
      <c r="E562" s="23">
        <v>156.55000000000001</v>
      </c>
      <c r="F562" s="23">
        <v>307.69</v>
      </c>
      <c r="G562" s="5" t="s">
        <v>20</v>
      </c>
      <c r="H562" s="5" t="s">
        <v>35</v>
      </c>
      <c r="I562" s="5" t="s">
        <v>17</v>
      </c>
      <c r="J562" s="6">
        <f>Table1[[#This Row],[Profit]]/Table1[[#This Row],[Sales]]</f>
        <v>0.66278218163019131</v>
      </c>
      <c r="K562" s="5" t="str">
        <f t="shared" si="8"/>
        <v>Low</v>
      </c>
      <c r="L562" s="5" t="str">
        <f>TEXT(Table1[[#This Row],[Order_Date]],"MMM")</f>
        <v>Apr</v>
      </c>
      <c r="M562" s="5" t="str">
        <f>IF(Table1[[#This Row],[Profit]]&gt;=1000,"Excellent",IF(Table1[[#This Row],[Profit]]&gt;=500,"Good", IF(Table1[[#This Row],[Profit]]&lt;500,"Low")))</f>
        <v>Low</v>
      </c>
      <c r="N562" s="7" t="str">
        <f>TEXT(Table1[[#This Row],[Order_Date]],"YYY")</f>
        <v>2024</v>
      </c>
    </row>
    <row r="563" spans="1:14" x14ac:dyDescent="0.3">
      <c r="A563" s="4">
        <v>45409</v>
      </c>
      <c r="B563" s="5" t="s">
        <v>16</v>
      </c>
      <c r="C563" s="5" t="s">
        <v>14</v>
      </c>
      <c r="D563" s="23">
        <v>112.15</v>
      </c>
      <c r="E563" s="23">
        <v>38.47</v>
      </c>
      <c r="F563" s="23">
        <v>73.680000000000007</v>
      </c>
      <c r="G563" s="5" t="s">
        <v>32</v>
      </c>
      <c r="H563" s="5" t="s">
        <v>33</v>
      </c>
      <c r="I563" s="5" t="s">
        <v>22</v>
      </c>
      <c r="J563" s="6">
        <f>Table1[[#This Row],[Profit]]/Table1[[#This Row],[Sales]]</f>
        <v>0.65697726259473921</v>
      </c>
      <c r="K563" s="5" t="str">
        <f t="shared" si="8"/>
        <v>Low</v>
      </c>
      <c r="L563" s="5" t="str">
        <f>TEXT(Table1[[#This Row],[Order_Date]],"MMM")</f>
        <v>Apr</v>
      </c>
      <c r="M563" s="5" t="str">
        <f>IF(Table1[[#This Row],[Profit]]&gt;=1000,"Excellent",IF(Table1[[#This Row],[Profit]]&gt;=500,"Good", IF(Table1[[#This Row],[Profit]]&lt;500,"Low")))</f>
        <v>Low</v>
      </c>
      <c r="N563" s="7" t="str">
        <f>TEXT(Table1[[#This Row],[Order_Date]],"YYY")</f>
        <v>2024</v>
      </c>
    </row>
    <row r="564" spans="1:14" x14ac:dyDescent="0.3">
      <c r="A564" s="4">
        <v>45410</v>
      </c>
      <c r="B564" s="5" t="s">
        <v>13</v>
      </c>
      <c r="C564" s="5" t="s">
        <v>1</v>
      </c>
      <c r="D564" s="23">
        <v>1480.23</v>
      </c>
      <c r="E564" s="23">
        <v>688.69</v>
      </c>
      <c r="F564" s="23">
        <v>791.54</v>
      </c>
      <c r="G564" s="5" t="s">
        <v>6</v>
      </c>
      <c r="H564" s="5" t="s">
        <v>24</v>
      </c>
      <c r="I564" s="5" t="s">
        <v>22</v>
      </c>
      <c r="J564" s="6">
        <f>Table1[[#This Row],[Profit]]/Table1[[#This Row],[Sales]]</f>
        <v>0.53474122264783175</v>
      </c>
      <c r="K564" s="5" t="str">
        <f t="shared" si="8"/>
        <v>Low</v>
      </c>
      <c r="L564" s="5" t="str">
        <f>TEXT(Table1[[#This Row],[Order_Date]],"MMM")</f>
        <v>Apr</v>
      </c>
      <c r="M564" s="5" t="str">
        <f>IF(Table1[[#This Row],[Profit]]&gt;=1000,"Excellent",IF(Table1[[#This Row],[Profit]]&gt;=500,"Good", IF(Table1[[#This Row],[Profit]]&lt;500,"Low")))</f>
        <v>Good</v>
      </c>
      <c r="N564" s="7" t="str">
        <f>TEXT(Table1[[#This Row],[Order_Date]],"YYY")</f>
        <v>2024</v>
      </c>
    </row>
    <row r="565" spans="1:14" x14ac:dyDescent="0.3">
      <c r="A565" s="4">
        <v>45412</v>
      </c>
      <c r="B565" s="5" t="s">
        <v>0</v>
      </c>
      <c r="C565" s="5" t="s">
        <v>19</v>
      </c>
      <c r="D565" s="23">
        <v>64.75</v>
      </c>
      <c r="E565" s="23">
        <v>18.98</v>
      </c>
      <c r="F565" s="23">
        <v>45.77</v>
      </c>
      <c r="G565" s="5" t="s">
        <v>9</v>
      </c>
      <c r="H565" s="5" t="s">
        <v>37</v>
      </c>
      <c r="I565" s="5" t="s">
        <v>22</v>
      </c>
      <c r="J565" s="6">
        <f>Table1[[#This Row],[Profit]]/Table1[[#This Row],[Sales]]</f>
        <v>0.70687258687258692</v>
      </c>
      <c r="K565" s="5" t="str">
        <f t="shared" si="8"/>
        <v>Low</v>
      </c>
      <c r="L565" s="5" t="str">
        <f>TEXT(Table1[[#This Row],[Order_Date]],"MMM")</f>
        <v>Apr</v>
      </c>
      <c r="M565" s="5" t="str">
        <f>IF(Table1[[#This Row],[Profit]]&gt;=1000,"Excellent",IF(Table1[[#This Row],[Profit]]&gt;=500,"Good", IF(Table1[[#This Row],[Profit]]&lt;500,"Low")))</f>
        <v>Low</v>
      </c>
      <c r="N565" s="7" t="str">
        <f>TEXT(Table1[[#This Row],[Order_Date]],"YYY")</f>
        <v>2024</v>
      </c>
    </row>
    <row r="566" spans="1:14" x14ac:dyDescent="0.3">
      <c r="A566" s="4">
        <v>45412</v>
      </c>
      <c r="B566" s="5" t="s">
        <v>8</v>
      </c>
      <c r="C566" s="5" t="s">
        <v>31</v>
      </c>
      <c r="D566" s="23">
        <v>136.06</v>
      </c>
      <c r="E566" s="23">
        <v>42.96</v>
      </c>
      <c r="F566" s="23">
        <v>93.1</v>
      </c>
      <c r="G566" s="5" t="s">
        <v>2</v>
      </c>
      <c r="H566" s="5" t="s">
        <v>36</v>
      </c>
      <c r="I566" s="5" t="s">
        <v>25</v>
      </c>
      <c r="J566" s="6">
        <f>Table1[[#This Row],[Profit]]/Table1[[#This Row],[Sales]]</f>
        <v>0.68425694546523586</v>
      </c>
      <c r="K566" s="5" t="str">
        <f t="shared" si="8"/>
        <v>Low</v>
      </c>
      <c r="L566" s="5" t="str">
        <f>TEXT(Table1[[#This Row],[Order_Date]],"MMM")</f>
        <v>Apr</v>
      </c>
      <c r="M566" s="5" t="str">
        <f>IF(Table1[[#This Row],[Profit]]&gt;=1000,"Excellent",IF(Table1[[#This Row],[Profit]]&gt;=500,"Good", IF(Table1[[#This Row],[Profit]]&lt;500,"Low")))</f>
        <v>Low</v>
      </c>
      <c r="N566" s="7" t="str">
        <f>TEXT(Table1[[#This Row],[Order_Date]],"YYY")</f>
        <v>2024</v>
      </c>
    </row>
    <row r="567" spans="1:14" x14ac:dyDescent="0.3">
      <c r="A567" s="4">
        <v>45412</v>
      </c>
      <c r="B567" s="5" t="s">
        <v>8</v>
      </c>
      <c r="C567" s="5" t="s">
        <v>23</v>
      </c>
      <c r="D567" s="23">
        <v>307.26</v>
      </c>
      <c r="E567" s="23">
        <v>87.86</v>
      </c>
      <c r="F567" s="23">
        <v>219.4</v>
      </c>
      <c r="G567" s="5" t="s">
        <v>2</v>
      </c>
      <c r="H567" s="5" t="s">
        <v>12</v>
      </c>
      <c r="I567" s="5" t="s">
        <v>17</v>
      </c>
      <c r="J567" s="6">
        <f>Table1[[#This Row],[Profit]]/Table1[[#This Row],[Sales]]</f>
        <v>0.7140532448089566</v>
      </c>
      <c r="K567" s="5" t="str">
        <f t="shared" si="8"/>
        <v>Low</v>
      </c>
      <c r="L567" s="5" t="str">
        <f>TEXT(Table1[[#This Row],[Order_Date]],"MMM")</f>
        <v>Apr</v>
      </c>
      <c r="M567" s="5" t="str">
        <f>IF(Table1[[#This Row],[Profit]]&gt;=1000,"Excellent",IF(Table1[[#This Row],[Profit]]&gt;=500,"Good", IF(Table1[[#This Row],[Profit]]&lt;500,"Low")))</f>
        <v>Low</v>
      </c>
      <c r="N567" s="7" t="str">
        <f>TEXT(Table1[[#This Row],[Order_Date]],"YYY")</f>
        <v>2024</v>
      </c>
    </row>
    <row r="568" spans="1:14" x14ac:dyDescent="0.3">
      <c r="A568" s="4">
        <v>45413</v>
      </c>
      <c r="B568" s="5" t="s">
        <v>13</v>
      </c>
      <c r="C568" s="5" t="s">
        <v>14</v>
      </c>
      <c r="D568" s="23">
        <v>353.76</v>
      </c>
      <c r="E568" s="23">
        <v>182.58</v>
      </c>
      <c r="F568" s="23">
        <v>171.18</v>
      </c>
      <c r="G568" s="5" t="s">
        <v>9</v>
      </c>
      <c r="H568" s="5" t="s">
        <v>24</v>
      </c>
      <c r="I568" s="5" t="s">
        <v>27</v>
      </c>
      <c r="J568" s="6">
        <f>Table1[[#This Row],[Profit]]/Table1[[#This Row],[Sales]]</f>
        <v>0.48388738127544101</v>
      </c>
      <c r="K568" s="5" t="str">
        <f t="shared" si="8"/>
        <v>Low</v>
      </c>
      <c r="L568" s="5" t="str">
        <f>TEXT(Table1[[#This Row],[Order_Date]],"MMM")</f>
        <v>May</v>
      </c>
      <c r="M568" s="5" t="str">
        <f>IF(Table1[[#This Row],[Profit]]&gt;=1000,"Excellent",IF(Table1[[#This Row],[Profit]]&gt;=500,"Good", IF(Table1[[#This Row],[Profit]]&lt;500,"Low")))</f>
        <v>Low</v>
      </c>
      <c r="N568" s="7" t="str">
        <f>TEXT(Table1[[#This Row],[Order_Date]],"YYY")</f>
        <v>2024</v>
      </c>
    </row>
    <row r="569" spans="1:14" x14ac:dyDescent="0.3">
      <c r="A569" s="4">
        <v>45414</v>
      </c>
      <c r="B569" s="5" t="s">
        <v>0</v>
      </c>
      <c r="C569" s="5" t="s">
        <v>31</v>
      </c>
      <c r="D569" s="23">
        <v>147.88</v>
      </c>
      <c r="E569" s="23">
        <v>59.14</v>
      </c>
      <c r="F569" s="23">
        <v>88.74</v>
      </c>
      <c r="G569" s="5" t="s">
        <v>32</v>
      </c>
      <c r="H569" s="5" t="s">
        <v>10</v>
      </c>
      <c r="I569" s="5" t="s">
        <v>25</v>
      </c>
      <c r="J569" s="6">
        <f>Table1[[#This Row],[Profit]]/Table1[[#This Row],[Sales]]</f>
        <v>0.60008114687584524</v>
      </c>
      <c r="K569" s="5" t="str">
        <f t="shared" si="8"/>
        <v>Low</v>
      </c>
      <c r="L569" s="5" t="str">
        <f>TEXT(Table1[[#This Row],[Order_Date]],"MMM")</f>
        <v>May</v>
      </c>
      <c r="M569" s="5" t="str">
        <f>IF(Table1[[#This Row],[Profit]]&gt;=1000,"Excellent",IF(Table1[[#This Row],[Profit]]&gt;=500,"Good", IF(Table1[[#This Row],[Profit]]&lt;500,"Low")))</f>
        <v>Low</v>
      </c>
      <c r="N569" s="7" t="str">
        <f>TEXT(Table1[[#This Row],[Order_Date]],"YYY")</f>
        <v>2024</v>
      </c>
    </row>
    <row r="570" spans="1:14" x14ac:dyDescent="0.3">
      <c r="A570" s="4">
        <v>45415</v>
      </c>
      <c r="B570" s="5" t="s">
        <v>16</v>
      </c>
      <c r="C570" s="5" t="s">
        <v>1</v>
      </c>
      <c r="D570" s="23">
        <v>1364.98</v>
      </c>
      <c r="E570" s="23">
        <v>804.62</v>
      </c>
      <c r="F570" s="23">
        <v>560.36</v>
      </c>
      <c r="G570" s="5" t="s">
        <v>32</v>
      </c>
      <c r="H570" s="5" t="s">
        <v>33</v>
      </c>
      <c r="I570" s="5" t="s">
        <v>17</v>
      </c>
      <c r="J570" s="6">
        <f>Table1[[#This Row],[Profit]]/Table1[[#This Row],[Sales]]</f>
        <v>0.41052616155548066</v>
      </c>
      <c r="K570" s="5" t="str">
        <f t="shared" si="8"/>
        <v>Low</v>
      </c>
      <c r="L570" s="5" t="str">
        <f>TEXT(Table1[[#This Row],[Order_Date]],"MMM")</f>
        <v>May</v>
      </c>
      <c r="M570" s="5" t="str">
        <f>IF(Table1[[#This Row],[Profit]]&gt;=1000,"Excellent",IF(Table1[[#This Row],[Profit]]&gt;=500,"Good", IF(Table1[[#This Row],[Profit]]&lt;500,"Low")))</f>
        <v>Good</v>
      </c>
      <c r="N570" s="7" t="str">
        <f>TEXT(Table1[[#This Row],[Order_Date]],"YYY")</f>
        <v>2024</v>
      </c>
    </row>
    <row r="571" spans="1:14" x14ac:dyDescent="0.3">
      <c r="A571" s="4">
        <v>45415</v>
      </c>
      <c r="B571" s="5" t="s">
        <v>18</v>
      </c>
      <c r="C571" s="5" t="s">
        <v>26</v>
      </c>
      <c r="D571" s="23">
        <v>278.3</v>
      </c>
      <c r="E571" s="23">
        <v>98</v>
      </c>
      <c r="F571" s="23">
        <v>180.3</v>
      </c>
      <c r="G571" s="5" t="s">
        <v>9</v>
      </c>
      <c r="H571" s="5" t="s">
        <v>7</v>
      </c>
      <c r="I571" s="5" t="s">
        <v>22</v>
      </c>
      <c r="J571" s="6">
        <f>Table1[[#This Row],[Profit]]/Table1[[#This Row],[Sales]]</f>
        <v>0.64786201940352139</v>
      </c>
      <c r="K571" s="5" t="str">
        <f t="shared" si="8"/>
        <v>Low</v>
      </c>
      <c r="L571" s="5" t="str">
        <f>TEXT(Table1[[#This Row],[Order_Date]],"MMM")</f>
        <v>May</v>
      </c>
      <c r="M571" s="5" t="str">
        <f>IF(Table1[[#This Row],[Profit]]&gt;=1000,"Excellent",IF(Table1[[#This Row],[Profit]]&gt;=500,"Good", IF(Table1[[#This Row],[Profit]]&lt;500,"Low")))</f>
        <v>Low</v>
      </c>
      <c r="N571" s="7" t="str">
        <f>TEXT(Table1[[#This Row],[Order_Date]],"YYY")</f>
        <v>2024</v>
      </c>
    </row>
    <row r="572" spans="1:14" x14ac:dyDescent="0.3">
      <c r="A572" s="4">
        <v>45415</v>
      </c>
      <c r="B572" s="5" t="s">
        <v>18</v>
      </c>
      <c r="C572" s="5" t="s">
        <v>26</v>
      </c>
      <c r="D572" s="23">
        <v>932.28</v>
      </c>
      <c r="E572" s="23">
        <v>374.67</v>
      </c>
      <c r="F572" s="23">
        <v>557.61</v>
      </c>
      <c r="G572" s="5" t="s">
        <v>2</v>
      </c>
      <c r="H572" s="5" t="s">
        <v>37</v>
      </c>
      <c r="I572" s="5" t="s">
        <v>27</v>
      </c>
      <c r="J572" s="6">
        <f>Table1[[#This Row],[Profit]]/Table1[[#This Row],[Sales]]</f>
        <v>0.5981143004247651</v>
      </c>
      <c r="K572" s="5" t="str">
        <f t="shared" si="8"/>
        <v>Low</v>
      </c>
      <c r="L572" s="5" t="str">
        <f>TEXT(Table1[[#This Row],[Order_Date]],"MMM")</f>
        <v>May</v>
      </c>
      <c r="M572" s="5" t="str">
        <f>IF(Table1[[#This Row],[Profit]]&gt;=1000,"Excellent",IF(Table1[[#This Row],[Profit]]&gt;=500,"Good", IF(Table1[[#This Row],[Profit]]&lt;500,"Low")))</f>
        <v>Good</v>
      </c>
      <c r="N572" s="7" t="str">
        <f>TEXT(Table1[[#This Row],[Order_Date]],"YYY")</f>
        <v>2024</v>
      </c>
    </row>
    <row r="573" spans="1:14" x14ac:dyDescent="0.3">
      <c r="A573" s="4">
        <v>45416</v>
      </c>
      <c r="B573" s="5" t="s">
        <v>0</v>
      </c>
      <c r="C573" s="5" t="s">
        <v>26</v>
      </c>
      <c r="D573" s="23">
        <v>303.77</v>
      </c>
      <c r="E573" s="23">
        <v>124.71</v>
      </c>
      <c r="F573" s="23">
        <v>179.06</v>
      </c>
      <c r="G573" s="5" t="s">
        <v>20</v>
      </c>
      <c r="H573" s="5" t="s">
        <v>37</v>
      </c>
      <c r="I573" s="5" t="s">
        <v>11</v>
      </c>
      <c r="J573" s="6">
        <f>Table1[[#This Row],[Profit]]/Table1[[#This Row],[Sales]]</f>
        <v>0.58945913026302799</v>
      </c>
      <c r="K573" s="5" t="str">
        <f t="shared" si="8"/>
        <v>Low</v>
      </c>
      <c r="L573" s="5" t="str">
        <f>TEXT(Table1[[#This Row],[Order_Date]],"MMM")</f>
        <v>May</v>
      </c>
      <c r="M573" s="5" t="str">
        <f>IF(Table1[[#This Row],[Profit]]&gt;=1000,"Excellent",IF(Table1[[#This Row],[Profit]]&gt;=500,"Good", IF(Table1[[#This Row],[Profit]]&lt;500,"Low")))</f>
        <v>Low</v>
      </c>
      <c r="N573" s="7" t="str">
        <f>TEXT(Table1[[#This Row],[Order_Date]],"YYY")</f>
        <v>2024</v>
      </c>
    </row>
    <row r="574" spans="1:14" x14ac:dyDescent="0.3">
      <c r="A574" s="4">
        <v>45416</v>
      </c>
      <c r="B574" s="5" t="s">
        <v>0</v>
      </c>
      <c r="C574" s="5" t="s">
        <v>26</v>
      </c>
      <c r="D574" s="23">
        <v>751.2</v>
      </c>
      <c r="E574" s="23">
        <v>232.79</v>
      </c>
      <c r="F574" s="23">
        <v>518.41</v>
      </c>
      <c r="G574" s="5" t="s">
        <v>9</v>
      </c>
      <c r="H574" s="5" t="s">
        <v>24</v>
      </c>
      <c r="I574" s="5" t="s">
        <v>17</v>
      </c>
      <c r="J574" s="6">
        <f>Table1[[#This Row],[Profit]]/Table1[[#This Row],[Sales]]</f>
        <v>0.69010915867944611</v>
      </c>
      <c r="K574" s="5" t="str">
        <f t="shared" si="8"/>
        <v>Low</v>
      </c>
      <c r="L574" s="5" t="str">
        <f>TEXT(Table1[[#This Row],[Order_Date]],"MMM")</f>
        <v>May</v>
      </c>
      <c r="M574" s="5" t="str">
        <f>IF(Table1[[#This Row],[Profit]]&gt;=1000,"Excellent",IF(Table1[[#This Row],[Profit]]&gt;=500,"Good", IF(Table1[[#This Row],[Profit]]&lt;500,"Low")))</f>
        <v>Good</v>
      </c>
      <c r="N574" s="7" t="str">
        <f>TEXT(Table1[[#This Row],[Order_Date]],"YYY")</f>
        <v>2024</v>
      </c>
    </row>
    <row r="575" spans="1:14" x14ac:dyDescent="0.3">
      <c r="A575" s="4">
        <v>45416</v>
      </c>
      <c r="B575" s="5" t="s">
        <v>16</v>
      </c>
      <c r="C575" s="5" t="s">
        <v>5</v>
      </c>
      <c r="D575" s="23">
        <v>867.4</v>
      </c>
      <c r="E575" s="23">
        <v>307.56</v>
      </c>
      <c r="F575" s="23">
        <v>559.84</v>
      </c>
      <c r="G575" s="5" t="s">
        <v>32</v>
      </c>
      <c r="H575" s="5" t="s">
        <v>30</v>
      </c>
      <c r="I575" s="5" t="s">
        <v>17</v>
      </c>
      <c r="J575" s="6">
        <f>Table1[[#This Row],[Profit]]/Table1[[#This Row],[Sales]]</f>
        <v>0.6454231035277842</v>
      </c>
      <c r="K575" s="5" t="str">
        <f t="shared" si="8"/>
        <v>Low</v>
      </c>
      <c r="L575" s="5" t="str">
        <f>TEXT(Table1[[#This Row],[Order_Date]],"MMM")</f>
        <v>May</v>
      </c>
      <c r="M575" s="5" t="str">
        <f>IF(Table1[[#This Row],[Profit]]&gt;=1000,"Excellent",IF(Table1[[#This Row],[Profit]]&gt;=500,"Good", IF(Table1[[#This Row],[Profit]]&lt;500,"Low")))</f>
        <v>Good</v>
      </c>
      <c r="N575" s="7" t="str">
        <f>TEXT(Table1[[#This Row],[Order_Date]],"YYY")</f>
        <v>2024</v>
      </c>
    </row>
    <row r="576" spans="1:14" x14ac:dyDescent="0.3">
      <c r="A576" s="4">
        <v>45417</v>
      </c>
      <c r="B576" s="5" t="s">
        <v>8</v>
      </c>
      <c r="C576" s="5" t="s">
        <v>5</v>
      </c>
      <c r="D576" s="23">
        <v>1197</v>
      </c>
      <c r="E576" s="23">
        <v>463.43</v>
      </c>
      <c r="F576" s="23">
        <v>733.57</v>
      </c>
      <c r="G576" s="5" t="s">
        <v>32</v>
      </c>
      <c r="H576" s="5" t="s">
        <v>3</v>
      </c>
      <c r="I576" s="5" t="s">
        <v>27</v>
      </c>
      <c r="J576" s="6">
        <f>Table1[[#This Row],[Profit]]/Table1[[#This Row],[Sales]]</f>
        <v>0.61284043441938185</v>
      </c>
      <c r="K576" s="5" t="str">
        <f t="shared" si="8"/>
        <v>Low</v>
      </c>
      <c r="L576" s="5" t="str">
        <f>TEXT(Table1[[#This Row],[Order_Date]],"MMM")</f>
        <v>May</v>
      </c>
      <c r="M576" s="5" t="str">
        <f>IF(Table1[[#This Row],[Profit]]&gt;=1000,"Excellent",IF(Table1[[#This Row],[Profit]]&gt;=500,"Good", IF(Table1[[#This Row],[Profit]]&lt;500,"Low")))</f>
        <v>Good</v>
      </c>
      <c r="N576" s="7" t="str">
        <f>TEXT(Table1[[#This Row],[Order_Date]],"YYY")</f>
        <v>2024</v>
      </c>
    </row>
    <row r="577" spans="1:14" x14ac:dyDescent="0.3">
      <c r="A577" s="4">
        <v>45417</v>
      </c>
      <c r="B577" s="5" t="s">
        <v>16</v>
      </c>
      <c r="C577" s="5" t="s">
        <v>26</v>
      </c>
      <c r="D577" s="23">
        <v>422.39</v>
      </c>
      <c r="E577" s="23">
        <v>129.16</v>
      </c>
      <c r="F577" s="23">
        <v>293.23</v>
      </c>
      <c r="G577" s="5" t="s">
        <v>20</v>
      </c>
      <c r="H577" s="5" t="s">
        <v>21</v>
      </c>
      <c r="I577" s="5" t="s">
        <v>17</v>
      </c>
      <c r="J577" s="6">
        <f>Table1[[#This Row],[Profit]]/Table1[[#This Row],[Sales]]</f>
        <v>0.69421624564975504</v>
      </c>
      <c r="K577" s="5" t="str">
        <f t="shared" si="8"/>
        <v>Low</v>
      </c>
      <c r="L577" s="5" t="str">
        <f>TEXT(Table1[[#This Row],[Order_Date]],"MMM")</f>
        <v>May</v>
      </c>
      <c r="M577" s="5" t="str">
        <f>IF(Table1[[#This Row],[Profit]]&gt;=1000,"Excellent",IF(Table1[[#This Row],[Profit]]&gt;=500,"Good", IF(Table1[[#This Row],[Profit]]&lt;500,"Low")))</f>
        <v>Low</v>
      </c>
      <c r="N577" s="7" t="str">
        <f>TEXT(Table1[[#This Row],[Order_Date]],"YYY")</f>
        <v>2024</v>
      </c>
    </row>
    <row r="578" spans="1:14" x14ac:dyDescent="0.3">
      <c r="A578" s="4">
        <v>45418</v>
      </c>
      <c r="B578" s="5" t="s">
        <v>18</v>
      </c>
      <c r="C578" s="5" t="s">
        <v>19</v>
      </c>
      <c r="D578" s="23">
        <v>75.23</v>
      </c>
      <c r="E578" s="23">
        <v>28.1</v>
      </c>
      <c r="F578" s="23">
        <v>47.13</v>
      </c>
      <c r="G578" s="5" t="s">
        <v>20</v>
      </c>
      <c r="H578" s="5" t="s">
        <v>21</v>
      </c>
      <c r="I578" s="5" t="s">
        <v>17</v>
      </c>
      <c r="J578" s="6">
        <f>Table1[[#This Row],[Profit]]/Table1[[#This Row],[Sales]]</f>
        <v>0.62647879835172138</v>
      </c>
      <c r="K578" s="5" t="str">
        <f t="shared" ref="K578:K641" si="9">IF(D578&gt;=2000,"High",IF(D578&gt;=1500,"Medium","Low"))</f>
        <v>Low</v>
      </c>
      <c r="L578" s="5" t="str">
        <f>TEXT(Table1[[#This Row],[Order_Date]],"MMM")</f>
        <v>May</v>
      </c>
      <c r="M578" s="5" t="str">
        <f>IF(Table1[[#This Row],[Profit]]&gt;=1000,"Excellent",IF(Table1[[#This Row],[Profit]]&gt;=500,"Good", IF(Table1[[#This Row],[Profit]]&lt;500,"Low")))</f>
        <v>Low</v>
      </c>
      <c r="N578" s="7" t="str">
        <f>TEXT(Table1[[#This Row],[Order_Date]],"YYY")</f>
        <v>2024</v>
      </c>
    </row>
    <row r="579" spans="1:14" x14ac:dyDescent="0.3">
      <c r="A579" s="4">
        <v>45418</v>
      </c>
      <c r="B579" s="5" t="s">
        <v>13</v>
      </c>
      <c r="C579" s="5" t="s">
        <v>14</v>
      </c>
      <c r="D579" s="23">
        <v>104.86</v>
      </c>
      <c r="E579" s="23">
        <v>37.43</v>
      </c>
      <c r="F579" s="23">
        <v>67.430000000000007</v>
      </c>
      <c r="G579" s="5" t="s">
        <v>6</v>
      </c>
      <c r="H579" s="5" t="s">
        <v>37</v>
      </c>
      <c r="I579" s="5" t="s">
        <v>17</v>
      </c>
      <c r="J579" s="6">
        <f>Table1[[#This Row],[Profit]]/Table1[[#This Row],[Sales]]</f>
        <v>0.64304787335494951</v>
      </c>
      <c r="K579" s="5" t="str">
        <f t="shared" si="9"/>
        <v>Low</v>
      </c>
      <c r="L579" s="5" t="str">
        <f>TEXT(Table1[[#This Row],[Order_Date]],"MMM")</f>
        <v>May</v>
      </c>
      <c r="M579" s="5" t="str">
        <f>IF(Table1[[#This Row],[Profit]]&gt;=1000,"Excellent",IF(Table1[[#This Row],[Profit]]&gt;=500,"Good", IF(Table1[[#This Row],[Profit]]&lt;500,"Low")))</f>
        <v>Low</v>
      </c>
      <c r="N579" s="7" t="str">
        <f>TEXT(Table1[[#This Row],[Order_Date]],"YYY")</f>
        <v>2024</v>
      </c>
    </row>
    <row r="580" spans="1:14" x14ac:dyDescent="0.3">
      <c r="A580" s="4">
        <v>45418</v>
      </c>
      <c r="B580" s="5" t="s">
        <v>8</v>
      </c>
      <c r="C580" s="5" t="s">
        <v>26</v>
      </c>
      <c r="D580" s="23">
        <v>847.84</v>
      </c>
      <c r="E580" s="23">
        <v>336.35</v>
      </c>
      <c r="F580" s="23">
        <v>511.49</v>
      </c>
      <c r="G580" s="5" t="s">
        <v>6</v>
      </c>
      <c r="H580" s="5" t="s">
        <v>10</v>
      </c>
      <c r="I580" s="5" t="s">
        <v>17</v>
      </c>
      <c r="J580" s="6">
        <f>Table1[[#This Row],[Profit]]/Table1[[#This Row],[Sales]]</f>
        <v>0.60328599735799204</v>
      </c>
      <c r="K580" s="5" t="str">
        <f t="shared" si="9"/>
        <v>Low</v>
      </c>
      <c r="L580" s="5" t="str">
        <f>TEXT(Table1[[#This Row],[Order_Date]],"MMM")</f>
        <v>May</v>
      </c>
      <c r="M580" s="5" t="str">
        <f>IF(Table1[[#This Row],[Profit]]&gt;=1000,"Excellent",IF(Table1[[#This Row],[Profit]]&gt;=500,"Good", IF(Table1[[#This Row],[Profit]]&lt;500,"Low")))</f>
        <v>Good</v>
      </c>
      <c r="N580" s="7" t="str">
        <f>TEXT(Table1[[#This Row],[Order_Date]],"YYY")</f>
        <v>2024</v>
      </c>
    </row>
    <row r="581" spans="1:14" x14ac:dyDescent="0.3">
      <c r="A581" s="4">
        <v>45419</v>
      </c>
      <c r="B581" s="5" t="s">
        <v>16</v>
      </c>
      <c r="C581" s="5" t="s">
        <v>26</v>
      </c>
      <c r="D581" s="23">
        <v>1026.32</v>
      </c>
      <c r="E581" s="23">
        <v>342.28</v>
      </c>
      <c r="F581" s="23">
        <v>684.04</v>
      </c>
      <c r="G581" s="5" t="s">
        <v>9</v>
      </c>
      <c r="H581" s="5" t="s">
        <v>21</v>
      </c>
      <c r="I581" s="5" t="s">
        <v>22</v>
      </c>
      <c r="J581" s="6">
        <f>Table1[[#This Row],[Profit]]/Table1[[#This Row],[Sales]]</f>
        <v>0.66649777847065239</v>
      </c>
      <c r="K581" s="5" t="str">
        <f t="shared" si="9"/>
        <v>Low</v>
      </c>
      <c r="L581" s="5" t="str">
        <f>TEXT(Table1[[#This Row],[Order_Date]],"MMM")</f>
        <v>May</v>
      </c>
      <c r="M581" s="5" t="str">
        <f>IF(Table1[[#This Row],[Profit]]&gt;=1000,"Excellent",IF(Table1[[#This Row],[Profit]]&gt;=500,"Good", IF(Table1[[#This Row],[Profit]]&lt;500,"Low")))</f>
        <v>Good</v>
      </c>
      <c r="N581" s="7" t="str">
        <f>TEXT(Table1[[#This Row],[Order_Date]],"YYY")</f>
        <v>2024</v>
      </c>
    </row>
    <row r="582" spans="1:14" x14ac:dyDescent="0.3">
      <c r="A582" s="4">
        <v>45419</v>
      </c>
      <c r="B582" s="5" t="s">
        <v>8</v>
      </c>
      <c r="C582" s="5" t="s">
        <v>23</v>
      </c>
      <c r="D582" s="23">
        <v>475.18</v>
      </c>
      <c r="E582" s="23">
        <v>161.94999999999999</v>
      </c>
      <c r="F582" s="23">
        <v>313.23</v>
      </c>
      <c r="G582" s="5" t="s">
        <v>32</v>
      </c>
      <c r="H582" s="5" t="s">
        <v>10</v>
      </c>
      <c r="I582" s="5" t="s">
        <v>27</v>
      </c>
      <c r="J582" s="6">
        <f>Table1[[#This Row],[Profit]]/Table1[[#This Row],[Sales]]</f>
        <v>0.65918178374510716</v>
      </c>
      <c r="K582" s="5" t="str">
        <f t="shared" si="9"/>
        <v>Low</v>
      </c>
      <c r="L582" s="5" t="str">
        <f>TEXT(Table1[[#This Row],[Order_Date]],"MMM")</f>
        <v>May</v>
      </c>
      <c r="M582" s="5" t="str">
        <f>IF(Table1[[#This Row],[Profit]]&gt;=1000,"Excellent",IF(Table1[[#This Row],[Profit]]&gt;=500,"Good", IF(Table1[[#This Row],[Profit]]&lt;500,"Low")))</f>
        <v>Low</v>
      </c>
      <c r="N582" s="7" t="str">
        <f>TEXT(Table1[[#This Row],[Order_Date]],"YYY")</f>
        <v>2024</v>
      </c>
    </row>
    <row r="583" spans="1:14" x14ac:dyDescent="0.3">
      <c r="A583" s="4">
        <v>45421</v>
      </c>
      <c r="B583" s="5" t="s">
        <v>13</v>
      </c>
      <c r="C583" s="5" t="s">
        <v>26</v>
      </c>
      <c r="D583" s="23">
        <v>761.88</v>
      </c>
      <c r="E583" s="23">
        <v>321.3</v>
      </c>
      <c r="F583" s="23">
        <v>440.58</v>
      </c>
      <c r="G583" s="5" t="s">
        <v>6</v>
      </c>
      <c r="H583" s="5" t="s">
        <v>12</v>
      </c>
      <c r="I583" s="5" t="s">
        <v>11</v>
      </c>
      <c r="J583" s="6">
        <f>Table1[[#This Row],[Profit]]/Table1[[#This Row],[Sales]]</f>
        <v>0.5782800441014333</v>
      </c>
      <c r="K583" s="5" t="str">
        <f t="shared" si="9"/>
        <v>Low</v>
      </c>
      <c r="L583" s="5" t="str">
        <f>TEXT(Table1[[#This Row],[Order_Date]],"MMM")</f>
        <v>May</v>
      </c>
      <c r="M583" s="5" t="str">
        <f>IF(Table1[[#This Row],[Profit]]&gt;=1000,"Excellent",IF(Table1[[#This Row],[Profit]]&gt;=500,"Good", IF(Table1[[#This Row],[Profit]]&lt;500,"Low")))</f>
        <v>Low</v>
      </c>
      <c r="N583" s="7" t="str">
        <f>TEXT(Table1[[#This Row],[Order_Date]],"YYY")</f>
        <v>2024</v>
      </c>
    </row>
    <row r="584" spans="1:14" x14ac:dyDescent="0.3">
      <c r="A584" s="4">
        <v>45421</v>
      </c>
      <c r="B584" s="5" t="s">
        <v>18</v>
      </c>
      <c r="C584" s="5" t="s">
        <v>26</v>
      </c>
      <c r="D584" s="23">
        <v>1192.98</v>
      </c>
      <c r="E584" s="23">
        <v>535.5</v>
      </c>
      <c r="F584" s="23">
        <v>657.48</v>
      </c>
      <c r="G584" s="5" t="s">
        <v>9</v>
      </c>
      <c r="H584" s="5" t="s">
        <v>34</v>
      </c>
      <c r="I584" s="5" t="s">
        <v>11</v>
      </c>
      <c r="J584" s="6">
        <f>Table1[[#This Row],[Profit]]/Table1[[#This Row],[Sales]]</f>
        <v>0.55112407584368561</v>
      </c>
      <c r="K584" s="5" t="str">
        <f t="shared" si="9"/>
        <v>Low</v>
      </c>
      <c r="L584" s="5" t="str">
        <f>TEXT(Table1[[#This Row],[Order_Date]],"MMM")</f>
        <v>May</v>
      </c>
      <c r="M584" s="5" t="str">
        <f>IF(Table1[[#This Row],[Profit]]&gt;=1000,"Excellent",IF(Table1[[#This Row],[Profit]]&gt;=500,"Good", IF(Table1[[#This Row],[Profit]]&lt;500,"Low")))</f>
        <v>Good</v>
      </c>
      <c r="N584" s="7" t="str">
        <f>TEXT(Table1[[#This Row],[Order_Date]],"YYY")</f>
        <v>2024</v>
      </c>
    </row>
    <row r="585" spans="1:14" x14ac:dyDescent="0.3">
      <c r="A585" s="4">
        <v>45422</v>
      </c>
      <c r="B585" s="5" t="s">
        <v>8</v>
      </c>
      <c r="C585" s="5" t="s">
        <v>14</v>
      </c>
      <c r="D585" s="23">
        <v>59.33</v>
      </c>
      <c r="E585" s="23">
        <v>19.3</v>
      </c>
      <c r="F585" s="23">
        <v>40.03</v>
      </c>
      <c r="G585" s="5" t="s">
        <v>6</v>
      </c>
      <c r="H585" s="5" t="s">
        <v>33</v>
      </c>
      <c r="I585" s="5" t="s">
        <v>25</v>
      </c>
      <c r="J585" s="6">
        <f>Table1[[#This Row],[Profit]]/Table1[[#This Row],[Sales]]</f>
        <v>0.67470082588909497</v>
      </c>
      <c r="K585" s="5" t="str">
        <f t="shared" si="9"/>
        <v>Low</v>
      </c>
      <c r="L585" s="5" t="str">
        <f>TEXT(Table1[[#This Row],[Order_Date]],"MMM")</f>
        <v>May</v>
      </c>
      <c r="M585" s="5" t="str">
        <f>IF(Table1[[#This Row],[Profit]]&gt;=1000,"Excellent",IF(Table1[[#This Row],[Profit]]&gt;=500,"Good", IF(Table1[[#This Row],[Profit]]&lt;500,"Low")))</f>
        <v>Low</v>
      </c>
      <c r="N585" s="7" t="str">
        <f>TEXT(Table1[[#This Row],[Order_Date]],"YYY")</f>
        <v>2024</v>
      </c>
    </row>
    <row r="586" spans="1:14" x14ac:dyDescent="0.3">
      <c r="A586" s="4">
        <v>45422</v>
      </c>
      <c r="B586" s="5" t="s">
        <v>13</v>
      </c>
      <c r="C586" s="5" t="s">
        <v>26</v>
      </c>
      <c r="D586" s="23">
        <v>656.91</v>
      </c>
      <c r="E586" s="23">
        <v>256.8</v>
      </c>
      <c r="F586" s="23">
        <v>400.11</v>
      </c>
      <c r="G586" s="5" t="s">
        <v>32</v>
      </c>
      <c r="H586" s="5" t="s">
        <v>30</v>
      </c>
      <c r="I586" s="5" t="s">
        <v>11</v>
      </c>
      <c r="J586" s="6">
        <f>Table1[[#This Row],[Profit]]/Table1[[#This Row],[Sales]]</f>
        <v>0.60907886925149568</v>
      </c>
      <c r="K586" s="5" t="str">
        <f t="shared" si="9"/>
        <v>Low</v>
      </c>
      <c r="L586" s="5" t="str">
        <f>TEXT(Table1[[#This Row],[Order_Date]],"MMM")</f>
        <v>May</v>
      </c>
      <c r="M586" s="5" t="str">
        <f>IF(Table1[[#This Row],[Profit]]&gt;=1000,"Excellent",IF(Table1[[#This Row],[Profit]]&gt;=500,"Good", IF(Table1[[#This Row],[Profit]]&lt;500,"Low")))</f>
        <v>Low</v>
      </c>
      <c r="N586" s="7" t="str">
        <f>TEXT(Table1[[#This Row],[Order_Date]],"YYY")</f>
        <v>2024</v>
      </c>
    </row>
    <row r="587" spans="1:14" x14ac:dyDescent="0.3">
      <c r="A587" s="4">
        <v>45422</v>
      </c>
      <c r="B587" s="5" t="s">
        <v>8</v>
      </c>
      <c r="C587" s="5" t="s">
        <v>14</v>
      </c>
      <c r="D587" s="23">
        <v>102.53</v>
      </c>
      <c r="E587" s="23">
        <v>45.62</v>
      </c>
      <c r="F587" s="23">
        <v>56.91</v>
      </c>
      <c r="G587" s="5" t="s">
        <v>2</v>
      </c>
      <c r="H587" s="5" t="s">
        <v>15</v>
      </c>
      <c r="I587" s="5" t="s">
        <v>17</v>
      </c>
      <c r="J587" s="6">
        <f>Table1[[#This Row],[Profit]]/Table1[[#This Row],[Sales]]</f>
        <v>0.55505705647127668</v>
      </c>
      <c r="K587" s="5" t="str">
        <f t="shared" si="9"/>
        <v>Low</v>
      </c>
      <c r="L587" s="5" t="str">
        <f>TEXT(Table1[[#This Row],[Order_Date]],"MMM")</f>
        <v>May</v>
      </c>
      <c r="M587" s="5" t="str">
        <f>IF(Table1[[#This Row],[Profit]]&gt;=1000,"Excellent",IF(Table1[[#This Row],[Profit]]&gt;=500,"Good", IF(Table1[[#This Row],[Profit]]&lt;500,"Low")))</f>
        <v>Low</v>
      </c>
      <c r="N587" s="7" t="str">
        <f>TEXT(Table1[[#This Row],[Order_Date]],"YYY")</f>
        <v>2024</v>
      </c>
    </row>
    <row r="588" spans="1:14" x14ac:dyDescent="0.3">
      <c r="A588" s="4">
        <v>45422</v>
      </c>
      <c r="B588" s="5" t="s">
        <v>18</v>
      </c>
      <c r="C588" s="5" t="s">
        <v>5</v>
      </c>
      <c r="D588" s="23">
        <v>1224.5899999999999</v>
      </c>
      <c r="E588" s="23">
        <v>399.7</v>
      </c>
      <c r="F588" s="23">
        <v>824.89</v>
      </c>
      <c r="G588" s="5" t="s">
        <v>9</v>
      </c>
      <c r="H588" s="5" t="s">
        <v>36</v>
      </c>
      <c r="I588" s="5" t="s">
        <v>17</v>
      </c>
      <c r="J588" s="6">
        <f>Table1[[#This Row],[Profit]]/Table1[[#This Row],[Sales]]</f>
        <v>0.67360504332062165</v>
      </c>
      <c r="K588" s="5" t="str">
        <f t="shared" si="9"/>
        <v>Low</v>
      </c>
      <c r="L588" s="5" t="str">
        <f>TEXT(Table1[[#This Row],[Order_Date]],"MMM")</f>
        <v>May</v>
      </c>
      <c r="M588" s="5" t="str">
        <f>IF(Table1[[#This Row],[Profit]]&gt;=1000,"Excellent",IF(Table1[[#This Row],[Profit]]&gt;=500,"Good", IF(Table1[[#This Row],[Profit]]&lt;500,"Low")))</f>
        <v>Good</v>
      </c>
      <c r="N588" s="7" t="str">
        <f>TEXT(Table1[[#This Row],[Order_Date]],"YYY")</f>
        <v>2024</v>
      </c>
    </row>
    <row r="589" spans="1:14" x14ac:dyDescent="0.3">
      <c r="A589" s="4">
        <v>45423</v>
      </c>
      <c r="B589" s="5" t="s">
        <v>16</v>
      </c>
      <c r="C589" s="5" t="s">
        <v>26</v>
      </c>
      <c r="D589" s="23">
        <v>1176.6199999999999</v>
      </c>
      <c r="E589" s="23">
        <v>298.85000000000002</v>
      </c>
      <c r="F589" s="23">
        <v>877.77</v>
      </c>
      <c r="G589" s="5" t="s">
        <v>20</v>
      </c>
      <c r="H589" s="5" t="s">
        <v>12</v>
      </c>
      <c r="I589" s="5" t="s">
        <v>17</v>
      </c>
      <c r="J589" s="6">
        <f>Table1[[#This Row],[Profit]]/Table1[[#This Row],[Sales]]</f>
        <v>0.74600975676089143</v>
      </c>
      <c r="K589" s="5" t="str">
        <f t="shared" si="9"/>
        <v>Low</v>
      </c>
      <c r="L589" s="5" t="str">
        <f>TEXT(Table1[[#This Row],[Order_Date]],"MMM")</f>
        <v>May</v>
      </c>
      <c r="M589" s="5" t="str">
        <f>IF(Table1[[#This Row],[Profit]]&gt;=1000,"Excellent",IF(Table1[[#This Row],[Profit]]&gt;=500,"Good", IF(Table1[[#This Row],[Profit]]&lt;500,"Low")))</f>
        <v>Good</v>
      </c>
      <c r="N589" s="7" t="str">
        <f>TEXT(Table1[[#This Row],[Order_Date]],"YYY")</f>
        <v>2024</v>
      </c>
    </row>
    <row r="590" spans="1:14" x14ac:dyDescent="0.3">
      <c r="A590" s="4">
        <v>45424</v>
      </c>
      <c r="B590" s="5" t="s">
        <v>18</v>
      </c>
      <c r="C590" s="5" t="s">
        <v>26</v>
      </c>
      <c r="D590" s="23">
        <v>1079.46</v>
      </c>
      <c r="E590" s="23">
        <v>465.62</v>
      </c>
      <c r="F590" s="23">
        <v>613.84</v>
      </c>
      <c r="G590" s="5" t="s">
        <v>9</v>
      </c>
      <c r="H590" s="5" t="s">
        <v>10</v>
      </c>
      <c r="I590" s="5" t="s">
        <v>22</v>
      </c>
      <c r="J590" s="6">
        <f>Table1[[#This Row],[Profit]]/Table1[[#This Row],[Sales]]</f>
        <v>0.56865469771923005</v>
      </c>
      <c r="K590" s="5" t="str">
        <f t="shared" si="9"/>
        <v>Low</v>
      </c>
      <c r="L590" s="5" t="str">
        <f>TEXT(Table1[[#This Row],[Order_Date]],"MMM")</f>
        <v>May</v>
      </c>
      <c r="M590" s="5" t="str">
        <f>IF(Table1[[#This Row],[Profit]]&gt;=1000,"Excellent",IF(Table1[[#This Row],[Profit]]&gt;=500,"Good", IF(Table1[[#This Row],[Profit]]&lt;500,"Low")))</f>
        <v>Good</v>
      </c>
      <c r="N590" s="7" t="str">
        <f>TEXT(Table1[[#This Row],[Order_Date]],"YYY")</f>
        <v>2024</v>
      </c>
    </row>
    <row r="591" spans="1:14" x14ac:dyDescent="0.3">
      <c r="A591" s="4">
        <v>45424</v>
      </c>
      <c r="B591" s="5" t="s">
        <v>8</v>
      </c>
      <c r="C591" s="5" t="s">
        <v>1</v>
      </c>
      <c r="D591" s="23">
        <v>902.88</v>
      </c>
      <c r="E591" s="23">
        <v>543.73</v>
      </c>
      <c r="F591" s="23">
        <v>359.15</v>
      </c>
      <c r="G591" s="5" t="s">
        <v>20</v>
      </c>
      <c r="H591" s="5" t="s">
        <v>35</v>
      </c>
      <c r="I591" s="5" t="s">
        <v>27</v>
      </c>
      <c r="J591" s="6">
        <f>Table1[[#This Row],[Profit]]/Table1[[#This Row],[Sales]]</f>
        <v>0.39778265107212474</v>
      </c>
      <c r="K591" s="5" t="str">
        <f t="shared" si="9"/>
        <v>Low</v>
      </c>
      <c r="L591" s="5" t="str">
        <f>TEXT(Table1[[#This Row],[Order_Date]],"MMM")</f>
        <v>May</v>
      </c>
      <c r="M591" s="5" t="str">
        <f>IF(Table1[[#This Row],[Profit]]&gt;=1000,"Excellent",IF(Table1[[#This Row],[Profit]]&gt;=500,"Good", IF(Table1[[#This Row],[Profit]]&lt;500,"Low")))</f>
        <v>Low</v>
      </c>
      <c r="N591" s="7" t="str">
        <f>TEXT(Table1[[#This Row],[Order_Date]],"YYY")</f>
        <v>2024</v>
      </c>
    </row>
    <row r="592" spans="1:14" x14ac:dyDescent="0.3">
      <c r="A592" s="4">
        <v>45424</v>
      </c>
      <c r="B592" s="5" t="s">
        <v>18</v>
      </c>
      <c r="C592" s="5" t="s">
        <v>23</v>
      </c>
      <c r="D592" s="23">
        <v>676.04</v>
      </c>
      <c r="E592" s="23">
        <v>306.69</v>
      </c>
      <c r="F592" s="23">
        <v>369.35</v>
      </c>
      <c r="G592" s="5" t="s">
        <v>9</v>
      </c>
      <c r="H592" s="5" t="s">
        <v>7</v>
      </c>
      <c r="I592" s="5" t="s">
        <v>17</v>
      </c>
      <c r="J592" s="6">
        <f>Table1[[#This Row],[Profit]]/Table1[[#This Row],[Sales]]</f>
        <v>0.54634341163244782</v>
      </c>
      <c r="K592" s="5" t="str">
        <f t="shared" si="9"/>
        <v>Low</v>
      </c>
      <c r="L592" s="5" t="str">
        <f>TEXT(Table1[[#This Row],[Order_Date]],"MMM")</f>
        <v>May</v>
      </c>
      <c r="M592" s="5" t="str">
        <f>IF(Table1[[#This Row],[Profit]]&gt;=1000,"Excellent",IF(Table1[[#This Row],[Profit]]&gt;=500,"Good", IF(Table1[[#This Row],[Profit]]&lt;500,"Low")))</f>
        <v>Low</v>
      </c>
      <c r="N592" s="7" t="str">
        <f>TEXT(Table1[[#This Row],[Order_Date]],"YYY")</f>
        <v>2024</v>
      </c>
    </row>
    <row r="593" spans="1:14" x14ac:dyDescent="0.3">
      <c r="A593" s="4">
        <v>45425</v>
      </c>
      <c r="B593" s="5" t="s">
        <v>13</v>
      </c>
      <c r="C593" s="5" t="s">
        <v>26</v>
      </c>
      <c r="D593" s="23">
        <v>340.76</v>
      </c>
      <c r="E593" s="23">
        <v>114.14</v>
      </c>
      <c r="F593" s="23">
        <v>226.62</v>
      </c>
      <c r="G593" s="5" t="s">
        <v>2</v>
      </c>
      <c r="H593" s="5" t="s">
        <v>28</v>
      </c>
      <c r="I593" s="5" t="s">
        <v>11</v>
      </c>
      <c r="J593" s="6">
        <f>Table1[[#This Row],[Profit]]/Table1[[#This Row],[Sales]]</f>
        <v>0.66504284540439018</v>
      </c>
      <c r="K593" s="5" t="str">
        <f t="shared" si="9"/>
        <v>Low</v>
      </c>
      <c r="L593" s="5" t="str">
        <f>TEXT(Table1[[#This Row],[Order_Date]],"MMM")</f>
        <v>May</v>
      </c>
      <c r="M593" s="5" t="str">
        <f>IF(Table1[[#This Row],[Profit]]&gt;=1000,"Excellent",IF(Table1[[#This Row],[Profit]]&gt;=500,"Good", IF(Table1[[#This Row],[Profit]]&lt;500,"Low")))</f>
        <v>Low</v>
      </c>
      <c r="N593" s="7" t="str">
        <f>TEXT(Table1[[#This Row],[Order_Date]],"YYY")</f>
        <v>2024</v>
      </c>
    </row>
    <row r="594" spans="1:14" x14ac:dyDescent="0.3">
      <c r="A594" s="4">
        <v>45425</v>
      </c>
      <c r="B594" s="5" t="s">
        <v>16</v>
      </c>
      <c r="C594" s="5" t="s">
        <v>19</v>
      </c>
      <c r="D594" s="23">
        <v>66.48</v>
      </c>
      <c r="E594" s="23">
        <v>26.82</v>
      </c>
      <c r="F594" s="23">
        <v>39.659999999999997</v>
      </c>
      <c r="G594" s="5" t="s">
        <v>32</v>
      </c>
      <c r="H594" s="5" t="s">
        <v>21</v>
      </c>
      <c r="I594" s="5" t="s">
        <v>27</v>
      </c>
      <c r="J594" s="6">
        <f>Table1[[#This Row],[Profit]]/Table1[[#This Row],[Sales]]</f>
        <v>0.59657039711191329</v>
      </c>
      <c r="K594" s="5" t="str">
        <f t="shared" si="9"/>
        <v>Low</v>
      </c>
      <c r="L594" s="5" t="str">
        <f>TEXT(Table1[[#This Row],[Order_Date]],"MMM")</f>
        <v>May</v>
      </c>
      <c r="M594" s="5" t="str">
        <f>IF(Table1[[#This Row],[Profit]]&gt;=1000,"Excellent",IF(Table1[[#This Row],[Profit]]&gt;=500,"Good", IF(Table1[[#This Row],[Profit]]&lt;500,"Low")))</f>
        <v>Low</v>
      </c>
      <c r="N594" s="7" t="str">
        <f>TEXT(Table1[[#This Row],[Order_Date]],"YYY")</f>
        <v>2024</v>
      </c>
    </row>
    <row r="595" spans="1:14" x14ac:dyDescent="0.3">
      <c r="A595" s="4">
        <v>45426</v>
      </c>
      <c r="B595" s="5" t="s">
        <v>18</v>
      </c>
      <c r="C595" s="5" t="s">
        <v>5</v>
      </c>
      <c r="D595" s="23">
        <v>2283.36</v>
      </c>
      <c r="E595" s="23">
        <v>991.3</v>
      </c>
      <c r="F595" s="23">
        <v>1292.06</v>
      </c>
      <c r="G595" s="5" t="s">
        <v>20</v>
      </c>
      <c r="H595" s="5" t="s">
        <v>37</v>
      </c>
      <c r="I595" s="5" t="s">
        <v>22</v>
      </c>
      <c r="J595" s="6">
        <f>Table1[[#This Row],[Profit]]/Table1[[#This Row],[Sales]]</f>
        <v>0.56585908485740311</v>
      </c>
      <c r="K595" s="5" t="str">
        <f t="shared" si="9"/>
        <v>High</v>
      </c>
      <c r="L595" s="5" t="str">
        <f>TEXT(Table1[[#This Row],[Order_Date]],"MMM")</f>
        <v>May</v>
      </c>
      <c r="M595" s="5" t="str">
        <f>IF(Table1[[#This Row],[Profit]]&gt;=1000,"Excellent",IF(Table1[[#This Row],[Profit]]&gt;=500,"Good", IF(Table1[[#This Row],[Profit]]&lt;500,"Low")))</f>
        <v>Excellent</v>
      </c>
      <c r="N595" s="7" t="str">
        <f>TEXT(Table1[[#This Row],[Order_Date]],"YYY")</f>
        <v>2024</v>
      </c>
    </row>
    <row r="596" spans="1:14" x14ac:dyDescent="0.3">
      <c r="A596" s="4">
        <v>45426</v>
      </c>
      <c r="B596" s="5" t="s">
        <v>16</v>
      </c>
      <c r="C596" s="5" t="s">
        <v>1</v>
      </c>
      <c r="D596" s="23">
        <v>304.76</v>
      </c>
      <c r="E596" s="23">
        <v>184.35</v>
      </c>
      <c r="F596" s="23">
        <v>120.41</v>
      </c>
      <c r="G596" s="5" t="s">
        <v>6</v>
      </c>
      <c r="H596" s="5" t="s">
        <v>29</v>
      </c>
      <c r="I596" s="5" t="s">
        <v>27</v>
      </c>
      <c r="J596" s="6">
        <f>Table1[[#This Row],[Profit]]/Table1[[#This Row],[Sales]]</f>
        <v>0.39509778186113664</v>
      </c>
      <c r="K596" s="5" t="str">
        <f t="shared" si="9"/>
        <v>Low</v>
      </c>
      <c r="L596" s="5" t="str">
        <f>TEXT(Table1[[#This Row],[Order_Date]],"MMM")</f>
        <v>May</v>
      </c>
      <c r="M596" s="5" t="str">
        <f>IF(Table1[[#This Row],[Profit]]&gt;=1000,"Excellent",IF(Table1[[#This Row],[Profit]]&gt;=500,"Good", IF(Table1[[#This Row],[Profit]]&lt;500,"Low")))</f>
        <v>Low</v>
      </c>
      <c r="N596" s="7" t="str">
        <f>TEXT(Table1[[#This Row],[Order_Date]],"YYY")</f>
        <v>2024</v>
      </c>
    </row>
    <row r="597" spans="1:14" x14ac:dyDescent="0.3">
      <c r="A597" s="4">
        <v>45426</v>
      </c>
      <c r="B597" s="5" t="s">
        <v>16</v>
      </c>
      <c r="C597" s="5" t="s">
        <v>31</v>
      </c>
      <c r="D597" s="23">
        <v>82.35</v>
      </c>
      <c r="E597" s="23">
        <v>20.309999999999999</v>
      </c>
      <c r="F597" s="23">
        <v>62.04</v>
      </c>
      <c r="G597" s="5" t="s">
        <v>6</v>
      </c>
      <c r="H597" s="5" t="s">
        <v>33</v>
      </c>
      <c r="I597" s="5" t="s">
        <v>22</v>
      </c>
      <c r="J597" s="6">
        <f>Table1[[#This Row],[Profit]]/Table1[[#This Row],[Sales]]</f>
        <v>0.75336976320582882</v>
      </c>
      <c r="K597" s="5" t="str">
        <f t="shared" si="9"/>
        <v>Low</v>
      </c>
      <c r="L597" s="5" t="str">
        <f>TEXT(Table1[[#This Row],[Order_Date]],"MMM")</f>
        <v>May</v>
      </c>
      <c r="M597" s="5" t="str">
        <f>IF(Table1[[#This Row],[Profit]]&gt;=1000,"Excellent",IF(Table1[[#This Row],[Profit]]&gt;=500,"Good", IF(Table1[[#This Row],[Profit]]&lt;500,"Low")))</f>
        <v>Low</v>
      </c>
      <c r="N597" s="7" t="str">
        <f>TEXT(Table1[[#This Row],[Order_Date]],"YYY")</f>
        <v>2024</v>
      </c>
    </row>
    <row r="598" spans="1:14" x14ac:dyDescent="0.3">
      <c r="A598" s="4">
        <v>45426</v>
      </c>
      <c r="B598" s="5" t="s">
        <v>0</v>
      </c>
      <c r="C598" s="5" t="s">
        <v>23</v>
      </c>
      <c r="D598" s="23">
        <v>159.01</v>
      </c>
      <c r="E598" s="23">
        <v>68.709999999999994</v>
      </c>
      <c r="F598" s="23">
        <v>90.3</v>
      </c>
      <c r="G598" s="5" t="s">
        <v>32</v>
      </c>
      <c r="H598" s="5" t="s">
        <v>24</v>
      </c>
      <c r="I598" s="5" t="s">
        <v>4</v>
      </c>
      <c r="J598" s="6">
        <f>Table1[[#This Row],[Profit]]/Table1[[#This Row],[Sales]]</f>
        <v>0.567888812024401</v>
      </c>
      <c r="K598" s="5" t="str">
        <f t="shared" si="9"/>
        <v>Low</v>
      </c>
      <c r="L598" s="5" t="str">
        <f>TEXT(Table1[[#This Row],[Order_Date]],"MMM")</f>
        <v>May</v>
      </c>
      <c r="M598" s="5" t="str">
        <f>IF(Table1[[#This Row],[Profit]]&gt;=1000,"Excellent",IF(Table1[[#This Row],[Profit]]&gt;=500,"Good", IF(Table1[[#This Row],[Profit]]&lt;500,"Low")))</f>
        <v>Low</v>
      </c>
      <c r="N598" s="7" t="str">
        <f>TEXT(Table1[[#This Row],[Order_Date]],"YYY")</f>
        <v>2024</v>
      </c>
    </row>
    <row r="599" spans="1:14" x14ac:dyDescent="0.3">
      <c r="A599" s="4">
        <v>45427</v>
      </c>
      <c r="B599" s="5" t="s">
        <v>13</v>
      </c>
      <c r="C599" s="5" t="s">
        <v>23</v>
      </c>
      <c r="D599" s="23">
        <v>170.55</v>
      </c>
      <c r="E599" s="23">
        <v>49.5</v>
      </c>
      <c r="F599" s="23">
        <v>121.05</v>
      </c>
      <c r="G599" s="5" t="s">
        <v>20</v>
      </c>
      <c r="H599" s="5" t="s">
        <v>10</v>
      </c>
      <c r="I599" s="5" t="s">
        <v>25</v>
      </c>
      <c r="J599" s="6">
        <f>Table1[[#This Row],[Profit]]/Table1[[#This Row],[Sales]]</f>
        <v>0.70976253298153025</v>
      </c>
      <c r="K599" s="5" t="str">
        <f t="shared" si="9"/>
        <v>Low</v>
      </c>
      <c r="L599" s="5" t="str">
        <f>TEXT(Table1[[#This Row],[Order_Date]],"MMM")</f>
        <v>May</v>
      </c>
      <c r="M599" s="5" t="str">
        <f>IF(Table1[[#This Row],[Profit]]&gt;=1000,"Excellent",IF(Table1[[#This Row],[Profit]]&gt;=500,"Good", IF(Table1[[#This Row],[Profit]]&lt;500,"Low")))</f>
        <v>Low</v>
      </c>
      <c r="N599" s="7" t="str">
        <f>TEXT(Table1[[#This Row],[Order_Date]],"YYY")</f>
        <v>2024</v>
      </c>
    </row>
    <row r="600" spans="1:14" x14ac:dyDescent="0.3">
      <c r="A600" s="4">
        <v>45427</v>
      </c>
      <c r="B600" s="5" t="s">
        <v>8</v>
      </c>
      <c r="C600" s="5" t="s">
        <v>19</v>
      </c>
      <c r="D600" s="23">
        <v>107.6</v>
      </c>
      <c r="E600" s="23">
        <v>25.64</v>
      </c>
      <c r="F600" s="23">
        <v>81.96</v>
      </c>
      <c r="G600" s="5" t="s">
        <v>32</v>
      </c>
      <c r="H600" s="5" t="s">
        <v>3</v>
      </c>
      <c r="I600" s="5" t="s">
        <v>17</v>
      </c>
      <c r="J600" s="6">
        <f>Table1[[#This Row],[Profit]]/Table1[[#This Row],[Sales]]</f>
        <v>0.76171003717472119</v>
      </c>
      <c r="K600" s="5" t="str">
        <f t="shared" si="9"/>
        <v>Low</v>
      </c>
      <c r="L600" s="5" t="str">
        <f>TEXT(Table1[[#This Row],[Order_Date]],"MMM")</f>
        <v>May</v>
      </c>
      <c r="M600" s="5" t="str">
        <f>IF(Table1[[#This Row],[Profit]]&gt;=1000,"Excellent",IF(Table1[[#This Row],[Profit]]&gt;=500,"Good", IF(Table1[[#This Row],[Profit]]&lt;500,"Low")))</f>
        <v>Low</v>
      </c>
      <c r="N600" s="7" t="str">
        <f>TEXT(Table1[[#This Row],[Order_Date]],"YYY")</f>
        <v>2024</v>
      </c>
    </row>
    <row r="601" spans="1:14" x14ac:dyDescent="0.3">
      <c r="A601" s="4">
        <v>45428</v>
      </c>
      <c r="B601" s="5" t="s">
        <v>18</v>
      </c>
      <c r="C601" s="5" t="s">
        <v>5</v>
      </c>
      <c r="D601" s="23">
        <v>992.83</v>
      </c>
      <c r="E601" s="23">
        <v>344.89</v>
      </c>
      <c r="F601" s="23">
        <v>647.94000000000005</v>
      </c>
      <c r="G601" s="5" t="s">
        <v>20</v>
      </c>
      <c r="H601" s="5" t="s">
        <v>37</v>
      </c>
      <c r="I601" s="5" t="s">
        <v>4</v>
      </c>
      <c r="J601" s="6">
        <f>Table1[[#This Row],[Profit]]/Table1[[#This Row],[Sales]]</f>
        <v>0.65261928023931592</v>
      </c>
      <c r="K601" s="5" t="str">
        <f t="shared" si="9"/>
        <v>Low</v>
      </c>
      <c r="L601" s="5" t="str">
        <f>TEXT(Table1[[#This Row],[Order_Date]],"MMM")</f>
        <v>May</v>
      </c>
      <c r="M601" s="5" t="str">
        <f>IF(Table1[[#This Row],[Profit]]&gt;=1000,"Excellent",IF(Table1[[#This Row],[Profit]]&gt;=500,"Good", IF(Table1[[#This Row],[Profit]]&lt;500,"Low")))</f>
        <v>Good</v>
      </c>
      <c r="N601" s="7" t="str">
        <f>TEXT(Table1[[#This Row],[Order_Date]],"YYY")</f>
        <v>2024</v>
      </c>
    </row>
    <row r="602" spans="1:14" x14ac:dyDescent="0.3">
      <c r="A602" s="4">
        <v>45428</v>
      </c>
      <c r="B602" s="5" t="s">
        <v>8</v>
      </c>
      <c r="C602" s="5" t="s">
        <v>5</v>
      </c>
      <c r="D602" s="23">
        <v>109.16</v>
      </c>
      <c r="E602" s="23">
        <v>52.67</v>
      </c>
      <c r="F602" s="23">
        <v>56.49</v>
      </c>
      <c r="G602" s="5" t="s">
        <v>20</v>
      </c>
      <c r="H602" s="5" t="s">
        <v>29</v>
      </c>
      <c r="I602" s="5" t="s">
        <v>22</v>
      </c>
      <c r="J602" s="6">
        <f>Table1[[#This Row],[Profit]]/Table1[[#This Row],[Sales]]</f>
        <v>0.51749725174056438</v>
      </c>
      <c r="K602" s="5" t="str">
        <f t="shared" si="9"/>
        <v>Low</v>
      </c>
      <c r="L602" s="5" t="str">
        <f>TEXT(Table1[[#This Row],[Order_Date]],"MMM")</f>
        <v>May</v>
      </c>
      <c r="M602" s="5" t="str">
        <f>IF(Table1[[#This Row],[Profit]]&gt;=1000,"Excellent",IF(Table1[[#This Row],[Profit]]&gt;=500,"Good", IF(Table1[[#This Row],[Profit]]&lt;500,"Low")))</f>
        <v>Low</v>
      </c>
      <c r="N602" s="7" t="str">
        <f>TEXT(Table1[[#This Row],[Order_Date]],"YYY")</f>
        <v>2024</v>
      </c>
    </row>
    <row r="603" spans="1:14" x14ac:dyDescent="0.3">
      <c r="A603" s="4">
        <v>45428</v>
      </c>
      <c r="B603" s="5" t="s">
        <v>8</v>
      </c>
      <c r="C603" s="5" t="s">
        <v>14</v>
      </c>
      <c r="D603" s="23">
        <v>292.41000000000003</v>
      </c>
      <c r="E603" s="23">
        <v>158.06</v>
      </c>
      <c r="F603" s="23">
        <v>134.35</v>
      </c>
      <c r="G603" s="5" t="s">
        <v>32</v>
      </c>
      <c r="H603" s="5" t="s">
        <v>24</v>
      </c>
      <c r="I603" s="5" t="s">
        <v>22</v>
      </c>
      <c r="J603" s="6">
        <f>Table1[[#This Row],[Profit]]/Table1[[#This Row],[Sales]]</f>
        <v>0.45945761088882042</v>
      </c>
      <c r="K603" s="5" t="str">
        <f t="shared" si="9"/>
        <v>Low</v>
      </c>
      <c r="L603" s="5" t="str">
        <f>TEXT(Table1[[#This Row],[Order_Date]],"MMM")</f>
        <v>May</v>
      </c>
      <c r="M603" s="5" t="str">
        <f>IF(Table1[[#This Row],[Profit]]&gt;=1000,"Excellent",IF(Table1[[#This Row],[Profit]]&gt;=500,"Good", IF(Table1[[#This Row],[Profit]]&lt;500,"Low")))</f>
        <v>Low</v>
      </c>
      <c r="N603" s="7" t="str">
        <f>TEXT(Table1[[#This Row],[Order_Date]],"YYY")</f>
        <v>2024</v>
      </c>
    </row>
    <row r="604" spans="1:14" x14ac:dyDescent="0.3">
      <c r="A604" s="4">
        <v>45429</v>
      </c>
      <c r="B604" s="5" t="s">
        <v>18</v>
      </c>
      <c r="C604" s="5" t="s">
        <v>1</v>
      </c>
      <c r="D604" s="23">
        <v>473.2</v>
      </c>
      <c r="E604" s="23">
        <v>247.79</v>
      </c>
      <c r="F604" s="23">
        <v>225.41</v>
      </c>
      <c r="G604" s="5" t="s">
        <v>2</v>
      </c>
      <c r="H604" s="5" t="s">
        <v>35</v>
      </c>
      <c r="I604" s="5" t="s">
        <v>17</v>
      </c>
      <c r="J604" s="6">
        <f>Table1[[#This Row],[Profit]]/Table1[[#This Row],[Sales]]</f>
        <v>0.47635249366018595</v>
      </c>
      <c r="K604" s="5" t="str">
        <f t="shared" si="9"/>
        <v>Low</v>
      </c>
      <c r="L604" s="5" t="str">
        <f>TEXT(Table1[[#This Row],[Order_Date]],"MMM")</f>
        <v>May</v>
      </c>
      <c r="M604" s="5" t="str">
        <f>IF(Table1[[#This Row],[Profit]]&gt;=1000,"Excellent",IF(Table1[[#This Row],[Profit]]&gt;=500,"Good", IF(Table1[[#This Row],[Profit]]&lt;500,"Low")))</f>
        <v>Low</v>
      </c>
      <c r="N604" s="7" t="str">
        <f>TEXT(Table1[[#This Row],[Order_Date]],"YYY")</f>
        <v>2024</v>
      </c>
    </row>
    <row r="605" spans="1:14" x14ac:dyDescent="0.3">
      <c r="A605" s="4">
        <v>45429</v>
      </c>
      <c r="B605" s="5" t="s">
        <v>0</v>
      </c>
      <c r="C605" s="5" t="s">
        <v>31</v>
      </c>
      <c r="D605" s="23">
        <v>251.09</v>
      </c>
      <c r="E605" s="23">
        <v>61.71</v>
      </c>
      <c r="F605" s="23">
        <v>189.38</v>
      </c>
      <c r="G605" s="5" t="s">
        <v>9</v>
      </c>
      <c r="H605" s="5" t="s">
        <v>33</v>
      </c>
      <c r="I605" s="5" t="s">
        <v>17</v>
      </c>
      <c r="J605" s="6">
        <f>Table1[[#This Row],[Profit]]/Table1[[#This Row],[Sales]]</f>
        <v>0.75423155044008117</v>
      </c>
      <c r="K605" s="5" t="str">
        <f t="shared" si="9"/>
        <v>Low</v>
      </c>
      <c r="L605" s="5" t="str">
        <f>TEXT(Table1[[#This Row],[Order_Date]],"MMM")</f>
        <v>May</v>
      </c>
      <c r="M605" s="5" t="str">
        <f>IF(Table1[[#This Row],[Profit]]&gt;=1000,"Excellent",IF(Table1[[#This Row],[Profit]]&gt;=500,"Good", IF(Table1[[#This Row],[Profit]]&lt;500,"Low")))</f>
        <v>Low</v>
      </c>
      <c r="N605" s="7" t="str">
        <f>TEXT(Table1[[#This Row],[Order_Date]],"YYY")</f>
        <v>2024</v>
      </c>
    </row>
    <row r="606" spans="1:14" x14ac:dyDescent="0.3">
      <c r="A606" s="4">
        <v>45429</v>
      </c>
      <c r="B606" s="5" t="s">
        <v>18</v>
      </c>
      <c r="C606" s="5" t="s">
        <v>5</v>
      </c>
      <c r="D606" s="23">
        <v>965.68</v>
      </c>
      <c r="E606" s="23">
        <v>465.16</v>
      </c>
      <c r="F606" s="23">
        <v>500.52</v>
      </c>
      <c r="G606" s="5" t="s">
        <v>6</v>
      </c>
      <c r="H606" s="5" t="s">
        <v>29</v>
      </c>
      <c r="I606" s="5" t="s">
        <v>27</v>
      </c>
      <c r="J606" s="6">
        <f>Table1[[#This Row],[Profit]]/Table1[[#This Row],[Sales]]</f>
        <v>0.51830834230801093</v>
      </c>
      <c r="K606" s="5" t="str">
        <f t="shared" si="9"/>
        <v>Low</v>
      </c>
      <c r="L606" s="5" t="str">
        <f>TEXT(Table1[[#This Row],[Order_Date]],"MMM")</f>
        <v>May</v>
      </c>
      <c r="M606" s="5" t="str">
        <f>IF(Table1[[#This Row],[Profit]]&gt;=1000,"Excellent",IF(Table1[[#This Row],[Profit]]&gt;=500,"Good", IF(Table1[[#This Row],[Profit]]&lt;500,"Low")))</f>
        <v>Good</v>
      </c>
      <c r="N606" s="7" t="str">
        <f>TEXT(Table1[[#This Row],[Order_Date]],"YYY")</f>
        <v>2024</v>
      </c>
    </row>
    <row r="607" spans="1:14" x14ac:dyDescent="0.3">
      <c r="A607" s="4">
        <v>45429</v>
      </c>
      <c r="B607" s="5" t="s">
        <v>18</v>
      </c>
      <c r="C607" s="5" t="s">
        <v>23</v>
      </c>
      <c r="D607" s="23">
        <v>894.42</v>
      </c>
      <c r="E607" s="23">
        <v>295.62</v>
      </c>
      <c r="F607" s="23">
        <v>598.79999999999995</v>
      </c>
      <c r="G607" s="5" t="s">
        <v>9</v>
      </c>
      <c r="H607" s="5" t="s">
        <v>7</v>
      </c>
      <c r="I607" s="5" t="s">
        <v>17</v>
      </c>
      <c r="J607" s="6">
        <f>Table1[[#This Row],[Profit]]/Table1[[#This Row],[Sales]]</f>
        <v>0.66948413497014825</v>
      </c>
      <c r="K607" s="5" t="str">
        <f t="shared" si="9"/>
        <v>Low</v>
      </c>
      <c r="L607" s="5" t="str">
        <f>TEXT(Table1[[#This Row],[Order_Date]],"MMM")</f>
        <v>May</v>
      </c>
      <c r="M607" s="5" t="str">
        <f>IF(Table1[[#This Row],[Profit]]&gt;=1000,"Excellent",IF(Table1[[#This Row],[Profit]]&gt;=500,"Good", IF(Table1[[#This Row],[Profit]]&lt;500,"Low")))</f>
        <v>Good</v>
      </c>
      <c r="N607" s="7" t="str">
        <f>TEXT(Table1[[#This Row],[Order_Date]],"YYY")</f>
        <v>2024</v>
      </c>
    </row>
    <row r="608" spans="1:14" x14ac:dyDescent="0.3">
      <c r="A608" s="4">
        <v>45429</v>
      </c>
      <c r="B608" s="5" t="s">
        <v>8</v>
      </c>
      <c r="C608" s="5" t="s">
        <v>5</v>
      </c>
      <c r="D608" s="23">
        <v>1278.03</v>
      </c>
      <c r="E608" s="23">
        <v>528.5</v>
      </c>
      <c r="F608" s="23">
        <v>749.53</v>
      </c>
      <c r="G608" s="5" t="s">
        <v>6</v>
      </c>
      <c r="H608" s="5" t="s">
        <v>10</v>
      </c>
      <c r="I608" s="5" t="s">
        <v>11</v>
      </c>
      <c r="J608" s="6">
        <f>Table1[[#This Row],[Profit]]/Table1[[#This Row],[Sales]]</f>
        <v>0.58647293099536002</v>
      </c>
      <c r="K608" s="5" t="str">
        <f t="shared" si="9"/>
        <v>Low</v>
      </c>
      <c r="L608" s="5" t="str">
        <f>TEXT(Table1[[#This Row],[Order_Date]],"MMM")</f>
        <v>May</v>
      </c>
      <c r="M608" s="5" t="str">
        <f>IF(Table1[[#This Row],[Profit]]&gt;=1000,"Excellent",IF(Table1[[#This Row],[Profit]]&gt;=500,"Good", IF(Table1[[#This Row],[Profit]]&lt;500,"Low")))</f>
        <v>Good</v>
      </c>
      <c r="N608" s="7" t="str">
        <f>TEXT(Table1[[#This Row],[Order_Date]],"YYY")</f>
        <v>2024</v>
      </c>
    </row>
    <row r="609" spans="1:14" x14ac:dyDescent="0.3">
      <c r="A609" s="4">
        <v>45430</v>
      </c>
      <c r="B609" s="5" t="s">
        <v>0</v>
      </c>
      <c r="C609" s="5" t="s">
        <v>23</v>
      </c>
      <c r="D609" s="23">
        <v>171.38</v>
      </c>
      <c r="E609" s="23">
        <v>55.53</v>
      </c>
      <c r="F609" s="23">
        <v>115.85</v>
      </c>
      <c r="G609" s="5" t="s">
        <v>9</v>
      </c>
      <c r="H609" s="5" t="s">
        <v>10</v>
      </c>
      <c r="I609" s="5" t="s">
        <v>17</v>
      </c>
      <c r="J609" s="6">
        <f>Table1[[#This Row],[Profit]]/Table1[[#This Row],[Sales]]</f>
        <v>0.67598319523865091</v>
      </c>
      <c r="K609" s="5" t="str">
        <f t="shared" si="9"/>
        <v>Low</v>
      </c>
      <c r="L609" s="5" t="str">
        <f>TEXT(Table1[[#This Row],[Order_Date]],"MMM")</f>
        <v>May</v>
      </c>
      <c r="M609" s="5" t="str">
        <f>IF(Table1[[#This Row],[Profit]]&gt;=1000,"Excellent",IF(Table1[[#This Row],[Profit]]&gt;=500,"Good", IF(Table1[[#This Row],[Profit]]&lt;500,"Low")))</f>
        <v>Low</v>
      </c>
      <c r="N609" s="7" t="str">
        <f>TEXT(Table1[[#This Row],[Order_Date]],"YYY")</f>
        <v>2024</v>
      </c>
    </row>
    <row r="610" spans="1:14" x14ac:dyDescent="0.3">
      <c r="A610" s="4">
        <v>45430</v>
      </c>
      <c r="B610" s="5" t="s">
        <v>16</v>
      </c>
      <c r="C610" s="5" t="s">
        <v>31</v>
      </c>
      <c r="D610" s="23">
        <v>251.16</v>
      </c>
      <c r="E610" s="23">
        <v>60.52</v>
      </c>
      <c r="F610" s="23">
        <v>190.64</v>
      </c>
      <c r="G610" s="5" t="s">
        <v>20</v>
      </c>
      <c r="H610" s="5" t="s">
        <v>3</v>
      </c>
      <c r="I610" s="5" t="s">
        <v>11</v>
      </c>
      <c r="J610" s="6">
        <f>Table1[[#This Row],[Profit]]/Table1[[#This Row],[Sales]]</f>
        <v>0.75903806338588942</v>
      </c>
      <c r="K610" s="5" t="str">
        <f t="shared" si="9"/>
        <v>Low</v>
      </c>
      <c r="L610" s="5" t="str">
        <f>TEXT(Table1[[#This Row],[Order_Date]],"MMM")</f>
        <v>May</v>
      </c>
      <c r="M610" s="5" t="str">
        <f>IF(Table1[[#This Row],[Profit]]&gt;=1000,"Excellent",IF(Table1[[#This Row],[Profit]]&gt;=500,"Good", IF(Table1[[#This Row],[Profit]]&lt;500,"Low")))</f>
        <v>Low</v>
      </c>
      <c r="N610" s="7" t="str">
        <f>TEXT(Table1[[#This Row],[Order_Date]],"YYY")</f>
        <v>2024</v>
      </c>
    </row>
    <row r="611" spans="1:14" x14ac:dyDescent="0.3">
      <c r="A611" s="4">
        <v>45430</v>
      </c>
      <c r="B611" s="5" t="s">
        <v>13</v>
      </c>
      <c r="C611" s="5" t="s">
        <v>1</v>
      </c>
      <c r="D611" s="23">
        <v>500.79</v>
      </c>
      <c r="E611" s="23">
        <v>226.71</v>
      </c>
      <c r="F611" s="23">
        <v>274.08</v>
      </c>
      <c r="G611" s="5" t="s">
        <v>32</v>
      </c>
      <c r="H611" s="5" t="s">
        <v>36</v>
      </c>
      <c r="I611" s="5" t="s">
        <v>17</v>
      </c>
      <c r="J611" s="6">
        <f>Table1[[#This Row],[Profit]]/Table1[[#This Row],[Sales]]</f>
        <v>0.54729527346792062</v>
      </c>
      <c r="K611" s="5" t="str">
        <f t="shared" si="9"/>
        <v>Low</v>
      </c>
      <c r="L611" s="5" t="str">
        <f>TEXT(Table1[[#This Row],[Order_Date]],"MMM")</f>
        <v>May</v>
      </c>
      <c r="M611" s="5" t="str">
        <f>IF(Table1[[#This Row],[Profit]]&gt;=1000,"Excellent",IF(Table1[[#This Row],[Profit]]&gt;=500,"Good", IF(Table1[[#This Row],[Profit]]&lt;500,"Low")))</f>
        <v>Low</v>
      </c>
      <c r="N611" s="7" t="str">
        <f>TEXT(Table1[[#This Row],[Order_Date]],"YYY")</f>
        <v>2024</v>
      </c>
    </row>
    <row r="612" spans="1:14" x14ac:dyDescent="0.3">
      <c r="A612" s="4">
        <v>45430</v>
      </c>
      <c r="B612" s="5" t="s">
        <v>16</v>
      </c>
      <c r="C612" s="5" t="s">
        <v>5</v>
      </c>
      <c r="D612" s="23">
        <v>1477.56</v>
      </c>
      <c r="E612" s="23">
        <v>475.35</v>
      </c>
      <c r="F612" s="23">
        <v>1002.21</v>
      </c>
      <c r="G612" s="5" t="s">
        <v>9</v>
      </c>
      <c r="H612" s="5" t="s">
        <v>28</v>
      </c>
      <c r="I612" s="5" t="s">
        <v>22</v>
      </c>
      <c r="J612" s="6">
        <f>Table1[[#This Row],[Profit]]/Table1[[#This Row],[Sales]]</f>
        <v>0.67828717615528311</v>
      </c>
      <c r="K612" s="5" t="str">
        <f t="shared" si="9"/>
        <v>Low</v>
      </c>
      <c r="L612" s="5" t="str">
        <f>TEXT(Table1[[#This Row],[Order_Date]],"MMM")</f>
        <v>May</v>
      </c>
      <c r="M612" s="5" t="str">
        <f>IF(Table1[[#This Row],[Profit]]&gt;=1000,"Excellent",IF(Table1[[#This Row],[Profit]]&gt;=500,"Good", IF(Table1[[#This Row],[Profit]]&lt;500,"Low")))</f>
        <v>Excellent</v>
      </c>
      <c r="N612" s="7" t="str">
        <f>TEXT(Table1[[#This Row],[Order_Date]],"YYY")</f>
        <v>2024</v>
      </c>
    </row>
    <row r="613" spans="1:14" x14ac:dyDescent="0.3">
      <c r="A613" s="4">
        <v>45431</v>
      </c>
      <c r="B613" s="5" t="s">
        <v>8</v>
      </c>
      <c r="C613" s="5" t="s">
        <v>1</v>
      </c>
      <c r="D613" s="23">
        <v>442.47</v>
      </c>
      <c r="E613" s="23">
        <v>199.56</v>
      </c>
      <c r="F613" s="23">
        <v>242.91</v>
      </c>
      <c r="G613" s="5" t="s">
        <v>9</v>
      </c>
      <c r="H613" s="5" t="s">
        <v>21</v>
      </c>
      <c r="I613" s="5" t="s">
        <v>4</v>
      </c>
      <c r="J613" s="6">
        <f>Table1[[#This Row],[Profit]]/Table1[[#This Row],[Sales]]</f>
        <v>0.54898637195742084</v>
      </c>
      <c r="K613" s="5" t="str">
        <f t="shared" si="9"/>
        <v>Low</v>
      </c>
      <c r="L613" s="5" t="str">
        <f>TEXT(Table1[[#This Row],[Order_Date]],"MMM")</f>
        <v>May</v>
      </c>
      <c r="M613" s="5" t="str">
        <f>IF(Table1[[#This Row],[Profit]]&gt;=1000,"Excellent",IF(Table1[[#This Row],[Profit]]&gt;=500,"Good", IF(Table1[[#This Row],[Profit]]&lt;500,"Low")))</f>
        <v>Low</v>
      </c>
      <c r="N613" s="7" t="str">
        <f>TEXT(Table1[[#This Row],[Order_Date]],"YYY")</f>
        <v>2024</v>
      </c>
    </row>
    <row r="614" spans="1:14" x14ac:dyDescent="0.3">
      <c r="A614" s="4">
        <v>45433</v>
      </c>
      <c r="B614" s="5" t="s">
        <v>0</v>
      </c>
      <c r="C614" s="5" t="s">
        <v>5</v>
      </c>
      <c r="D614" s="23">
        <v>981</v>
      </c>
      <c r="E614" s="23">
        <v>376.28</v>
      </c>
      <c r="F614" s="23">
        <v>604.72</v>
      </c>
      <c r="G614" s="5" t="s">
        <v>9</v>
      </c>
      <c r="H614" s="5" t="s">
        <v>12</v>
      </c>
      <c r="I614" s="5" t="s">
        <v>27</v>
      </c>
      <c r="J614" s="6">
        <f>Table1[[#This Row],[Profit]]/Table1[[#This Row],[Sales]]</f>
        <v>0.61643221202854237</v>
      </c>
      <c r="K614" s="5" t="str">
        <f t="shared" si="9"/>
        <v>Low</v>
      </c>
      <c r="L614" s="5" t="str">
        <f>TEXT(Table1[[#This Row],[Order_Date]],"MMM")</f>
        <v>May</v>
      </c>
      <c r="M614" s="5" t="str">
        <f>IF(Table1[[#This Row],[Profit]]&gt;=1000,"Excellent",IF(Table1[[#This Row],[Profit]]&gt;=500,"Good", IF(Table1[[#This Row],[Profit]]&lt;500,"Low")))</f>
        <v>Good</v>
      </c>
      <c r="N614" s="7" t="str">
        <f>TEXT(Table1[[#This Row],[Order_Date]],"YYY")</f>
        <v>2024</v>
      </c>
    </row>
    <row r="615" spans="1:14" x14ac:dyDescent="0.3">
      <c r="A615" s="4">
        <v>45435</v>
      </c>
      <c r="B615" s="5" t="s">
        <v>16</v>
      </c>
      <c r="C615" s="5" t="s">
        <v>31</v>
      </c>
      <c r="D615" s="23">
        <v>177.66</v>
      </c>
      <c r="E615" s="23">
        <v>51.42</v>
      </c>
      <c r="F615" s="23">
        <v>126.24</v>
      </c>
      <c r="G615" s="5" t="s">
        <v>9</v>
      </c>
      <c r="H615" s="5" t="s">
        <v>30</v>
      </c>
      <c r="I615" s="5" t="s">
        <v>17</v>
      </c>
      <c r="J615" s="6">
        <f>Table1[[#This Row],[Profit]]/Table1[[#This Row],[Sales]]</f>
        <v>0.71057075312394458</v>
      </c>
      <c r="K615" s="5" t="str">
        <f t="shared" si="9"/>
        <v>Low</v>
      </c>
      <c r="L615" s="5" t="str">
        <f>TEXT(Table1[[#This Row],[Order_Date]],"MMM")</f>
        <v>May</v>
      </c>
      <c r="M615" s="5" t="str">
        <f>IF(Table1[[#This Row],[Profit]]&gt;=1000,"Excellent",IF(Table1[[#This Row],[Profit]]&gt;=500,"Good", IF(Table1[[#This Row],[Profit]]&lt;500,"Low")))</f>
        <v>Low</v>
      </c>
      <c r="N615" s="7" t="str">
        <f>TEXT(Table1[[#This Row],[Order_Date]],"YYY")</f>
        <v>2024</v>
      </c>
    </row>
    <row r="616" spans="1:14" x14ac:dyDescent="0.3">
      <c r="A616" s="4">
        <v>45435</v>
      </c>
      <c r="B616" s="5" t="s">
        <v>13</v>
      </c>
      <c r="C616" s="5" t="s">
        <v>1</v>
      </c>
      <c r="D616" s="23">
        <v>690.2</v>
      </c>
      <c r="E616" s="23">
        <v>395.85</v>
      </c>
      <c r="F616" s="23">
        <v>294.35000000000002</v>
      </c>
      <c r="G616" s="5" t="s">
        <v>32</v>
      </c>
      <c r="H616" s="5" t="s">
        <v>37</v>
      </c>
      <c r="I616" s="5" t="s">
        <v>11</v>
      </c>
      <c r="J616" s="6">
        <f>Table1[[#This Row],[Profit]]/Table1[[#This Row],[Sales]]</f>
        <v>0.4264705882352941</v>
      </c>
      <c r="K616" s="5" t="str">
        <f t="shared" si="9"/>
        <v>Low</v>
      </c>
      <c r="L616" s="5" t="str">
        <f>TEXT(Table1[[#This Row],[Order_Date]],"MMM")</f>
        <v>May</v>
      </c>
      <c r="M616" s="5" t="str">
        <f>IF(Table1[[#This Row],[Profit]]&gt;=1000,"Excellent",IF(Table1[[#This Row],[Profit]]&gt;=500,"Good", IF(Table1[[#This Row],[Profit]]&lt;500,"Low")))</f>
        <v>Low</v>
      </c>
      <c r="N616" s="7" t="str">
        <f>TEXT(Table1[[#This Row],[Order_Date]],"YYY")</f>
        <v>2024</v>
      </c>
    </row>
    <row r="617" spans="1:14" x14ac:dyDescent="0.3">
      <c r="A617" s="4">
        <v>45435</v>
      </c>
      <c r="B617" s="5" t="s">
        <v>16</v>
      </c>
      <c r="C617" s="5" t="s">
        <v>5</v>
      </c>
      <c r="D617" s="23">
        <v>2312.0700000000002</v>
      </c>
      <c r="E617" s="23">
        <v>1101.1199999999999</v>
      </c>
      <c r="F617" s="23">
        <v>1210.95</v>
      </c>
      <c r="G617" s="5" t="s">
        <v>2</v>
      </c>
      <c r="H617" s="5" t="s">
        <v>30</v>
      </c>
      <c r="I617" s="5" t="s">
        <v>25</v>
      </c>
      <c r="J617" s="6">
        <f>Table1[[#This Row],[Profit]]/Table1[[#This Row],[Sales]]</f>
        <v>0.52375144351165837</v>
      </c>
      <c r="K617" s="5" t="str">
        <f t="shared" si="9"/>
        <v>High</v>
      </c>
      <c r="L617" s="5" t="str">
        <f>TEXT(Table1[[#This Row],[Order_Date]],"MMM")</f>
        <v>May</v>
      </c>
      <c r="M617" s="5" t="str">
        <f>IF(Table1[[#This Row],[Profit]]&gt;=1000,"Excellent",IF(Table1[[#This Row],[Profit]]&gt;=500,"Good", IF(Table1[[#This Row],[Profit]]&lt;500,"Low")))</f>
        <v>Excellent</v>
      </c>
      <c r="N617" s="7" t="str">
        <f>TEXT(Table1[[#This Row],[Order_Date]],"YYY")</f>
        <v>2024</v>
      </c>
    </row>
    <row r="618" spans="1:14" x14ac:dyDescent="0.3">
      <c r="A618" s="4">
        <v>45435</v>
      </c>
      <c r="B618" s="5" t="s">
        <v>0</v>
      </c>
      <c r="C618" s="5" t="s">
        <v>14</v>
      </c>
      <c r="D618" s="23">
        <v>129.59</v>
      </c>
      <c r="E618" s="23">
        <v>54.02</v>
      </c>
      <c r="F618" s="23">
        <v>75.569999999999993</v>
      </c>
      <c r="G618" s="5" t="s">
        <v>6</v>
      </c>
      <c r="H618" s="5" t="s">
        <v>36</v>
      </c>
      <c r="I618" s="5" t="s">
        <v>17</v>
      </c>
      <c r="J618" s="6">
        <f>Table1[[#This Row],[Profit]]/Table1[[#This Row],[Sales]]</f>
        <v>0.583146847750598</v>
      </c>
      <c r="K618" s="5" t="str">
        <f t="shared" si="9"/>
        <v>Low</v>
      </c>
      <c r="L618" s="5" t="str">
        <f>TEXT(Table1[[#This Row],[Order_Date]],"MMM")</f>
        <v>May</v>
      </c>
      <c r="M618" s="5" t="str">
        <f>IF(Table1[[#This Row],[Profit]]&gt;=1000,"Excellent",IF(Table1[[#This Row],[Profit]]&gt;=500,"Good", IF(Table1[[#This Row],[Profit]]&lt;500,"Low")))</f>
        <v>Low</v>
      </c>
      <c r="N618" s="7" t="str">
        <f>TEXT(Table1[[#This Row],[Order_Date]],"YYY")</f>
        <v>2024</v>
      </c>
    </row>
    <row r="619" spans="1:14" x14ac:dyDescent="0.3">
      <c r="A619" s="4">
        <v>45436</v>
      </c>
      <c r="B619" s="5" t="s">
        <v>13</v>
      </c>
      <c r="C619" s="5" t="s">
        <v>19</v>
      </c>
      <c r="D619" s="23">
        <v>109.01</v>
      </c>
      <c r="E619" s="23">
        <v>46.09</v>
      </c>
      <c r="F619" s="23">
        <v>62.92</v>
      </c>
      <c r="G619" s="5" t="s">
        <v>9</v>
      </c>
      <c r="H619" s="5" t="s">
        <v>21</v>
      </c>
      <c r="I619" s="5" t="s">
        <v>27</v>
      </c>
      <c r="J619" s="6">
        <f>Table1[[#This Row],[Profit]]/Table1[[#This Row],[Sales]]</f>
        <v>0.57719475277497478</v>
      </c>
      <c r="K619" s="5" t="str">
        <f t="shared" si="9"/>
        <v>Low</v>
      </c>
      <c r="L619" s="5" t="str">
        <f>TEXT(Table1[[#This Row],[Order_Date]],"MMM")</f>
        <v>May</v>
      </c>
      <c r="M619" s="5" t="str">
        <f>IF(Table1[[#This Row],[Profit]]&gt;=1000,"Excellent",IF(Table1[[#This Row],[Profit]]&gt;=500,"Good", IF(Table1[[#This Row],[Profit]]&lt;500,"Low")))</f>
        <v>Low</v>
      </c>
      <c r="N619" s="7" t="str">
        <f>TEXT(Table1[[#This Row],[Order_Date]],"YYY")</f>
        <v>2024</v>
      </c>
    </row>
    <row r="620" spans="1:14" x14ac:dyDescent="0.3">
      <c r="A620" s="4">
        <v>45437</v>
      </c>
      <c r="B620" s="5" t="s">
        <v>18</v>
      </c>
      <c r="C620" s="5" t="s">
        <v>14</v>
      </c>
      <c r="D620" s="23">
        <v>20.260000000000002</v>
      </c>
      <c r="E620" s="23">
        <v>6.29</v>
      </c>
      <c r="F620" s="23">
        <v>13.97</v>
      </c>
      <c r="G620" s="5" t="s">
        <v>9</v>
      </c>
      <c r="H620" s="5" t="s">
        <v>33</v>
      </c>
      <c r="I620" s="5" t="s">
        <v>22</v>
      </c>
      <c r="J620" s="6">
        <f>Table1[[#This Row],[Profit]]/Table1[[#This Row],[Sales]]</f>
        <v>0.68953603158933863</v>
      </c>
      <c r="K620" s="5" t="str">
        <f t="shared" si="9"/>
        <v>Low</v>
      </c>
      <c r="L620" s="5" t="str">
        <f>TEXT(Table1[[#This Row],[Order_Date]],"MMM")</f>
        <v>May</v>
      </c>
      <c r="M620" s="5" t="str">
        <f>IF(Table1[[#This Row],[Profit]]&gt;=1000,"Excellent",IF(Table1[[#This Row],[Profit]]&gt;=500,"Good", IF(Table1[[#This Row],[Profit]]&lt;500,"Low")))</f>
        <v>Low</v>
      </c>
      <c r="N620" s="7" t="str">
        <f>TEXT(Table1[[#This Row],[Order_Date]],"YYY")</f>
        <v>2024</v>
      </c>
    </row>
    <row r="621" spans="1:14" x14ac:dyDescent="0.3">
      <c r="A621" s="4">
        <v>45437</v>
      </c>
      <c r="B621" s="5" t="s">
        <v>13</v>
      </c>
      <c r="C621" s="5" t="s">
        <v>26</v>
      </c>
      <c r="D621" s="23">
        <v>735.21</v>
      </c>
      <c r="E621" s="23">
        <v>191.36</v>
      </c>
      <c r="F621" s="23">
        <v>543.85</v>
      </c>
      <c r="G621" s="5" t="s">
        <v>32</v>
      </c>
      <c r="H621" s="5" t="s">
        <v>37</v>
      </c>
      <c r="I621" s="5" t="s">
        <v>27</v>
      </c>
      <c r="J621" s="6">
        <f>Table1[[#This Row],[Profit]]/Table1[[#This Row],[Sales]]</f>
        <v>0.7397206240393901</v>
      </c>
      <c r="K621" s="5" t="str">
        <f t="shared" si="9"/>
        <v>Low</v>
      </c>
      <c r="L621" s="5" t="str">
        <f>TEXT(Table1[[#This Row],[Order_Date]],"MMM")</f>
        <v>May</v>
      </c>
      <c r="M621" s="5" t="str">
        <f>IF(Table1[[#This Row],[Profit]]&gt;=1000,"Excellent",IF(Table1[[#This Row],[Profit]]&gt;=500,"Good", IF(Table1[[#This Row],[Profit]]&lt;500,"Low")))</f>
        <v>Good</v>
      </c>
      <c r="N621" s="7" t="str">
        <f>TEXT(Table1[[#This Row],[Order_Date]],"YYY")</f>
        <v>2024</v>
      </c>
    </row>
    <row r="622" spans="1:14" x14ac:dyDescent="0.3">
      <c r="A622" s="4">
        <v>45437</v>
      </c>
      <c r="B622" s="5" t="s">
        <v>0</v>
      </c>
      <c r="C622" s="5" t="s">
        <v>19</v>
      </c>
      <c r="D622" s="23">
        <v>108.47</v>
      </c>
      <c r="E622" s="23">
        <v>29.66</v>
      </c>
      <c r="F622" s="23">
        <v>78.81</v>
      </c>
      <c r="G622" s="5" t="s">
        <v>9</v>
      </c>
      <c r="H622" s="5" t="s">
        <v>35</v>
      </c>
      <c r="I622" s="5" t="s">
        <v>4</v>
      </c>
      <c r="J622" s="6">
        <f>Table1[[#This Row],[Profit]]/Table1[[#This Row],[Sales]]</f>
        <v>0.72656033926431274</v>
      </c>
      <c r="K622" s="5" t="str">
        <f t="shared" si="9"/>
        <v>Low</v>
      </c>
      <c r="L622" s="5" t="str">
        <f>TEXT(Table1[[#This Row],[Order_Date]],"MMM")</f>
        <v>May</v>
      </c>
      <c r="M622" s="5" t="str">
        <f>IF(Table1[[#This Row],[Profit]]&gt;=1000,"Excellent",IF(Table1[[#This Row],[Profit]]&gt;=500,"Good", IF(Table1[[#This Row],[Profit]]&lt;500,"Low")))</f>
        <v>Low</v>
      </c>
      <c r="N622" s="7" t="str">
        <f>TEXT(Table1[[#This Row],[Order_Date]],"YYY")</f>
        <v>2024</v>
      </c>
    </row>
    <row r="623" spans="1:14" x14ac:dyDescent="0.3">
      <c r="A623" s="4">
        <v>45437</v>
      </c>
      <c r="B623" s="5" t="s">
        <v>16</v>
      </c>
      <c r="C623" s="5" t="s">
        <v>1</v>
      </c>
      <c r="D623" s="23">
        <v>277.83999999999997</v>
      </c>
      <c r="E623" s="23">
        <v>128.04</v>
      </c>
      <c r="F623" s="23">
        <v>149.80000000000001</v>
      </c>
      <c r="G623" s="5" t="s">
        <v>2</v>
      </c>
      <c r="H623" s="5" t="s">
        <v>7</v>
      </c>
      <c r="I623" s="5" t="s">
        <v>4</v>
      </c>
      <c r="J623" s="6">
        <f>Table1[[#This Row],[Profit]]/Table1[[#This Row],[Sales]]</f>
        <v>0.53915922833285357</v>
      </c>
      <c r="K623" s="5" t="str">
        <f t="shared" si="9"/>
        <v>Low</v>
      </c>
      <c r="L623" s="5" t="str">
        <f>TEXT(Table1[[#This Row],[Order_Date]],"MMM")</f>
        <v>May</v>
      </c>
      <c r="M623" s="5" t="str">
        <f>IF(Table1[[#This Row],[Profit]]&gt;=1000,"Excellent",IF(Table1[[#This Row],[Profit]]&gt;=500,"Good", IF(Table1[[#This Row],[Profit]]&lt;500,"Low")))</f>
        <v>Low</v>
      </c>
      <c r="N623" s="7" t="str">
        <f>TEXT(Table1[[#This Row],[Order_Date]],"YYY")</f>
        <v>2024</v>
      </c>
    </row>
    <row r="624" spans="1:14" x14ac:dyDescent="0.3">
      <c r="A624" s="4">
        <v>45438</v>
      </c>
      <c r="B624" s="5" t="s">
        <v>18</v>
      </c>
      <c r="C624" s="5" t="s">
        <v>23</v>
      </c>
      <c r="D624" s="23">
        <v>694.31</v>
      </c>
      <c r="E624" s="23">
        <v>333.71</v>
      </c>
      <c r="F624" s="23">
        <v>360.6</v>
      </c>
      <c r="G624" s="5" t="s">
        <v>20</v>
      </c>
      <c r="H624" s="5" t="s">
        <v>21</v>
      </c>
      <c r="I624" s="5" t="s">
        <v>11</v>
      </c>
      <c r="J624" s="6">
        <f>Table1[[#This Row],[Profit]]/Table1[[#This Row],[Sales]]</f>
        <v>0.51936454897668194</v>
      </c>
      <c r="K624" s="5" t="str">
        <f t="shared" si="9"/>
        <v>Low</v>
      </c>
      <c r="L624" s="5" t="str">
        <f>TEXT(Table1[[#This Row],[Order_Date]],"MMM")</f>
        <v>May</v>
      </c>
      <c r="M624" s="5" t="str">
        <f>IF(Table1[[#This Row],[Profit]]&gt;=1000,"Excellent",IF(Table1[[#This Row],[Profit]]&gt;=500,"Good", IF(Table1[[#This Row],[Profit]]&lt;500,"Low")))</f>
        <v>Low</v>
      </c>
      <c r="N624" s="7" t="str">
        <f>TEXT(Table1[[#This Row],[Order_Date]],"YYY")</f>
        <v>2024</v>
      </c>
    </row>
    <row r="625" spans="1:14" x14ac:dyDescent="0.3">
      <c r="A625" s="4">
        <v>45439</v>
      </c>
      <c r="B625" s="5" t="s">
        <v>13</v>
      </c>
      <c r="C625" s="5" t="s">
        <v>5</v>
      </c>
      <c r="D625" s="23">
        <v>2303.0500000000002</v>
      </c>
      <c r="E625" s="23">
        <v>973.08</v>
      </c>
      <c r="F625" s="23">
        <v>1329.97</v>
      </c>
      <c r="G625" s="5" t="s">
        <v>6</v>
      </c>
      <c r="H625" s="5" t="s">
        <v>7</v>
      </c>
      <c r="I625" s="5" t="s">
        <v>4</v>
      </c>
      <c r="J625" s="6">
        <f>Table1[[#This Row],[Profit]]/Table1[[#This Row],[Sales]]</f>
        <v>0.57748203469312431</v>
      </c>
      <c r="K625" s="5" t="str">
        <f t="shared" si="9"/>
        <v>High</v>
      </c>
      <c r="L625" s="5" t="str">
        <f>TEXT(Table1[[#This Row],[Order_Date]],"MMM")</f>
        <v>May</v>
      </c>
      <c r="M625" s="5" t="str">
        <f>IF(Table1[[#This Row],[Profit]]&gt;=1000,"Excellent",IF(Table1[[#This Row],[Profit]]&gt;=500,"Good", IF(Table1[[#This Row],[Profit]]&lt;500,"Low")))</f>
        <v>Excellent</v>
      </c>
      <c r="N625" s="7" t="str">
        <f>TEXT(Table1[[#This Row],[Order_Date]],"YYY")</f>
        <v>2024</v>
      </c>
    </row>
    <row r="626" spans="1:14" x14ac:dyDescent="0.3">
      <c r="A626" s="4">
        <v>45439</v>
      </c>
      <c r="B626" s="5" t="s">
        <v>18</v>
      </c>
      <c r="C626" s="5" t="s">
        <v>14</v>
      </c>
      <c r="D626" s="23">
        <v>45.1</v>
      </c>
      <c r="E626" s="23">
        <v>22.46</v>
      </c>
      <c r="F626" s="23">
        <v>22.64</v>
      </c>
      <c r="G626" s="5" t="s">
        <v>20</v>
      </c>
      <c r="H626" s="5" t="s">
        <v>21</v>
      </c>
      <c r="I626" s="5" t="s">
        <v>17</v>
      </c>
      <c r="J626" s="6">
        <f>Table1[[#This Row],[Profit]]/Table1[[#This Row],[Sales]]</f>
        <v>0.50199556541019952</v>
      </c>
      <c r="K626" s="5" t="str">
        <f t="shared" si="9"/>
        <v>Low</v>
      </c>
      <c r="L626" s="5" t="str">
        <f>TEXT(Table1[[#This Row],[Order_Date]],"MMM")</f>
        <v>May</v>
      </c>
      <c r="M626" s="5" t="str">
        <f>IF(Table1[[#This Row],[Profit]]&gt;=1000,"Excellent",IF(Table1[[#This Row],[Profit]]&gt;=500,"Good", IF(Table1[[#This Row],[Profit]]&lt;500,"Low")))</f>
        <v>Low</v>
      </c>
      <c r="N626" s="7" t="str">
        <f>TEXT(Table1[[#This Row],[Order_Date]],"YYY")</f>
        <v>2024</v>
      </c>
    </row>
    <row r="627" spans="1:14" x14ac:dyDescent="0.3">
      <c r="A627" s="4">
        <v>45439</v>
      </c>
      <c r="B627" s="5" t="s">
        <v>13</v>
      </c>
      <c r="C627" s="5" t="s">
        <v>31</v>
      </c>
      <c r="D627" s="23">
        <v>37.04</v>
      </c>
      <c r="E627" s="23">
        <v>14.63</v>
      </c>
      <c r="F627" s="23">
        <v>22.41</v>
      </c>
      <c r="G627" s="5" t="s">
        <v>32</v>
      </c>
      <c r="H627" s="5" t="s">
        <v>7</v>
      </c>
      <c r="I627" s="5" t="s">
        <v>4</v>
      </c>
      <c r="J627" s="6">
        <f>Table1[[#This Row],[Profit]]/Table1[[#This Row],[Sales]]</f>
        <v>0.60502159827213819</v>
      </c>
      <c r="K627" s="5" t="str">
        <f t="shared" si="9"/>
        <v>Low</v>
      </c>
      <c r="L627" s="5" t="str">
        <f>TEXT(Table1[[#This Row],[Order_Date]],"MMM")</f>
        <v>May</v>
      </c>
      <c r="M627" s="5" t="str">
        <f>IF(Table1[[#This Row],[Profit]]&gt;=1000,"Excellent",IF(Table1[[#This Row],[Profit]]&gt;=500,"Good", IF(Table1[[#This Row],[Profit]]&lt;500,"Low")))</f>
        <v>Low</v>
      </c>
      <c r="N627" s="7" t="str">
        <f>TEXT(Table1[[#This Row],[Order_Date]],"YYY")</f>
        <v>2024</v>
      </c>
    </row>
    <row r="628" spans="1:14" x14ac:dyDescent="0.3">
      <c r="A628" s="4">
        <v>45439</v>
      </c>
      <c r="B628" s="5" t="s">
        <v>8</v>
      </c>
      <c r="C628" s="5" t="s">
        <v>1</v>
      </c>
      <c r="D628" s="23">
        <v>290.17</v>
      </c>
      <c r="E628" s="23">
        <v>157.1</v>
      </c>
      <c r="F628" s="23">
        <v>133.07</v>
      </c>
      <c r="G628" s="5" t="s">
        <v>20</v>
      </c>
      <c r="H628" s="5" t="s">
        <v>34</v>
      </c>
      <c r="I628" s="5" t="s">
        <v>11</v>
      </c>
      <c r="J628" s="6">
        <f>Table1[[#This Row],[Profit]]/Table1[[#This Row],[Sales]]</f>
        <v>0.45859323844642791</v>
      </c>
      <c r="K628" s="5" t="str">
        <f t="shared" si="9"/>
        <v>Low</v>
      </c>
      <c r="L628" s="5" t="str">
        <f>TEXT(Table1[[#This Row],[Order_Date]],"MMM")</f>
        <v>May</v>
      </c>
      <c r="M628" s="5" t="str">
        <f>IF(Table1[[#This Row],[Profit]]&gt;=1000,"Excellent",IF(Table1[[#This Row],[Profit]]&gt;=500,"Good", IF(Table1[[#This Row],[Profit]]&lt;500,"Low")))</f>
        <v>Low</v>
      </c>
      <c r="N628" s="7" t="str">
        <f>TEXT(Table1[[#This Row],[Order_Date]],"YYY")</f>
        <v>2024</v>
      </c>
    </row>
    <row r="629" spans="1:14" x14ac:dyDescent="0.3">
      <c r="A629" s="4">
        <v>45441</v>
      </c>
      <c r="B629" s="5" t="s">
        <v>8</v>
      </c>
      <c r="C629" s="5" t="s">
        <v>31</v>
      </c>
      <c r="D629" s="23">
        <v>256.11</v>
      </c>
      <c r="E629" s="23">
        <v>67.709999999999994</v>
      </c>
      <c r="F629" s="23">
        <v>188.4</v>
      </c>
      <c r="G629" s="5" t="s">
        <v>2</v>
      </c>
      <c r="H629" s="5" t="s">
        <v>24</v>
      </c>
      <c r="I629" s="5" t="s">
        <v>22</v>
      </c>
      <c r="J629" s="6">
        <f>Table1[[#This Row],[Profit]]/Table1[[#This Row],[Sales]]</f>
        <v>0.73562141267424153</v>
      </c>
      <c r="K629" s="5" t="str">
        <f t="shared" si="9"/>
        <v>Low</v>
      </c>
      <c r="L629" s="5" t="str">
        <f>TEXT(Table1[[#This Row],[Order_Date]],"MMM")</f>
        <v>May</v>
      </c>
      <c r="M629" s="5" t="str">
        <f>IF(Table1[[#This Row],[Profit]]&gt;=1000,"Excellent",IF(Table1[[#This Row],[Profit]]&gt;=500,"Good", IF(Table1[[#This Row],[Profit]]&lt;500,"Low")))</f>
        <v>Low</v>
      </c>
      <c r="N629" s="7" t="str">
        <f>TEXT(Table1[[#This Row],[Order_Date]],"YYY")</f>
        <v>2024</v>
      </c>
    </row>
    <row r="630" spans="1:14" x14ac:dyDescent="0.3">
      <c r="A630" s="4">
        <v>45441</v>
      </c>
      <c r="B630" s="5" t="s">
        <v>13</v>
      </c>
      <c r="C630" s="5" t="s">
        <v>19</v>
      </c>
      <c r="D630" s="23">
        <v>109.56</v>
      </c>
      <c r="E630" s="23">
        <v>44.52</v>
      </c>
      <c r="F630" s="23">
        <v>65.040000000000006</v>
      </c>
      <c r="G630" s="5" t="s">
        <v>9</v>
      </c>
      <c r="H630" s="5" t="s">
        <v>29</v>
      </c>
      <c r="I630" s="5" t="s">
        <v>4</v>
      </c>
      <c r="J630" s="6">
        <f>Table1[[#This Row],[Profit]]/Table1[[#This Row],[Sales]]</f>
        <v>0.59364731653888281</v>
      </c>
      <c r="K630" s="5" t="str">
        <f t="shared" si="9"/>
        <v>Low</v>
      </c>
      <c r="L630" s="5" t="str">
        <f>TEXT(Table1[[#This Row],[Order_Date]],"MMM")</f>
        <v>May</v>
      </c>
      <c r="M630" s="5" t="str">
        <f>IF(Table1[[#This Row],[Profit]]&gt;=1000,"Excellent",IF(Table1[[#This Row],[Profit]]&gt;=500,"Good", IF(Table1[[#This Row],[Profit]]&lt;500,"Low")))</f>
        <v>Low</v>
      </c>
      <c r="N630" s="7" t="str">
        <f>TEXT(Table1[[#This Row],[Order_Date]],"YYY")</f>
        <v>2024</v>
      </c>
    </row>
    <row r="631" spans="1:14" x14ac:dyDescent="0.3">
      <c r="A631" s="4">
        <v>45441</v>
      </c>
      <c r="B631" s="5" t="s">
        <v>8</v>
      </c>
      <c r="C631" s="5" t="s">
        <v>26</v>
      </c>
      <c r="D631" s="23">
        <v>1084.8399999999999</v>
      </c>
      <c r="E631" s="23">
        <v>371.03</v>
      </c>
      <c r="F631" s="23">
        <v>713.81</v>
      </c>
      <c r="G631" s="5" t="s">
        <v>6</v>
      </c>
      <c r="H631" s="5" t="s">
        <v>34</v>
      </c>
      <c r="I631" s="5" t="s">
        <v>27</v>
      </c>
      <c r="J631" s="6">
        <f>Table1[[#This Row],[Profit]]/Table1[[#This Row],[Sales]]</f>
        <v>0.6579864311787913</v>
      </c>
      <c r="K631" s="5" t="str">
        <f t="shared" si="9"/>
        <v>Low</v>
      </c>
      <c r="L631" s="5" t="str">
        <f>TEXT(Table1[[#This Row],[Order_Date]],"MMM")</f>
        <v>May</v>
      </c>
      <c r="M631" s="5" t="str">
        <f>IF(Table1[[#This Row],[Profit]]&gt;=1000,"Excellent",IF(Table1[[#This Row],[Profit]]&gt;=500,"Good", IF(Table1[[#This Row],[Profit]]&lt;500,"Low")))</f>
        <v>Good</v>
      </c>
      <c r="N631" s="7" t="str">
        <f>TEXT(Table1[[#This Row],[Order_Date]],"YYY")</f>
        <v>2024</v>
      </c>
    </row>
    <row r="632" spans="1:14" x14ac:dyDescent="0.3">
      <c r="A632" s="4">
        <v>45442</v>
      </c>
      <c r="B632" s="5" t="s">
        <v>8</v>
      </c>
      <c r="C632" s="5" t="s">
        <v>19</v>
      </c>
      <c r="D632" s="23">
        <v>27.48</v>
      </c>
      <c r="E632" s="23">
        <v>10.5</v>
      </c>
      <c r="F632" s="23">
        <v>16.98</v>
      </c>
      <c r="G632" s="5" t="s">
        <v>6</v>
      </c>
      <c r="H632" s="5" t="s">
        <v>28</v>
      </c>
      <c r="I632" s="5" t="s">
        <v>27</v>
      </c>
      <c r="J632" s="6">
        <f>Table1[[#This Row],[Profit]]/Table1[[#This Row],[Sales]]</f>
        <v>0.61790393013100442</v>
      </c>
      <c r="K632" s="5" t="str">
        <f t="shared" si="9"/>
        <v>Low</v>
      </c>
      <c r="L632" s="5" t="str">
        <f>TEXT(Table1[[#This Row],[Order_Date]],"MMM")</f>
        <v>May</v>
      </c>
      <c r="M632" s="5" t="str">
        <f>IF(Table1[[#This Row],[Profit]]&gt;=1000,"Excellent",IF(Table1[[#This Row],[Profit]]&gt;=500,"Good", IF(Table1[[#This Row],[Profit]]&lt;500,"Low")))</f>
        <v>Low</v>
      </c>
      <c r="N632" s="7" t="str">
        <f>TEXT(Table1[[#This Row],[Order_Date]],"YYY")</f>
        <v>2024</v>
      </c>
    </row>
    <row r="633" spans="1:14" x14ac:dyDescent="0.3">
      <c r="A633" s="4">
        <v>45442</v>
      </c>
      <c r="B633" s="5" t="s">
        <v>13</v>
      </c>
      <c r="C633" s="5" t="s">
        <v>19</v>
      </c>
      <c r="D633" s="23">
        <v>14.62</v>
      </c>
      <c r="E633" s="23">
        <v>5.16</v>
      </c>
      <c r="F633" s="23">
        <v>9.4600000000000009</v>
      </c>
      <c r="G633" s="5" t="s">
        <v>20</v>
      </c>
      <c r="H633" s="5" t="s">
        <v>33</v>
      </c>
      <c r="I633" s="5" t="s">
        <v>27</v>
      </c>
      <c r="J633" s="6">
        <f>Table1[[#This Row],[Profit]]/Table1[[#This Row],[Sales]]</f>
        <v>0.64705882352941191</v>
      </c>
      <c r="K633" s="5" t="str">
        <f t="shared" si="9"/>
        <v>Low</v>
      </c>
      <c r="L633" s="5" t="str">
        <f>TEXT(Table1[[#This Row],[Order_Date]],"MMM")</f>
        <v>May</v>
      </c>
      <c r="M633" s="5" t="str">
        <f>IF(Table1[[#This Row],[Profit]]&gt;=1000,"Excellent",IF(Table1[[#This Row],[Profit]]&gt;=500,"Good", IF(Table1[[#This Row],[Profit]]&lt;500,"Low")))</f>
        <v>Low</v>
      </c>
      <c r="N633" s="7" t="str">
        <f>TEXT(Table1[[#This Row],[Order_Date]],"YYY")</f>
        <v>2024</v>
      </c>
    </row>
    <row r="634" spans="1:14" x14ac:dyDescent="0.3">
      <c r="A634" s="4">
        <v>45442</v>
      </c>
      <c r="B634" s="5" t="s">
        <v>13</v>
      </c>
      <c r="C634" s="5" t="s">
        <v>1</v>
      </c>
      <c r="D634" s="23">
        <v>745.54</v>
      </c>
      <c r="E634" s="23">
        <v>387.45</v>
      </c>
      <c r="F634" s="23">
        <v>358.09</v>
      </c>
      <c r="G634" s="5" t="s">
        <v>2</v>
      </c>
      <c r="H634" s="5" t="s">
        <v>24</v>
      </c>
      <c r="I634" s="5" t="s">
        <v>11</v>
      </c>
      <c r="J634" s="6">
        <f>Table1[[#This Row],[Profit]]/Table1[[#This Row],[Sales]]</f>
        <v>0.48030957426831555</v>
      </c>
      <c r="K634" s="5" t="str">
        <f t="shared" si="9"/>
        <v>Low</v>
      </c>
      <c r="L634" s="5" t="str">
        <f>TEXT(Table1[[#This Row],[Order_Date]],"MMM")</f>
        <v>May</v>
      </c>
      <c r="M634" s="5" t="str">
        <f>IF(Table1[[#This Row],[Profit]]&gt;=1000,"Excellent",IF(Table1[[#This Row],[Profit]]&gt;=500,"Good", IF(Table1[[#This Row],[Profit]]&lt;500,"Low")))</f>
        <v>Low</v>
      </c>
      <c r="N634" s="7" t="str">
        <f>TEXT(Table1[[#This Row],[Order_Date]],"YYY")</f>
        <v>2024</v>
      </c>
    </row>
    <row r="635" spans="1:14" x14ac:dyDescent="0.3">
      <c r="A635" s="4">
        <v>45443</v>
      </c>
      <c r="B635" s="5" t="s">
        <v>13</v>
      </c>
      <c r="C635" s="5" t="s">
        <v>1</v>
      </c>
      <c r="D635" s="23">
        <v>413.31</v>
      </c>
      <c r="E635" s="23">
        <v>202.59</v>
      </c>
      <c r="F635" s="23">
        <v>210.72</v>
      </c>
      <c r="G635" s="5" t="s">
        <v>6</v>
      </c>
      <c r="H635" s="5" t="s">
        <v>34</v>
      </c>
      <c r="I635" s="5" t="s">
        <v>4</v>
      </c>
      <c r="J635" s="6">
        <f>Table1[[#This Row],[Profit]]/Table1[[#This Row],[Sales]]</f>
        <v>0.50983523263410035</v>
      </c>
      <c r="K635" s="5" t="str">
        <f t="shared" si="9"/>
        <v>Low</v>
      </c>
      <c r="L635" s="5" t="str">
        <f>TEXT(Table1[[#This Row],[Order_Date]],"MMM")</f>
        <v>May</v>
      </c>
      <c r="M635" s="5" t="str">
        <f>IF(Table1[[#This Row],[Profit]]&gt;=1000,"Excellent",IF(Table1[[#This Row],[Profit]]&gt;=500,"Good", IF(Table1[[#This Row],[Profit]]&lt;500,"Low")))</f>
        <v>Low</v>
      </c>
      <c r="N635" s="7" t="str">
        <f>TEXT(Table1[[#This Row],[Order_Date]],"YYY")</f>
        <v>2024</v>
      </c>
    </row>
    <row r="636" spans="1:14" x14ac:dyDescent="0.3">
      <c r="A636" s="4">
        <v>45444</v>
      </c>
      <c r="B636" s="5" t="s">
        <v>18</v>
      </c>
      <c r="C636" s="5" t="s">
        <v>19</v>
      </c>
      <c r="D636" s="23">
        <v>107.32</v>
      </c>
      <c r="E636" s="23">
        <v>34.450000000000003</v>
      </c>
      <c r="F636" s="23">
        <v>72.87</v>
      </c>
      <c r="G636" s="5" t="s">
        <v>32</v>
      </c>
      <c r="H636" s="5" t="s">
        <v>30</v>
      </c>
      <c r="I636" s="5" t="s">
        <v>11</v>
      </c>
      <c r="J636" s="6">
        <f>Table1[[#This Row],[Profit]]/Table1[[#This Row],[Sales]]</f>
        <v>0.67899739098024603</v>
      </c>
      <c r="K636" s="5" t="str">
        <f t="shared" si="9"/>
        <v>Low</v>
      </c>
      <c r="L636" s="5" t="str">
        <f>TEXT(Table1[[#This Row],[Order_Date]],"MMM")</f>
        <v>Jun</v>
      </c>
      <c r="M636" s="5" t="str">
        <f>IF(Table1[[#This Row],[Profit]]&gt;=1000,"Excellent",IF(Table1[[#This Row],[Profit]]&gt;=500,"Good", IF(Table1[[#This Row],[Profit]]&lt;500,"Low")))</f>
        <v>Low</v>
      </c>
      <c r="N636" s="7" t="str">
        <f>TEXT(Table1[[#This Row],[Order_Date]],"YYY")</f>
        <v>2024</v>
      </c>
    </row>
    <row r="637" spans="1:14" x14ac:dyDescent="0.3">
      <c r="A637" s="4">
        <v>45444</v>
      </c>
      <c r="B637" s="5" t="s">
        <v>8</v>
      </c>
      <c r="C637" s="5" t="s">
        <v>26</v>
      </c>
      <c r="D637" s="23">
        <v>959.52</v>
      </c>
      <c r="E637" s="23">
        <v>308.12</v>
      </c>
      <c r="F637" s="23">
        <v>651.4</v>
      </c>
      <c r="G637" s="5" t="s">
        <v>2</v>
      </c>
      <c r="H637" s="5" t="s">
        <v>21</v>
      </c>
      <c r="I637" s="5" t="s">
        <v>11</v>
      </c>
      <c r="J637" s="6">
        <f>Table1[[#This Row],[Profit]]/Table1[[#This Row],[Sales]]</f>
        <v>0.67888110722027684</v>
      </c>
      <c r="K637" s="5" t="str">
        <f t="shared" si="9"/>
        <v>Low</v>
      </c>
      <c r="L637" s="5" t="str">
        <f>TEXT(Table1[[#This Row],[Order_Date]],"MMM")</f>
        <v>Jun</v>
      </c>
      <c r="M637" s="5" t="str">
        <f>IF(Table1[[#This Row],[Profit]]&gt;=1000,"Excellent",IF(Table1[[#This Row],[Profit]]&gt;=500,"Good", IF(Table1[[#This Row],[Profit]]&lt;500,"Low")))</f>
        <v>Good</v>
      </c>
      <c r="N637" s="7" t="str">
        <f>TEXT(Table1[[#This Row],[Order_Date]],"YYY")</f>
        <v>2024</v>
      </c>
    </row>
    <row r="638" spans="1:14" x14ac:dyDescent="0.3">
      <c r="A638" s="4">
        <v>45445</v>
      </c>
      <c r="B638" s="5" t="s">
        <v>13</v>
      </c>
      <c r="C638" s="5" t="s">
        <v>1</v>
      </c>
      <c r="D638" s="23">
        <v>376.93</v>
      </c>
      <c r="E638" s="23">
        <v>174.57</v>
      </c>
      <c r="F638" s="23">
        <v>202.36</v>
      </c>
      <c r="G638" s="5" t="s">
        <v>20</v>
      </c>
      <c r="H638" s="5" t="s">
        <v>10</v>
      </c>
      <c r="I638" s="5" t="s">
        <v>27</v>
      </c>
      <c r="J638" s="6">
        <f>Table1[[#This Row],[Profit]]/Table1[[#This Row],[Sales]]</f>
        <v>0.53686360862759663</v>
      </c>
      <c r="K638" s="5" t="str">
        <f t="shared" si="9"/>
        <v>Low</v>
      </c>
      <c r="L638" s="5" t="str">
        <f>TEXT(Table1[[#This Row],[Order_Date]],"MMM")</f>
        <v>Jun</v>
      </c>
      <c r="M638" s="5" t="str">
        <f>IF(Table1[[#This Row],[Profit]]&gt;=1000,"Excellent",IF(Table1[[#This Row],[Profit]]&gt;=500,"Good", IF(Table1[[#This Row],[Profit]]&lt;500,"Low")))</f>
        <v>Low</v>
      </c>
      <c r="N638" s="7" t="str">
        <f>TEXT(Table1[[#This Row],[Order_Date]],"YYY")</f>
        <v>2024</v>
      </c>
    </row>
    <row r="639" spans="1:14" x14ac:dyDescent="0.3">
      <c r="A639" s="4">
        <v>45445</v>
      </c>
      <c r="B639" s="5" t="s">
        <v>8</v>
      </c>
      <c r="C639" s="5" t="s">
        <v>31</v>
      </c>
      <c r="D639" s="23">
        <v>157.41999999999999</v>
      </c>
      <c r="E639" s="23">
        <v>38.22</v>
      </c>
      <c r="F639" s="23">
        <v>119.2</v>
      </c>
      <c r="G639" s="5" t="s">
        <v>20</v>
      </c>
      <c r="H639" s="5" t="s">
        <v>3</v>
      </c>
      <c r="I639" s="5" t="s">
        <v>11</v>
      </c>
      <c r="J639" s="6">
        <f>Table1[[#This Row],[Profit]]/Table1[[#This Row],[Sales]]</f>
        <v>0.75721001143437949</v>
      </c>
      <c r="K639" s="5" t="str">
        <f t="shared" si="9"/>
        <v>Low</v>
      </c>
      <c r="L639" s="5" t="str">
        <f>TEXT(Table1[[#This Row],[Order_Date]],"MMM")</f>
        <v>Jun</v>
      </c>
      <c r="M639" s="5" t="str">
        <f>IF(Table1[[#This Row],[Profit]]&gt;=1000,"Excellent",IF(Table1[[#This Row],[Profit]]&gt;=500,"Good", IF(Table1[[#This Row],[Profit]]&lt;500,"Low")))</f>
        <v>Low</v>
      </c>
      <c r="N639" s="7" t="str">
        <f>TEXT(Table1[[#This Row],[Order_Date]],"YYY")</f>
        <v>2024</v>
      </c>
    </row>
    <row r="640" spans="1:14" x14ac:dyDescent="0.3">
      <c r="A640" s="4">
        <v>45445</v>
      </c>
      <c r="B640" s="5" t="s">
        <v>18</v>
      </c>
      <c r="C640" s="5" t="s">
        <v>23</v>
      </c>
      <c r="D640" s="23">
        <v>526.23</v>
      </c>
      <c r="E640" s="23">
        <v>195.54</v>
      </c>
      <c r="F640" s="23">
        <v>330.69</v>
      </c>
      <c r="G640" s="5" t="s">
        <v>2</v>
      </c>
      <c r="H640" s="5" t="s">
        <v>29</v>
      </c>
      <c r="I640" s="5" t="s">
        <v>22</v>
      </c>
      <c r="J640" s="6">
        <f>Table1[[#This Row],[Profit]]/Table1[[#This Row],[Sales]]</f>
        <v>0.62841343138931638</v>
      </c>
      <c r="K640" s="5" t="str">
        <f t="shared" si="9"/>
        <v>Low</v>
      </c>
      <c r="L640" s="5" t="str">
        <f>TEXT(Table1[[#This Row],[Order_Date]],"MMM")</f>
        <v>Jun</v>
      </c>
      <c r="M640" s="5" t="str">
        <f>IF(Table1[[#This Row],[Profit]]&gt;=1000,"Excellent",IF(Table1[[#This Row],[Profit]]&gt;=500,"Good", IF(Table1[[#This Row],[Profit]]&lt;500,"Low")))</f>
        <v>Low</v>
      </c>
      <c r="N640" s="7" t="str">
        <f>TEXT(Table1[[#This Row],[Order_Date]],"YYY")</f>
        <v>2024</v>
      </c>
    </row>
    <row r="641" spans="1:14" x14ac:dyDescent="0.3">
      <c r="A641" s="4">
        <v>45447</v>
      </c>
      <c r="B641" s="5" t="s">
        <v>13</v>
      </c>
      <c r="C641" s="5" t="s">
        <v>14</v>
      </c>
      <c r="D641" s="23">
        <v>129.54</v>
      </c>
      <c r="E641" s="23">
        <v>45.35</v>
      </c>
      <c r="F641" s="23">
        <v>84.19</v>
      </c>
      <c r="G641" s="5" t="s">
        <v>32</v>
      </c>
      <c r="H641" s="5" t="s">
        <v>29</v>
      </c>
      <c r="I641" s="5" t="s">
        <v>25</v>
      </c>
      <c r="J641" s="6">
        <f>Table1[[#This Row],[Profit]]/Table1[[#This Row],[Sales]]</f>
        <v>0.64991508414389376</v>
      </c>
      <c r="K641" s="5" t="str">
        <f t="shared" si="9"/>
        <v>Low</v>
      </c>
      <c r="L641" s="5" t="str">
        <f>TEXT(Table1[[#This Row],[Order_Date]],"MMM")</f>
        <v>Jun</v>
      </c>
      <c r="M641" s="5" t="str">
        <f>IF(Table1[[#This Row],[Profit]]&gt;=1000,"Excellent",IF(Table1[[#This Row],[Profit]]&gt;=500,"Good", IF(Table1[[#This Row],[Profit]]&lt;500,"Low")))</f>
        <v>Low</v>
      </c>
      <c r="N641" s="7" t="str">
        <f>TEXT(Table1[[#This Row],[Order_Date]],"YYY")</f>
        <v>2024</v>
      </c>
    </row>
    <row r="642" spans="1:14" x14ac:dyDescent="0.3">
      <c r="A642" s="4">
        <v>45448</v>
      </c>
      <c r="B642" s="5" t="s">
        <v>18</v>
      </c>
      <c r="C642" s="5" t="s">
        <v>14</v>
      </c>
      <c r="D642" s="23">
        <v>64.09</v>
      </c>
      <c r="E642" s="23">
        <v>20.91</v>
      </c>
      <c r="F642" s="23">
        <v>43.18</v>
      </c>
      <c r="G642" s="5" t="s">
        <v>2</v>
      </c>
      <c r="H642" s="5" t="s">
        <v>24</v>
      </c>
      <c r="I642" s="5" t="s">
        <v>17</v>
      </c>
      <c r="J642" s="6">
        <f>Table1[[#This Row],[Profit]]/Table1[[#This Row],[Sales]]</f>
        <v>0.67374005305039786</v>
      </c>
      <c r="K642" s="5" t="str">
        <f t="shared" ref="K642:K705" si="10">IF(D642&gt;=2000,"High",IF(D642&gt;=1500,"Medium","Low"))</f>
        <v>Low</v>
      </c>
      <c r="L642" s="5" t="str">
        <f>TEXT(Table1[[#This Row],[Order_Date]],"MMM")</f>
        <v>Jun</v>
      </c>
      <c r="M642" s="5" t="str">
        <f>IF(Table1[[#This Row],[Profit]]&gt;=1000,"Excellent",IF(Table1[[#This Row],[Profit]]&gt;=500,"Good", IF(Table1[[#This Row],[Profit]]&lt;500,"Low")))</f>
        <v>Low</v>
      </c>
      <c r="N642" s="7" t="str">
        <f>TEXT(Table1[[#This Row],[Order_Date]],"YYY")</f>
        <v>2024</v>
      </c>
    </row>
    <row r="643" spans="1:14" x14ac:dyDescent="0.3">
      <c r="A643" s="4">
        <v>45449</v>
      </c>
      <c r="B643" s="5" t="s">
        <v>16</v>
      </c>
      <c r="C643" s="5" t="s">
        <v>31</v>
      </c>
      <c r="D643" s="23">
        <v>277.48</v>
      </c>
      <c r="E643" s="23">
        <v>61.79</v>
      </c>
      <c r="F643" s="23">
        <v>215.69</v>
      </c>
      <c r="G643" s="5" t="s">
        <v>20</v>
      </c>
      <c r="H643" s="5" t="s">
        <v>34</v>
      </c>
      <c r="I643" s="5" t="s">
        <v>4</v>
      </c>
      <c r="J643" s="6">
        <f>Table1[[#This Row],[Profit]]/Table1[[#This Row],[Sales]]</f>
        <v>0.77731728412858581</v>
      </c>
      <c r="K643" s="5" t="str">
        <f t="shared" si="10"/>
        <v>Low</v>
      </c>
      <c r="L643" s="5" t="str">
        <f>TEXT(Table1[[#This Row],[Order_Date]],"MMM")</f>
        <v>Jun</v>
      </c>
      <c r="M643" s="5" t="str">
        <f>IF(Table1[[#This Row],[Profit]]&gt;=1000,"Excellent",IF(Table1[[#This Row],[Profit]]&gt;=500,"Good", IF(Table1[[#This Row],[Profit]]&lt;500,"Low")))</f>
        <v>Low</v>
      </c>
      <c r="N643" s="7" t="str">
        <f>TEXT(Table1[[#This Row],[Order_Date]],"YYY")</f>
        <v>2024</v>
      </c>
    </row>
    <row r="644" spans="1:14" x14ac:dyDescent="0.3">
      <c r="A644" s="4">
        <v>45451</v>
      </c>
      <c r="B644" s="5" t="s">
        <v>16</v>
      </c>
      <c r="C644" s="5" t="s">
        <v>14</v>
      </c>
      <c r="D644" s="23">
        <v>79.7</v>
      </c>
      <c r="E644" s="23">
        <v>41.82</v>
      </c>
      <c r="F644" s="23">
        <v>37.880000000000003</v>
      </c>
      <c r="G644" s="5" t="s">
        <v>9</v>
      </c>
      <c r="H644" s="5" t="s">
        <v>34</v>
      </c>
      <c r="I644" s="5" t="s">
        <v>17</v>
      </c>
      <c r="J644" s="6">
        <f>Table1[[#This Row],[Profit]]/Table1[[#This Row],[Sales]]</f>
        <v>0.47528230865746551</v>
      </c>
      <c r="K644" s="5" t="str">
        <f t="shared" si="10"/>
        <v>Low</v>
      </c>
      <c r="L644" s="5" t="str">
        <f>TEXT(Table1[[#This Row],[Order_Date]],"MMM")</f>
        <v>Jun</v>
      </c>
      <c r="M644" s="5" t="str">
        <f>IF(Table1[[#This Row],[Profit]]&gt;=1000,"Excellent",IF(Table1[[#This Row],[Profit]]&gt;=500,"Good", IF(Table1[[#This Row],[Profit]]&lt;500,"Low")))</f>
        <v>Low</v>
      </c>
      <c r="N644" s="7" t="str">
        <f>TEXT(Table1[[#This Row],[Order_Date]],"YYY")</f>
        <v>2024</v>
      </c>
    </row>
    <row r="645" spans="1:14" x14ac:dyDescent="0.3">
      <c r="A645" s="4">
        <v>45451</v>
      </c>
      <c r="B645" s="5" t="s">
        <v>18</v>
      </c>
      <c r="C645" s="5" t="s">
        <v>31</v>
      </c>
      <c r="D645" s="23">
        <v>278.45</v>
      </c>
      <c r="E645" s="23">
        <v>109.11</v>
      </c>
      <c r="F645" s="23">
        <v>169.34</v>
      </c>
      <c r="G645" s="5" t="s">
        <v>32</v>
      </c>
      <c r="H645" s="5" t="s">
        <v>36</v>
      </c>
      <c r="I645" s="5" t="s">
        <v>11</v>
      </c>
      <c r="J645" s="6">
        <f>Table1[[#This Row],[Profit]]/Table1[[#This Row],[Sales]]</f>
        <v>0.60815227150296292</v>
      </c>
      <c r="K645" s="5" t="str">
        <f t="shared" si="10"/>
        <v>Low</v>
      </c>
      <c r="L645" s="5" t="str">
        <f>TEXT(Table1[[#This Row],[Order_Date]],"MMM")</f>
        <v>Jun</v>
      </c>
      <c r="M645" s="5" t="str">
        <f>IF(Table1[[#This Row],[Profit]]&gt;=1000,"Excellent",IF(Table1[[#This Row],[Profit]]&gt;=500,"Good", IF(Table1[[#This Row],[Profit]]&lt;500,"Low")))</f>
        <v>Low</v>
      </c>
      <c r="N645" s="7" t="str">
        <f>TEXT(Table1[[#This Row],[Order_Date]],"YYY")</f>
        <v>2024</v>
      </c>
    </row>
    <row r="646" spans="1:14" x14ac:dyDescent="0.3">
      <c r="A646" s="4">
        <v>45451</v>
      </c>
      <c r="B646" s="5" t="s">
        <v>13</v>
      </c>
      <c r="C646" s="5" t="s">
        <v>31</v>
      </c>
      <c r="D646" s="23">
        <v>156.76</v>
      </c>
      <c r="E646" s="23">
        <v>48.21</v>
      </c>
      <c r="F646" s="23">
        <v>108.55</v>
      </c>
      <c r="G646" s="5" t="s">
        <v>32</v>
      </c>
      <c r="H646" s="5" t="s">
        <v>7</v>
      </c>
      <c r="I646" s="5" t="s">
        <v>11</v>
      </c>
      <c r="J646" s="6">
        <f>Table1[[#This Row],[Profit]]/Table1[[#This Row],[Sales]]</f>
        <v>0.69245981117632049</v>
      </c>
      <c r="K646" s="5" t="str">
        <f t="shared" si="10"/>
        <v>Low</v>
      </c>
      <c r="L646" s="5" t="str">
        <f>TEXT(Table1[[#This Row],[Order_Date]],"MMM")</f>
        <v>Jun</v>
      </c>
      <c r="M646" s="5" t="str">
        <f>IF(Table1[[#This Row],[Profit]]&gt;=1000,"Excellent",IF(Table1[[#This Row],[Profit]]&gt;=500,"Good", IF(Table1[[#This Row],[Profit]]&lt;500,"Low")))</f>
        <v>Low</v>
      </c>
      <c r="N646" s="7" t="str">
        <f>TEXT(Table1[[#This Row],[Order_Date]],"YYY")</f>
        <v>2024</v>
      </c>
    </row>
    <row r="647" spans="1:14" x14ac:dyDescent="0.3">
      <c r="A647" s="4">
        <v>45452</v>
      </c>
      <c r="B647" s="5" t="s">
        <v>8</v>
      </c>
      <c r="C647" s="5" t="s">
        <v>23</v>
      </c>
      <c r="D647" s="23">
        <v>457.73</v>
      </c>
      <c r="E647" s="23">
        <v>204.61</v>
      </c>
      <c r="F647" s="23">
        <v>253.12</v>
      </c>
      <c r="G647" s="5" t="s">
        <v>6</v>
      </c>
      <c r="H647" s="5" t="s">
        <v>24</v>
      </c>
      <c r="I647" s="5" t="s">
        <v>4</v>
      </c>
      <c r="J647" s="6">
        <f>Table1[[#This Row],[Profit]]/Table1[[#This Row],[Sales]]</f>
        <v>0.55298975378498239</v>
      </c>
      <c r="K647" s="5" t="str">
        <f t="shared" si="10"/>
        <v>Low</v>
      </c>
      <c r="L647" s="5" t="str">
        <f>TEXT(Table1[[#This Row],[Order_Date]],"MMM")</f>
        <v>Jun</v>
      </c>
      <c r="M647" s="5" t="str">
        <f>IF(Table1[[#This Row],[Profit]]&gt;=1000,"Excellent",IF(Table1[[#This Row],[Profit]]&gt;=500,"Good", IF(Table1[[#This Row],[Profit]]&lt;500,"Low")))</f>
        <v>Low</v>
      </c>
      <c r="N647" s="7" t="str">
        <f>TEXT(Table1[[#This Row],[Order_Date]],"YYY")</f>
        <v>2024</v>
      </c>
    </row>
    <row r="648" spans="1:14" x14ac:dyDescent="0.3">
      <c r="A648" s="4">
        <v>45453</v>
      </c>
      <c r="B648" s="5" t="s">
        <v>16</v>
      </c>
      <c r="C648" s="5" t="s">
        <v>31</v>
      </c>
      <c r="D648" s="23">
        <v>139.4</v>
      </c>
      <c r="E648" s="23">
        <v>50.77</v>
      </c>
      <c r="F648" s="23">
        <v>88.63</v>
      </c>
      <c r="G648" s="5" t="s">
        <v>20</v>
      </c>
      <c r="H648" s="5" t="s">
        <v>7</v>
      </c>
      <c r="I648" s="5" t="s">
        <v>22</v>
      </c>
      <c r="J648" s="6">
        <f>Table1[[#This Row],[Profit]]/Table1[[#This Row],[Sales]]</f>
        <v>0.63579626972740311</v>
      </c>
      <c r="K648" s="5" t="str">
        <f t="shared" si="10"/>
        <v>Low</v>
      </c>
      <c r="L648" s="5" t="str">
        <f>TEXT(Table1[[#This Row],[Order_Date]],"MMM")</f>
        <v>Jun</v>
      </c>
      <c r="M648" s="5" t="str">
        <f>IF(Table1[[#This Row],[Profit]]&gt;=1000,"Excellent",IF(Table1[[#This Row],[Profit]]&gt;=500,"Good", IF(Table1[[#This Row],[Profit]]&lt;500,"Low")))</f>
        <v>Low</v>
      </c>
      <c r="N648" s="7" t="str">
        <f>TEXT(Table1[[#This Row],[Order_Date]],"YYY")</f>
        <v>2024</v>
      </c>
    </row>
    <row r="649" spans="1:14" x14ac:dyDescent="0.3">
      <c r="A649" s="4">
        <v>45453</v>
      </c>
      <c r="B649" s="5" t="s">
        <v>16</v>
      </c>
      <c r="C649" s="5" t="s">
        <v>19</v>
      </c>
      <c r="D649" s="23">
        <v>61.49</v>
      </c>
      <c r="E649" s="23">
        <v>19.25</v>
      </c>
      <c r="F649" s="23">
        <v>42.24</v>
      </c>
      <c r="G649" s="5" t="s">
        <v>6</v>
      </c>
      <c r="H649" s="5" t="s">
        <v>33</v>
      </c>
      <c r="I649" s="5" t="s">
        <v>27</v>
      </c>
      <c r="J649" s="6">
        <f>Table1[[#This Row],[Profit]]/Table1[[#This Row],[Sales]]</f>
        <v>0.68694096601073351</v>
      </c>
      <c r="K649" s="5" t="str">
        <f t="shared" si="10"/>
        <v>Low</v>
      </c>
      <c r="L649" s="5" t="str">
        <f>TEXT(Table1[[#This Row],[Order_Date]],"MMM")</f>
        <v>Jun</v>
      </c>
      <c r="M649" s="5" t="str">
        <f>IF(Table1[[#This Row],[Profit]]&gt;=1000,"Excellent",IF(Table1[[#This Row],[Profit]]&gt;=500,"Good", IF(Table1[[#This Row],[Profit]]&lt;500,"Low")))</f>
        <v>Low</v>
      </c>
      <c r="N649" s="7" t="str">
        <f>TEXT(Table1[[#This Row],[Order_Date]],"YYY")</f>
        <v>2024</v>
      </c>
    </row>
    <row r="650" spans="1:14" x14ac:dyDescent="0.3">
      <c r="A650" s="4">
        <v>45454</v>
      </c>
      <c r="B650" s="5" t="s">
        <v>18</v>
      </c>
      <c r="C650" s="5" t="s">
        <v>14</v>
      </c>
      <c r="D650" s="23">
        <v>202.92</v>
      </c>
      <c r="E650" s="23">
        <v>67.739999999999995</v>
      </c>
      <c r="F650" s="23">
        <v>135.18</v>
      </c>
      <c r="G650" s="5" t="s">
        <v>32</v>
      </c>
      <c r="H650" s="5" t="s">
        <v>37</v>
      </c>
      <c r="I650" s="5" t="s">
        <v>17</v>
      </c>
      <c r="J650" s="6">
        <f>Table1[[#This Row],[Profit]]/Table1[[#This Row],[Sales]]</f>
        <v>0.66617386162034309</v>
      </c>
      <c r="K650" s="5" t="str">
        <f t="shared" si="10"/>
        <v>Low</v>
      </c>
      <c r="L650" s="5" t="str">
        <f>TEXT(Table1[[#This Row],[Order_Date]],"MMM")</f>
        <v>Jun</v>
      </c>
      <c r="M650" s="5" t="str">
        <f>IF(Table1[[#This Row],[Profit]]&gt;=1000,"Excellent",IF(Table1[[#This Row],[Profit]]&gt;=500,"Good", IF(Table1[[#This Row],[Profit]]&lt;500,"Low")))</f>
        <v>Low</v>
      </c>
      <c r="N650" s="7" t="str">
        <f>TEXT(Table1[[#This Row],[Order_Date]],"YYY")</f>
        <v>2024</v>
      </c>
    </row>
    <row r="651" spans="1:14" x14ac:dyDescent="0.3">
      <c r="A651" s="4">
        <v>45454</v>
      </c>
      <c r="B651" s="5" t="s">
        <v>0</v>
      </c>
      <c r="C651" s="5" t="s">
        <v>1</v>
      </c>
      <c r="D651" s="23">
        <v>1068.77</v>
      </c>
      <c r="E651" s="23">
        <v>490.6</v>
      </c>
      <c r="F651" s="23">
        <v>578.16999999999996</v>
      </c>
      <c r="G651" s="5" t="s">
        <v>2</v>
      </c>
      <c r="H651" s="5" t="s">
        <v>24</v>
      </c>
      <c r="I651" s="5" t="s">
        <v>17</v>
      </c>
      <c r="J651" s="6">
        <f>Table1[[#This Row],[Profit]]/Table1[[#This Row],[Sales]]</f>
        <v>0.54096765440646721</v>
      </c>
      <c r="K651" s="5" t="str">
        <f t="shared" si="10"/>
        <v>Low</v>
      </c>
      <c r="L651" s="5" t="str">
        <f>TEXT(Table1[[#This Row],[Order_Date]],"MMM")</f>
        <v>Jun</v>
      </c>
      <c r="M651" s="5" t="str">
        <f>IF(Table1[[#This Row],[Profit]]&gt;=1000,"Excellent",IF(Table1[[#This Row],[Profit]]&gt;=500,"Good", IF(Table1[[#This Row],[Profit]]&lt;500,"Low")))</f>
        <v>Good</v>
      </c>
      <c r="N651" s="7" t="str">
        <f>TEXT(Table1[[#This Row],[Order_Date]],"YYY")</f>
        <v>2024</v>
      </c>
    </row>
    <row r="652" spans="1:14" x14ac:dyDescent="0.3">
      <c r="A652" s="4">
        <v>45454</v>
      </c>
      <c r="B652" s="5" t="s">
        <v>0</v>
      </c>
      <c r="C652" s="5" t="s">
        <v>14</v>
      </c>
      <c r="D652" s="23">
        <v>350.5</v>
      </c>
      <c r="E652" s="23">
        <v>182.82</v>
      </c>
      <c r="F652" s="23">
        <v>167.68</v>
      </c>
      <c r="G652" s="5" t="s">
        <v>2</v>
      </c>
      <c r="H652" s="5" t="s">
        <v>29</v>
      </c>
      <c r="I652" s="5" t="s">
        <v>22</v>
      </c>
      <c r="J652" s="6">
        <f>Table1[[#This Row],[Profit]]/Table1[[#This Row],[Sales]]</f>
        <v>0.47840228245363769</v>
      </c>
      <c r="K652" s="5" t="str">
        <f t="shared" si="10"/>
        <v>Low</v>
      </c>
      <c r="L652" s="5" t="str">
        <f>TEXT(Table1[[#This Row],[Order_Date]],"MMM")</f>
        <v>Jun</v>
      </c>
      <c r="M652" s="5" t="str">
        <f>IF(Table1[[#This Row],[Profit]]&gt;=1000,"Excellent",IF(Table1[[#This Row],[Profit]]&gt;=500,"Good", IF(Table1[[#This Row],[Profit]]&lt;500,"Low")))</f>
        <v>Low</v>
      </c>
      <c r="N652" s="7" t="str">
        <f>TEXT(Table1[[#This Row],[Order_Date]],"YYY")</f>
        <v>2024</v>
      </c>
    </row>
    <row r="653" spans="1:14" x14ac:dyDescent="0.3">
      <c r="A653" s="4">
        <v>45455</v>
      </c>
      <c r="B653" s="5" t="s">
        <v>18</v>
      </c>
      <c r="C653" s="5" t="s">
        <v>5</v>
      </c>
      <c r="D653" s="23">
        <v>1173.1099999999999</v>
      </c>
      <c r="E653" s="23">
        <v>416.03</v>
      </c>
      <c r="F653" s="23">
        <v>757.08</v>
      </c>
      <c r="G653" s="5" t="s">
        <v>6</v>
      </c>
      <c r="H653" s="5" t="s">
        <v>3</v>
      </c>
      <c r="I653" s="5" t="s">
        <v>17</v>
      </c>
      <c r="J653" s="6">
        <f>Table1[[#This Row],[Profit]]/Table1[[#This Row],[Sales]]</f>
        <v>0.6453614750534904</v>
      </c>
      <c r="K653" s="5" t="str">
        <f t="shared" si="10"/>
        <v>Low</v>
      </c>
      <c r="L653" s="5" t="str">
        <f>TEXT(Table1[[#This Row],[Order_Date]],"MMM")</f>
        <v>Jun</v>
      </c>
      <c r="M653" s="5" t="str">
        <f>IF(Table1[[#This Row],[Profit]]&gt;=1000,"Excellent",IF(Table1[[#This Row],[Profit]]&gt;=500,"Good", IF(Table1[[#This Row],[Profit]]&lt;500,"Low")))</f>
        <v>Good</v>
      </c>
      <c r="N653" s="7" t="str">
        <f>TEXT(Table1[[#This Row],[Order_Date]],"YYY")</f>
        <v>2024</v>
      </c>
    </row>
    <row r="654" spans="1:14" x14ac:dyDescent="0.3">
      <c r="A654" s="4">
        <v>45455</v>
      </c>
      <c r="B654" s="5" t="s">
        <v>0</v>
      </c>
      <c r="C654" s="5" t="s">
        <v>19</v>
      </c>
      <c r="D654" s="23">
        <v>63.23</v>
      </c>
      <c r="E654" s="23">
        <v>23.55</v>
      </c>
      <c r="F654" s="23">
        <v>39.68</v>
      </c>
      <c r="G654" s="5" t="s">
        <v>9</v>
      </c>
      <c r="H654" s="5" t="s">
        <v>28</v>
      </c>
      <c r="I654" s="5" t="s">
        <v>4</v>
      </c>
      <c r="J654" s="6">
        <f>Table1[[#This Row],[Profit]]/Table1[[#This Row],[Sales]]</f>
        <v>0.62755021350624707</v>
      </c>
      <c r="K654" s="5" t="str">
        <f t="shared" si="10"/>
        <v>Low</v>
      </c>
      <c r="L654" s="5" t="str">
        <f>TEXT(Table1[[#This Row],[Order_Date]],"MMM")</f>
        <v>Jun</v>
      </c>
      <c r="M654" s="5" t="str">
        <f>IF(Table1[[#This Row],[Profit]]&gt;=1000,"Excellent",IF(Table1[[#This Row],[Profit]]&gt;=500,"Good", IF(Table1[[#This Row],[Profit]]&lt;500,"Low")))</f>
        <v>Low</v>
      </c>
      <c r="N654" s="7" t="str">
        <f>TEXT(Table1[[#This Row],[Order_Date]],"YYY")</f>
        <v>2024</v>
      </c>
    </row>
    <row r="655" spans="1:14" x14ac:dyDescent="0.3">
      <c r="A655" s="4">
        <v>45455</v>
      </c>
      <c r="B655" s="5" t="s">
        <v>16</v>
      </c>
      <c r="C655" s="5" t="s">
        <v>5</v>
      </c>
      <c r="D655" s="23">
        <v>1772.09</v>
      </c>
      <c r="E655" s="23">
        <v>840.35</v>
      </c>
      <c r="F655" s="23">
        <v>931.74</v>
      </c>
      <c r="G655" s="5" t="s">
        <v>32</v>
      </c>
      <c r="H655" s="5" t="s">
        <v>3</v>
      </c>
      <c r="I655" s="5" t="s">
        <v>25</v>
      </c>
      <c r="J655" s="6">
        <f>Table1[[#This Row],[Profit]]/Table1[[#This Row],[Sales]]</f>
        <v>0.52578593638020643</v>
      </c>
      <c r="K655" s="5" t="str">
        <f t="shared" si="10"/>
        <v>Medium</v>
      </c>
      <c r="L655" s="5" t="str">
        <f>TEXT(Table1[[#This Row],[Order_Date]],"MMM")</f>
        <v>Jun</v>
      </c>
      <c r="M655" s="5" t="str">
        <f>IF(Table1[[#This Row],[Profit]]&gt;=1000,"Excellent",IF(Table1[[#This Row],[Profit]]&gt;=500,"Good", IF(Table1[[#This Row],[Profit]]&lt;500,"Low")))</f>
        <v>Good</v>
      </c>
      <c r="N655" s="7" t="str">
        <f>TEXT(Table1[[#This Row],[Order_Date]],"YYY")</f>
        <v>2024</v>
      </c>
    </row>
    <row r="656" spans="1:14" x14ac:dyDescent="0.3">
      <c r="A656" s="4">
        <v>45456</v>
      </c>
      <c r="B656" s="5" t="s">
        <v>0</v>
      </c>
      <c r="C656" s="5" t="s">
        <v>19</v>
      </c>
      <c r="D656" s="23">
        <v>111.48</v>
      </c>
      <c r="E656" s="23">
        <v>41.32</v>
      </c>
      <c r="F656" s="23">
        <v>70.16</v>
      </c>
      <c r="G656" s="5" t="s">
        <v>6</v>
      </c>
      <c r="H656" s="5" t="s">
        <v>36</v>
      </c>
      <c r="I656" s="5" t="s">
        <v>25</v>
      </c>
      <c r="J656" s="6">
        <f>Table1[[#This Row],[Profit]]/Table1[[#This Row],[Sales]]</f>
        <v>0.62935055615357005</v>
      </c>
      <c r="K656" s="5" t="str">
        <f t="shared" si="10"/>
        <v>Low</v>
      </c>
      <c r="L656" s="5" t="str">
        <f>TEXT(Table1[[#This Row],[Order_Date]],"MMM")</f>
        <v>Jun</v>
      </c>
      <c r="M656" s="5" t="str">
        <f>IF(Table1[[#This Row],[Profit]]&gt;=1000,"Excellent",IF(Table1[[#This Row],[Profit]]&gt;=500,"Good", IF(Table1[[#This Row],[Profit]]&lt;500,"Low")))</f>
        <v>Low</v>
      </c>
      <c r="N656" s="7" t="str">
        <f>TEXT(Table1[[#This Row],[Order_Date]],"YYY")</f>
        <v>2024</v>
      </c>
    </row>
    <row r="657" spans="1:14" x14ac:dyDescent="0.3">
      <c r="A657" s="4">
        <v>45457</v>
      </c>
      <c r="B657" s="5" t="s">
        <v>18</v>
      </c>
      <c r="C657" s="5" t="s">
        <v>14</v>
      </c>
      <c r="D657" s="23">
        <v>180.62</v>
      </c>
      <c r="E657" s="23">
        <v>71.819999999999993</v>
      </c>
      <c r="F657" s="23">
        <v>108.8</v>
      </c>
      <c r="G657" s="5" t="s">
        <v>2</v>
      </c>
      <c r="H657" s="5" t="s">
        <v>36</v>
      </c>
      <c r="I657" s="5" t="s">
        <v>22</v>
      </c>
      <c r="J657" s="6">
        <f>Table1[[#This Row],[Profit]]/Table1[[#This Row],[Sales]]</f>
        <v>0.60236961576791048</v>
      </c>
      <c r="K657" s="5" t="str">
        <f t="shared" si="10"/>
        <v>Low</v>
      </c>
      <c r="L657" s="5" t="str">
        <f>TEXT(Table1[[#This Row],[Order_Date]],"MMM")</f>
        <v>Jun</v>
      </c>
      <c r="M657" s="5" t="str">
        <f>IF(Table1[[#This Row],[Profit]]&gt;=1000,"Excellent",IF(Table1[[#This Row],[Profit]]&gt;=500,"Good", IF(Table1[[#This Row],[Profit]]&lt;500,"Low")))</f>
        <v>Low</v>
      </c>
      <c r="N657" s="7" t="str">
        <f>TEXT(Table1[[#This Row],[Order_Date]],"YYY")</f>
        <v>2024</v>
      </c>
    </row>
    <row r="658" spans="1:14" x14ac:dyDescent="0.3">
      <c r="A658" s="4">
        <v>45458</v>
      </c>
      <c r="B658" s="5" t="s">
        <v>13</v>
      </c>
      <c r="C658" s="5" t="s">
        <v>1</v>
      </c>
      <c r="D658" s="23">
        <v>474.32</v>
      </c>
      <c r="E658" s="23">
        <v>264.11</v>
      </c>
      <c r="F658" s="23">
        <v>210.21</v>
      </c>
      <c r="G658" s="5" t="s">
        <v>20</v>
      </c>
      <c r="H658" s="5" t="s">
        <v>10</v>
      </c>
      <c r="I658" s="5" t="s">
        <v>11</v>
      </c>
      <c r="J658" s="6">
        <f>Table1[[#This Row],[Profit]]/Table1[[#This Row],[Sales]]</f>
        <v>0.44318181818181823</v>
      </c>
      <c r="K658" s="5" t="str">
        <f t="shared" si="10"/>
        <v>Low</v>
      </c>
      <c r="L658" s="5" t="str">
        <f>TEXT(Table1[[#This Row],[Order_Date]],"MMM")</f>
        <v>Jun</v>
      </c>
      <c r="M658" s="5" t="str">
        <f>IF(Table1[[#This Row],[Profit]]&gt;=1000,"Excellent",IF(Table1[[#This Row],[Profit]]&gt;=500,"Good", IF(Table1[[#This Row],[Profit]]&lt;500,"Low")))</f>
        <v>Low</v>
      </c>
      <c r="N658" s="7" t="str">
        <f>TEXT(Table1[[#This Row],[Order_Date]],"YYY")</f>
        <v>2024</v>
      </c>
    </row>
    <row r="659" spans="1:14" x14ac:dyDescent="0.3">
      <c r="A659" s="4">
        <v>45458</v>
      </c>
      <c r="B659" s="5" t="s">
        <v>0</v>
      </c>
      <c r="C659" s="5" t="s">
        <v>19</v>
      </c>
      <c r="D659" s="23">
        <v>143.13</v>
      </c>
      <c r="E659" s="23">
        <v>32.76</v>
      </c>
      <c r="F659" s="23">
        <v>110.37</v>
      </c>
      <c r="G659" s="5" t="s">
        <v>20</v>
      </c>
      <c r="H659" s="5" t="s">
        <v>29</v>
      </c>
      <c r="I659" s="5" t="s">
        <v>25</v>
      </c>
      <c r="J659" s="6">
        <f>Table1[[#This Row],[Profit]]/Table1[[#This Row],[Sales]]</f>
        <v>0.77111716621253412</v>
      </c>
      <c r="K659" s="5" t="str">
        <f t="shared" si="10"/>
        <v>Low</v>
      </c>
      <c r="L659" s="5" t="str">
        <f>TEXT(Table1[[#This Row],[Order_Date]],"MMM")</f>
        <v>Jun</v>
      </c>
      <c r="M659" s="5" t="str">
        <f>IF(Table1[[#This Row],[Profit]]&gt;=1000,"Excellent",IF(Table1[[#This Row],[Profit]]&gt;=500,"Good", IF(Table1[[#This Row],[Profit]]&lt;500,"Low")))</f>
        <v>Low</v>
      </c>
      <c r="N659" s="7" t="str">
        <f>TEXT(Table1[[#This Row],[Order_Date]],"YYY")</f>
        <v>2024</v>
      </c>
    </row>
    <row r="660" spans="1:14" x14ac:dyDescent="0.3">
      <c r="A660" s="4">
        <v>45458</v>
      </c>
      <c r="B660" s="5" t="s">
        <v>18</v>
      </c>
      <c r="C660" s="5" t="s">
        <v>26</v>
      </c>
      <c r="D660" s="23">
        <v>656.28</v>
      </c>
      <c r="E660" s="23">
        <v>224.36</v>
      </c>
      <c r="F660" s="23">
        <v>431.92</v>
      </c>
      <c r="G660" s="5" t="s">
        <v>9</v>
      </c>
      <c r="H660" s="5" t="s">
        <v>34</v>
      </c>
      <c r="I660" s="5" t="s">
        <v>22</v>
      </c>
      <c r="J660" s="6">
        <f>Table1[[#This Row],[Profit]]/Table1[[#This Row],[Sales]]</f>
        <v>0.65813372341073939</v>
      </c>
      <c r="K660" s="5" t="str">
        <f t="shared" si="10"/>
        <v>Low</v>
      </c>
      <c r="L660" s="5" t="str">
        <f>TEXT(Table1[[#This Row],[Order_Date]],"MMM")</f>
        <v>Jun</v>
      </c>
      <c r="M660" s="5" t="str">
        <f>IF(Table1[[#This Row],[Profit]]&gt;=1000,"Excellent",IF(Table1[[#This Row],[Profit]]&gt;=500,"Good", IF(Table1[[#This Row],[Profit]]&lt;500,"Low")))</f>
        <v>Low</v>
      </c>
      <c r="N660" s="7" t="str">
        <f>TEXT(Table1[[#This Row],[Order_Date]],"YYY")</f>
        <v>2024</v>
      </c>
    </row>
    <row r="661" spans="1:14" x14ac:dyDescent="0.3">
      <c r="A661" s="4">
        <v>45459</v>
      </c>
      <c r="B661" s="5" t="s">
        <v>8</v>
      </c>
      <c r="C661" s="5" t="s">
        <v>5</v>
      </c>
      <c r="D661" s="23">
        <v>2440.5</v>
      </c>
      <c r="E661" s="23">
        <v>1054.96</v>
      </c>
      <c r="F661" s="23">
        <v>1385.54</v>
      </c>
      <c r="G661" s="5" t="s">
        <v>20</v>
      </c>
      <c r="H661" s="5" t="s">
        <v>35</v>
      </c>
      <c r="I661" s="5" t="s">
        <v>17</v>
      </c>
      <c r="J661" s="6">
        <f>Table1[[#This Row],[Profit]]/Table1[[#This Row],[Sales]]</f>
        <v>0.56772792460561361</v>
      </c>
      <c r="K661" s="5" t="str">
        <f t="shared" si="10"/>
        <v>High</v>
      </c>
      <c r="L661" s="5" t="str">
        <f>TEXT(Table1[[#This Row],[Order_Date]],"MMM")</f>
        <v>Jun</v>
      </c>
      <c r="M661" s="5" t="str">
        <f>IF(Table1[[#This Row],[Profit]]&gt;=1000,"Excellent",IF(Table1[[#This Row],[Profit]]&gt;=500,"Good", IF(Table1[[#This Row],[Profit]]&lt;500,"Low")))</f>
        <v>Excellent</v>
      </c>
      <c r="N661" s="7" t="str">
        <f>TEXT(Table1[[#This Row],[Order_Date]],"YYY")</f>
        <v>2024</v>
      </c>
    </row>
    <row r="662" spans="1:14" x14ac:dyDescent="0.3">
      <c r="A662" s="4">
        <v>45460</v>
      </c>
      <c r="B662" s="5" t="s">
        <v>16</v>
      </c>
      <c r="C662" s="5" t="s">
        <v>1</v>
      </c>
      <c r="D662" s="23">
        <v>1419.24</v>
      </c>
      <c r="E662" s="23">
        <v>810.27</v>
      </c>
      <c r="F662" s="23">
        <v>608.97</v>
      </c>
      <c r="G662" s="5" t="s">
        <v>2</v>
      </c>
      <c r="H662" s="5" t="s">
        <v>21</v>
      </c>
      <c r="I662" s="5" t="s">
        <v>11</v>
      </c>
      <c r="J662" s="6">
        <f>Table1[[#This Row],[Profit]]/Table1[[#This Row],[Sales]]</f>
        <v>0.42908176206984022</v>
      </c>
      <c r="K662" s="5" t="str">
        <f t="shared" si="10"/>
        <v>Low</v>
      </c>
      <c r="L662" s="5" t="str">
        <f>TEXT(Table1[[#This Row],[Order_Date]],"MMM")</f>
        <v>Jun</v>
      </c>
      <c r="M662" s="5" t="str">
        <f>IF(Table1[[#This Row],[Profit]]&gt;=1000,"Excellent",IF(Table1[[#This Row],[Profit]]&gt;=500,"Good", IF(Table1[[#This Row],[Profit]]&lt;500,"Low")))</f>
        <v>Good</v>
      </c>
      <c r="N662" s="7" t="str">
        <f>TEXT(Table1[[#This Row],[Order_Date]],"YYY")</f>
        <v>2024</v>
      </c>
    </row>
    <row r="663" spans="1:14" x14ac:dyDescent="0.3">
      <c r="A663" s="4">
        <v>45461</v>
      </c>
      <c r="B663" s="5" t="s">
        <v>8</v>
      </c>
      <c r="C663" s="5" t="s">
        <v>19</v>
      </c>
      <c r="D663" s="23">
        <v>52.29</v>
      </c>
      <c r="E663" s="23">
        <v>17.989999999999998</v>
      </c>
      <c r="F663" s="23">
        <v>34.299999999999997</v>
      </c>
      <c r="G663" s="5" t="s">
        <v>2</v>
      </c>
      <c r="H663" s="5" t="s">
        <v>3</v>
      </c>
      <c r="I663" s="5" t="s">
        <v>4</v>
      </c>
      <c r="J663" s="6">
        <f>Table1[[#This Row],[Profit]]/Table1[[#This Row],[Sales]]</f>
        <v>0.65595716198125831</v>
      </c>
      <c r="K663" s="5" t="str">
        <f t="shared" si="10"/>
        <v>Low</v>
      </c>
      <c r="L663" s="5" t="str">
        <f>TEXT(Table1[[#This Row],[Order_Date]],"MMM")</f>
        <v>Jun</v>
      </c>
      <c r="M663" s="5" t="str">
        <f>IF(Table1[[#This Row],[Profit]]&gt;=1000,"Excellent",IF(Table1[[#This Row],[Profit]]&gt;=500,"Good", IF(Table1[[#This Row],[Profit]]&lt;500,"Low")))</f>
        <v>Low</v>
      </c>
      <c r="N663" s="7" t="str">
        <f>TEXT(Table1[[#This Row],[Order_Date]],"YYY")</f>
        <v>2024</v>
      </c>
    </row>
    <row r="664" spans="1:14" x14ac:dyDescent="0.3">
      <c r="A664" s="4">
        <v>45461</v>
      </c>
      <c r="B664" s="5" t="s">
        <v>0</v>
      </c>
      <c r="C664" s="5" t="s">
        <v>26</v>
      </c>
      <c r="D664" s="23">
        <v>165.69</v>
      </c>
      <c r="E664" s="23">
        <v>44.83</v>
      </c>
      <c r="F664" s="23">
        <v>120.86</v>
      </c>
      <c r="G664" s="5" t="s">
        <v>32</v>
      </c>
      <c r="H664" s="5" t="s">
        <v>21</v>
      </c>
      <c r="I664" s="5" t="s">
        <v>25</v>
      </c>
      <c r="J664" s="6">
        <f>Table1[[#This Row],[Profit]]/Table1[[#This Row],[Sales]]</f>
        <v>0.7294344860884785</v>
      </c>
      <c r="K664" s="5" t="str">
        <f t="shared" si="10"/>
        <v>Low</v>
      </c>
      <c r="L664" s="5" t="str">
        <f>TEXT(Table1[[#This Row],[Order_Date]],"MMM")</f>
        <v>Jun</v>
      </c>
      <c r="M664" s="5" t="str">
        <f>IF(Table1[[#This Row],[Profit]]&gt;=1000,"Excellent",IF(Table1[[#This Row],[Profit]]&gt;=500,"Good", IF(Table1[[#This Row],[Profit]]&lt;500,"Low")))</f>
        <v>Low</v>
      </c>
      <c r="N664" s="7" t="str">
        <f>TEXT(Table1[[#This Row],[Order_Date]],"YYY")</f>
        <v>2024</v>
      </c>
    </row>
    <row r="665" spans="1:14" x14ac:dyDescent="0.3">
      <c r="A665" s="4">
        <v>45462</v>
      </c>
      <c r="B665" s="5" t="s">
        <v>16</v>
      </c>
      <c r="C665" s="5" t="s">
        <v>31</v>
      </c>
      <c r="D665" s="23">
        <v>95.2</v>
      </c>
      <c r="E665" s="23">
        <v>29.12</v>
      </c>
      <c r="F665" s="23">
        <v>66.08</v>
      </c>
      <c r="G665" s="5" t="s">
        <v>6</v>
      </c>
      <c r="H665" s="5" t="s">
        <v>33</v>
      </c>
      <c r="I665" s="5" t="s">
        <v>4</v>
      </c>
      <c r="J665" s="6">
        <f>Table1[[#This Row],[Profit]]/Table1[[#This Row],[Sales]]</f>
        <v>0.69411764705882351</v>
      </c>
      <c r="K665" s="5" t="str">
        <f t="shared" si="10"/>
        <v>Low</v>
      </c>
      <c r="L665" s="5" t="str">
        <f>TEXT(Table1[[#This Row],[Order_Date]],"MMM")</f>
        <v>Jun</v>
      </c>
      <c r="M665" s="5" t="str">
        <f>IF(Table1[[#This Row],[Profit]]&gt;=1000,"Excellent",IF(Table1[[#This Row],[Profit]]&gt;=500,"Good", IF(Table1[[#This Row],[Profit]]&lt;500,"Low")))</f>
        <v>Low</v>
      </c>
      <c r="N665" s="7" t="str">
        <f>TEXT(Table1[[#This Row],[Order_Date]],"YYY")</f>
        <v>2024</v>
      </c>
    </row>
    <row r="666" spans="1:14" x14ac:dyDescent="0.3">
      <c r="A666" s="4">
        <v>45462</v>
      </c>
      <c r="B666" s="5" t="s">
        <v>13</v>
      </c>
      <c r="C666" s="5" t="s">
        <v>1</v>
      </c>
      <c r="D666" s="23">
        <v>276.02</v>
      </c>
      <c r="E666" s="23">
        <v>134.38</v>
      </c>
      <c r="F666" s="23">
        <v>141.63999999999999</v>
      </c>
      <c r="G666" s="5" t="s">
        <v>6</v>
      </c>
      <c r="H666" s="5" t="s">
        <v>28</v>
      </c>
      <c r="I666" s="5" t="s">
        <v>27</v>
      </c>
      <c r="J666" s="6">
        <f>Table1[[#This Row],[Profit]]/Table1[[#This Row],[Sales]]</f>
        <v>0.51315122092601984</v>
      </c>
      <c r="K666" s="5" t="str">
        <f t="shared" si="10"/>
        <v>Low</v>
      </c>
      <c r="L666" s="5" t="str">
        <f>TEXT(Table1[[#This Row],[Order_Date]],"MMM")</f>
        <v>Jun</v>
      </c>
      <c r="M666" s="5" t="str">
        <f>IF(Table1[[#This Row],[Profit]]&gt;=1000,"Excellent",IF(Table1[[#This Row],[Profit]]&gt;=500,"Good", IF(Table1[[#This Row],[Profit]]&lt;500,"Low")))</f>
        <v>Low</v>
      </c>
      <c r="N666" s="7" t="str">
        <f>TEXT(Table1[[#This Row],[Order_Date]],"YYY")</f>
        <v>2024</v>
      </c>
    </row>
    <row r="667" spans="1:14" x14ac:dyDescent="0.3">
      <c r="A667" s="4">
        <v>45463</v>
      </c>
      <c r="B667" s="5" t="s">
        <v>0</v>
      </c>
      <c r="C667" s="5" t="s">
        <v>23</v>
      </c>
      <c r="D667" s="23">
        <v>387.37</v>
      </c>
      <c r="E667" s="23">
        <v>181.52</v>
      </c>
      <c r="F667" s="23">
        <v>205.85</v>
      </c>
      <c r="G667" s="5" t="s">
        <v>20</v>
      </c>
      <c r="H667" s="5" t="s">
        <v>35</v>
      </c>
      <c r="I667" s="5" t="s">
        <v>22</v>
      </c>
      <c r="J667" s="6">
        <f>Table1[[#This Row],[Profit]]/Table1[[#This Row],[Sales]]</f>
        <v>0.53140408395074479</v>
      </c>
      <c r="K667" s="5" t="str">
        <f t="shared" si="10"/>
        <v>Low</v>
      </c>
      <c r="L667" s="5" t="str">
        <f>TEXT(Table1[[#This Row],[Order_Date]],"MMM")</f>
        <v>Jun</v>
      </c>
      <c r="M667" s="5" t="str">
        <f>IF(Table1[[#This Row],[Profit]]&gt;=1000,"Excellent",IF(Table1[[#This Row],[Profit]]&gt;=500,"Good", IF(Table1[[#This Row],[Profit]]&lt;500,"Low")))</f>
        <v>Low</v>
      </c>
      <c r="N667" s="7" t="str">
        <f>TEXT(Table1[[#This Row],[Order_Date]],"YYY")</f>
        <v>2024</v>
      </c>
    </row>
    <row r="668" spans="1:14" x14ac:dyDescent="0.3">
      <c r="A668" s="4">
        <v>45463</v>
      </c>
      <c r="B668" s="5" t="s">
        <v>16</v>
      </c>
      <c r="C668" s="5" t="s">
        <v>26</v>
      </c>
      <c r="D668" s="23">
        <v>1008.69</v>
      </c>
      <c r="E668" s="23">
        <v>432.46</v>
      </c>
      <c r="F668" s="23">
        <v>576.23</v>
      </c>
      <c r="G668" s="5" t="s">
        <v>2</v>
      </c>
      <c r="H668" s="5" t="s">
        <v>3</v>
      </c>
      <c r="I668" s="5" t="s">
        <v>4</v>
      </c>
      <c r="J668" s="6">
        <f>Table1[[#This Row],[Profit]]/Table1[[#This Row],[Sales]]</f>
        <v>0.57126570105780761</v>
      </c>
      <c r="K668" s="5" t="str">
        <f t="shared" si="10"/>
        <v>Low</v>
      </c>
      <c r="L668" s="5" t="str">
        <f>TEXT(Table1[[#This Row],[Order_Date]],"MMM")</f>
        <v>Jun</v>
      </c>
      <c r="M668" s="5" t="str">
        <f>IF(Table1[[#This Row],[Profit]]&gt;=1000,"Excellent",IF(Table1[[#This Row],[Profit]]&gt;=500,"Good", IF(Table1[[#This Row],[Profit]]&lt;500,"Low")))</f>
        <v>Good</v>
      </c>
      <c r="N668" s="7" t="str">
        <f>TEXT(Table1[[#This Row],[Order_Date]],"YYY")</f>
        <v>2024</v>
      </c>
    </row>
    <row r="669" spans="1:14" x14ac:dyDescent="0.3">
      <c r="A669" s="4">
        <v>45463</v>
      </c>
      <c r="B669" s="5" t="s">
        <v>13</v>
      </c>
      <c r="C669" s="5" t="s">
        <v>23</v>
      </c>
      <c r="D669" s="23">
        <v>368.92</v>
      </c>
      <c r="E669" s="23">
        <v>156.44</v>
      </c>
      <c r="F669" s="23">
        <v>212.48</v>
      </c>
      <c r="G669" s="5" t="s">
        <v>20</v>
      </c>
      <c r="H669" s="5" t="s">
        <v>28</v>
      </c>
      <c r="I669" s="5" t="s">
        <v>4</v>
      </c>
      <c r="J669" s="6">
        <f>Table1[[#This Row],[Profit]]/Table1[[#This Row],[Sales]]</f>
        <v>0.57595142578336767</v>
      </c>
      <c r="K669" s="5" t="str">
        <f t="shared" si="10"/>
        <v>Low</v>
      </c>
      <c r="L669" s="5" t="str">
        <f>TEXT(Table1[[#This Row],[Order_Date]],"MMM")</f>
        <v>Jun</v>
      </c>
      <c r="M669" s="5" t="str">
        <f>IF(Table1[[#This Row],[Profit]]&gt;=1000,"Excellent",IF(Table1[[#This Row],[Profit]]&gt;=500,"Good", IF(Table1[[#This Row],[Profit]]&lt;500,"Low")))</f>
        <v>Low</v>
      </c>
      <c r="N669" s="7" t="str">
        <f>TEXT(Table1[[#This Row],[Order_Date]],"YYY")</f>
        <v>2024</v>
      </c>
    </row>
    <row r="670" spans="1:14" x14ac:dyDescent="0.3">
      <c r="A670" s="4">
        <v>45463</v>
      </c>
      <c r="B670" s="5" t="s">
        <v>8</v>
      </c>
      <c r="C670" s="5" t="s">
        <v>19</v>
      </c>
      <c r="D670" s="23">
        <v>56.06</v>
      </c>
      <c r="E670" s="23">
        <v>19.12</v>
      </c>
      <c r="F670" s="23">
        <v>36.94</v>
      </c>
      <c r="G670" s="5" t="s">
        <v>32</v>
      </c>
      <c r="H670" s="5" t="s">
        <v>29</v>
      </c>
      <c r="I670" s="5" t="s">
        <v>22</v>
      </c>
      <c r="J670" s="6">
        <f>Table1[[#This Row],[Profit]]/Table1[[#This Row],[Sales]]</f>
        <v>0.65893685337138774</v>
      </c>
      <c r="K670" s="5" t="str">
        <f t="shared" si="10"/>
        <v>Low</v>
      </c>
      <c r="L670" s="5" t="str">
        <f>TEXT(Table1[[#This Row],[Order_Date]],"MMM")</f>
        <v>Jun</v>
      </c>
      <c r="M670" s="5" t="str">
        <f>IF(Table1[[#This Row],[Profit]]&gt;=1000,"Excellent",IF(Table1[[#This Row],[Profit]]&gt;=500,"Good", IF(Table1[[#This Row],[Profit]]&lt;500,"Low")))</f>
        <v>Low</v>
      </c>
      <c r="N670" s="7" t="str">
        <f>TEXT(Table1[[#This Row],[Order_Date]],"YYY")</f>
        <v>2024</v>
      </c>
    </row>
    <row r="671" spans="1:14" x14ac:dyDescent="0.3">
      <c r="A671" s="4">
        <v>45464</v>
      </c>
      <c r="B671" s="5" t="s">
        <v>16</v>
      </c>
      <c r="C671" s="5" t="s">
        <v>1</v>
      </c>
      <c r="D671" s="23">
        <v>404.98</v>
      </c>
      <c r="E671" s="23">
        <v>236.68</v>
      </c>
      <c r="F671" s="23">
        <v>168.3</v>
      </c>
      <c r="G671" s="5" t="s">
        <v>6</v>
      </c>
      <c r="H671" s="5" t="s">
        <v>10</v>
      </c>
      <c r="I671" s="5" t="s">
        <v>11</v>
      </c>
      <c r="J671" s="6">
        <f>Table1[[#This Row],[Profit]]/Table1[[#This Row],[Sales]]</f>
        <v>0.41557607783100403</v>
      </c>
      <c r="K671" s="5" t="str">
        <f t="shared" si="10"/>
        <v>Low</v>
      </c>
      <c r="L671" s="5" t="str">
        <f>TEXT(Table1[[#This Row],[Order_Date]],"MMM")</f>
        <v>Jun</v>
      </c>
      <c r="M671" s="5" t="str">
        <f>IF(Table1[[#This Row],[Profit]]&gt;=1000,"Excellent",IF(Table1[[#This Row],[Profit]]&gt;=500,"Good", IF(Table1[[#This Row],[Profit]]&lt;500,"Low")))</f>
        <v>Low</v>
      </c>
      <c r="N671" s="7" t="str">
        <f>TEXT(Table1[[#This Row],[Order_Date]],"YYY")</f>
        <v>2024</v>
      </c>
    </row>
    <row r="672" spans="1:14" x14ac:dyDescent="0.3">
      <c r="A672" s="4">
        <v>45464</v>
      </c>
      <c r="B672" s="5" t="s">
        <v>0</v>
      </c>
      <c r="C672" s="5" t="s">
        <v>26</v>
      </c>
      <c r="D672" s="23">
        <v>710.24</v>
      </c>
      <c r="E672" s="23">
        <v>278.14999999999998</v>
      </c>
      <c r="F672" s="23">
        <v>432.09</v>
      </c>
      <c r="G672" s="5" t="s">
        <v>9</v>
      </c>
      <c r="H672" s="5" t="s">
        <v>10</v>
      </c>
      <c r="I672" s="5" t="s">
        <v>27</v>
      </c>
      <c r="J672" s="6">
        <f>Table1[[#This Row],[Profit]]/Table1[[#This Row],[Sales]]</f>
        <v>0.60837181797702178</v>
      </c>
      <c r="K672" s="5" t="str">
        <f t="shared" si="10"/>
        <v>Low</v>
      </c>
      <c r="L672" s="5" t="str">
        <f>TEXT(Table1[[#This Row],[Order_Date]],"MMM")</f>
        <v>Jun</v>
      </c>
      <c r="M672" s="5" t="str">
        <f>IF(Table1[[#This Row],[Profit]]&gt;=1000,"Excellent",IF(Table1[[#This Row],[Profit]]&gt;=500,"Good", IF(Table1[[#This Row],[Profit]]&lt;500,"Low")))</f>
        <v>Low</v>
      </c>
      <c r="N672" s="7" t="str">
        <f>TEXT(Table1[[#This Row],[Order_Date]],"YYY")</f>
        <v>2024</v>
      </c>
    </row>
    <row r="673" spans="1:14" x14ac:dyDescent="0.3">
      <c r="A673" s="4">
        <v>45464</v>
      </c>
      <c r="B673" s="5" t="s">
        <v>0</v>
      </c>
      <c r="C673" s="5" t="s">
        <v>5</v>
      </c>
      <c r="D673" s="23">
        <v>1628.56</v>
      </c>
      <c r="E673" s="23">
        <v>584.38</v>
      </c>
      <c r="F673" s="23">
        <v>1044.18</v>
      </c>
      <c r="G673" s="5" t="s">
        <v>6</v>
      </c>
      <c r="H673" s="5" t="s">
        <v>33</v>
      </c>
      <c r="I673" s="5" t="s">
        <v>25</v>
      </c>
      <c r="J673" s="6">
        <f>Table1[[#This Row],[Profit]]/Table1[[#This Row],[Sales]]</f>
        <v>0.64116765731689351</v>
      </c>
      <c r="K673" s="5" t="str">
        <f t="shared" si="10"/>
        <v>Medium</v>
      </c>
      <c r="L673" s="5" t="str">
        <f>TEXT(Table1[[#This Row],[Order_Date]],"MMM")</f>
        <v>Jun</v>
      </c>
      <c r="M673" s="5" t="str">
        <f>IF(Table1[[#This Row],[Profit]]&gt;=1000,"Excellent",IF(Table1[[#This Row],[Profit]]&gt;=500,"Good", IF(Table1[[#This Row],[Profit]]&lt;500,"Low")))</f>
        <v>Excellent</v>
      </c>
      <c r="N673" s="7" t="str">
        <f>TEXT(Table1[[#This Row],[Order_Date]],"YYY")</f>
        <v>2024</v>
      </c>
    </row>
    <row r="674" spans="1:14" x14ac:dyDescent="0.3">
      <c r="A674" s="4">
        <v>45465</v>
      </c>
      <c r="B674" s="5" t="s">
        <v>13</v>
      </c>
      <c r="C674" s="5" t="s">
        <v>26</v>
      </c>
      <c r="D674" s="23">
        <v>779.86</v>
      </c>
      <c r="E674" s="23">
        <v>197.86</v>
      </c>
      <c r="F674" s="23">
        <v>582</v>
      </c>
      <c r="G674" s="5" t="s">
        <v>2</v>
      </c>
      <c r="H674" s="5" t="s">
        <v>7</v>
      </c>
      <c r="I674" s="5" t="s">
        <v>11</v>
      </c>
      <c r="J674" s="6">
        <f>Table1[[#This Row],[Profit]]/Table1[[#This Row],[Sales]]</f>
        <v>0.74628779524530042</v>
      </c>
      <c r="K674" s="5" t="str">
        <f t="shared" si="10"/>
        <v>Low</v>
      </c>
      <c r="L674" s="5" t="str">
        <f>TEXT(Table1[[#This Row],[Order_Date]],"MMM")</f>
        <v>Jun</v>
      </c>
      <c r="M674" s="5" t="str">
        <f>IF(Table1[[#This Row],[Profit]]&gt;=1000,"Excellent",IF(Table1[[#This Row],[Profit]]&gt;=500,"Good", IF(Table1[[#This Row],[Profit]]&lt;500,"Low")))</f>
        <v>Good</v>
      </c>
      <c r="N674" s="7" t="str">
        <f>TEXT(Table1[[#This Row],[Order_Date]],"YYY")</f>
        <v>2024</v>
      </c>
    </row>
    <row r="675" spans="1:14" x14ac:dyDescent="0.3">
      <c r="A675" s="4">
        <v>45466</v>
      </c>
      <c r="B675" s="5" t="s">
        <v>13</v>
      </c>
      <c r="C675" s="5" t="s">
        <v>26</v>
      </c>
      <c r="D675" s="23">
        <v>931.68</v>
      </c>
      <c r="E675" s="23">
        <v>397.16</v>
      </c>
      <c r="F675" s="23">
        <v>534.52</v>
      </c>
      <c r="G675" s="5" t="s">
        <v>9</v>
      </c>
      <c r="H675" s="5" t="s">
        <v>35</v>
      </c>
      <c r="I675" s="5" t="s">
        <v>11</v>
      </c>
      <c r="J675" s="6">
        <f>Table1[[#This Row],[Profit]]/Table1[[#This Row],[Sales]]</f>
        <v>0.57371629744118158</v>
      </c>
      <c r="K675" s="5" t="str">
        <f t="shared" si="10"/>
        <v>Low</v>
      </c>
      <c r="L675" s="5" t="str">
        <f>TEXT(Table1[[#This Row],[Order_Date]],"MMM")</f>
        <v>Jun</v>
      </c>
      <c r="M675" s="5" t="str">
        <f>IF(Table1[[#This Row],[Profit]]&gt;=1000,"Excellent",IF(Table1[[#This Row],[Profit]]&gt;=500,"Good", IF(Table1[[#This Row],[Profit]]&lt;500,"Low")))</f>
        <v>Good</v>
      </c>
      <c r="N675" s="7" t="str">
        <f>TEXT(Table1[[#This Row],[Order_Date]],"YYY")</f>
        <v>2024</v>
      </c>
    </row>
    <row r="676" spans="1:14" x14ac:dyDescent="0.3">
      <c r="A676" s="4">
        <v>45466</v>
      </c>
      <c r="B676" s="5" t="s">
        <v>8</v>
      </c>
      <c r="C676" s="5" t="s">
        <v>14</v>
      </c>
      <c r="D676" s="23">
        <v>240.46</v>
      </c>
      <c r="E676" s="23">
        <v>107.12</v>
      </c>
      <c r="F676" s="23">
        <v>133.34</v>
      </c>
      <c r="G676" s="5" t="s">
        <v>2</v>
      </c>
      <c r="H676" s="5" t="s">
        <v>21</v>
      </c>
      <c r="I676" s="5" t="s">
        <v>22</v>
      </c>
      <c r="J676" s="6">
        <f>Table1[[#This Row],[Profit]]/Table1[[#This Row],[Sales]]</f>
        <v>0.55452050237045658</v>
      </c>
      <c r="K676" s="5" t="str">
        <f t="shared" si="10"/>
        <v>Low</v>
      </c>
      <c r="L676" s="5" t="str">
        <f>TEXT(Table1[[#This Row],[Order_Date]],"MMM")</f>
        <v>Jun</v>
      </c>
      <c r="M676" s="5" t="str">
        <f>IF(Table1[[#This Row],[Profit]]&gt;=1000,"Excellent",IF(Table1[[#This Row],[Profit]]&gt;=500,"Good", IF(Table1[[#This Row],[Profit]]&lt;500,"Low")))</f>
        <v>Low</v>
      </c>
      <c r="N676" s="7" t="str">
        <f>TEXT(Table1[[#This Row],[Order_Date]],"YYY")</f>
        <v>2024</v>
      </c>
    </row>
    <row r="677" spans="1:14" x14ac:dyDescent="0.3">
      <c r="A677" s="4">
        <v>45466</v>
      </c>
      <c r="B677" s="5" t="s">
        <v>18</v>
      </c>
      <c r="C677" s="5" t="s">
        <v>23</v>
      </c>
      <c r="D677" s="23">
        <v>107.32</v>
      </c>
      <c r="E677" s="23">
        <v>45.35</v>
      </c>
      <c r="F677" s="23">
        <v>61.97</v>
      </c>
      <c r="G677" s="5" t="s">
        <v>20</v>
      </c>
      <c r="H677" s="5" t="s">
        <v>33</v>
      </c>
      <c r="I677" s="5" t="s">
        <v>22</v>
      </c>
      <c r="J677" s="6">
        <f>Table1[[#This Row],[Profit]]/Table1[[#This Row],[Sales]]</f>
        <v>0.57743197912784194</v>
      </c>
      <c r="K677" s="5" t="str">
        <f t="shared" si="10"/>
        <v>Low</v>
      </c>
      <c r="L677" s="5" t="str">
        <f>TEXT(Table1[[#This Row],[Order_Date]],"MMM")</f>
        <v>Jun</v>
      </c>
      <c r="M677" s="5" t="str">
        <f>IF(Table1[[#This Row],[Profit]]&gt;=1000,"Excellent",IF(Table1[[#This Row],[Profit]]&gt;=500,"Good", IF(Table1[[#This Row],[Profit]]&lt;500,"Low")))</f>
        <v>Low</v>
      </c>
      <c r="N677" s="7" t="str">
        <f>TEXT(Table1[[#This Row],[Order_Date]],"YYY")</f>
        <v>2024</v>
      </c>
    </row>
    <row r="678" spans="1:14" x14ac:dyDescent="0.3">
      <c r="A678" s="4">
        <v>45466</v>
      </c>
      <c r="B678" s="5" t="s">
        <v>13</v>
      </c>
      <c r="C678" s="5" t="s">
        <v>1</v>
      </c>
      <c r="D678" s="23">
        <v>1036.9100000000001</v>
      </c>
      <c r="E678" s="23">
        <v>526.42999999999995</v>
      </c>
      <c r="F678" s="23">
        <v>510.48</v>
      </c>
      <c r="G678" s="5" t="s">
        <v>2</v>
      </c>
      <c r="H678" s="5" t="s">
        <v>3</v>
      </c>
      <c r="I678" s="5" t="s">
        <v>22</v>
      </c>
      <c r="J678" s="6">
        <f>Table1[[#This Row],[Profit]]/Table1[[#This Row],[Sales]]</f>
        <v>0.49230887926628153</v>
      </c>
      <c r="K678" s="5" t="str">
        <f t="shared" si="10"/>
        <v>Low</v>
      </c>
      <c r="L678" s="5" t="str">
        <f>TEXT(Table1[[#This Row],[Order_Date]],"MMM")</f>
        <v>Jun</v>
      </c>
      <c r="M678" s="5" t="str">
        <f>IF(Table1[[#This Row],[Profit]]&gt;=1000,"Excellent",IF(Table1[[#This Row],[Profit]]&gt;=500,"Good", IF(Table1[[#This Row],[Profit]]&lt;500,"Low")))</f>
        <v>Good</v>
      </c>
      <c r="N678" s="7" t="str">
        <f>TEXT(Table1[[#This Row],[Order_Date]],"YYY")</f>
        <v>2024</v>
      </c>
    </row>
    <row r="679" spans="1:14" x14ac:dyDescent="0.3">
      <c r="A679" s="4">
        <v>45467</v>
      </c>
      <c r="B679" s="5" t="s">
        <v>0</v>
      </c>
      <c r="C679" s="5" t="s">
        <v>1</v>
      </c>
      <c r="D679" s="23">
        <v>950.26</v>
      </c>
      <c r="E679" s="23">
        <v>622</v>
      </c>
      <c r="F679" s="23">
        <v>328.26</v>
      </c>
      <c r="G679" s="5" t="s">
        <v>9</v>
      </c>
      <c r="H679" s="5" t="s">
        <v>15</v>
      </c>
      <c r="I679" s="5" t="s">
        <v>25</v>
      </c>
      <c r="J679" s="6">
        <f>Table1[[#This Row],[Profit]]/Table1[[#This Row],[Sales]]</f>
        <v>0.34544230000210469</v>
      </c>
      <c r="K679" s="5" t="str">
        <f t="shared" si="10"/>
        <v>Low</v>
      </c>
      <c r="L679" s="5" t="str">
        <f>TEXT(Table1[[#This Row],[Order_Date]],"MMM")</f>
        <v>Jun</v>
      </c>
      <c r="M679" s="5" t="str">
        <f>IF(Table1[[#This Row],[Profit]]&gt;=1000,"Excellent",IF(Table1[[#This Row],[Profit]]&gt;=500,"Good", IF(Table1[[#This Row],[Profit]]&lt;500,"Low")))</f>
        <v>Low</v>
      </c>
      <c r="N679" s="7" t="str">
        <f>TEXT(Table1[[#This Row],[Order_Date]],"YYY")</f>
        <v>2024</v>
      </c>
    </row>
    <row r="680" spans="1:14" x14ac:dyDescent="0.3">
      <c r="A680" s="4">
        <v>45468</v>
      </c>
      <c r="B680" s="5" t="s">
        <v>16</v>
      </c>
      <c r="C680" s="5" t="s">
        <v>23</v>
      </c>
      <c r="D680" s="23">
        <v>37.36</v>
      </c>
      <c r="E680" s="23">
        <v>16.61</v>
      </c>
      <c r="F680" s="23">
        <v>20.75</v>
      </c>
      <c r="G680" s="5" t="s">
        <v>6</v>
      </c>
      <c r="H680" s="5" t="s">
        <v>33</v>
      </c>
      <c r="I680" s="5" t="s">
        <v>11</v>
      </c>
      <c r="J680" s="6">
        <f>Table1[[#This Row],[Profit]]/Table1[[#This Row],[Sales]]</f>
        <v>0.55540685224839403</v>
      </c>
      <c r="K680" s="5" t="str">
        <f t="shared" si="10"/>
        <v>Low</v>
      </c>
      <c r="L680" s="5" t="str">
        <f>TEXT(Table1[[#This Row],[Order_Date]],"MMM")</f>
        <v>Jun</v>
      </c>
      <c r="M680" s="5" t="str">
        <f>IF(Table1[[#This Row],[Profit]]&gt;=1000,"Excellent",IF(Table1[[#This Row],[Profit]]&gt;=500,"Good", IF(Table1[[#This Row],[Profit]]&lt;500,"Low")))</f>
        <v>Low</v>
      </c>
      <c r="N680" s="7" t="str">
        <f>TEXT(Table1[[#This Row],[Order_Date]],"YYY")</f>
        <v>2024</v>
      </c>
    </row>
    <row r="681" spans="1:14" x14ac:dyDescent="0.3">
      <c r="A681" s="4">
        <v>45469</v>
      </c>
      <c r="B681" s="5" t="s">
        <v>0</v>
      </c>
      <c r="C681" s="5" t="s">
        <v>26</v>
      </c>
      <c r="D681" s="23">
        <v>556.78</v>
      </c>
      <c r="E681" s="23">
        <v>183.68</v>
      </c>
      <c r="F681" s="23">
        <v>373.1</v>
      </c>
      <c r="G681" s="5" t="s">
        <v>6</v>
      </c>
      <c r="H681" s="5" t="s">
        <v>28</v>
      </c>
      <c r="I681" s="5" t="s">
        <v>17</v>
      </c>
      <c r="J681" s="6">
        <f>Table1[[#This Row],[Profit]]/Table1[[#This Row],[Sales]]</f>
        <v>0.67010309278350522</v>
      </c>
      <c r="K681" s="5" t="str">
        <f t="shared" si="10"/>
        <v>Low</v>
      </c>
      <c r="L681" s="5" t="str">
        <f>TEXT(Table1[[#This Row],[Order_Date]],"MMM")</f>
        <v>Jun</v>
      </c>
      <c r="M681" s="5" t="str">
        <f>IF(Table1[[#This Row],[Profit]]&gt;=1000,"Excellent",IF(Table1[[#This Row],[Profit]]&gt;=500,"Good", IF(Table1[[#This Row],[Profit]]&lt;500,"Low")))</f>
        <v>Low</v>
      </c>
      <c r="N681" s="7" t="str">
        <f>TEXT(Table1[[#This Row],[Order_Date]],"YYY")</f>
        <v>2024</v>
      </c>
    </row>
    <row r="682" spans="1:14" x14ac:dyDescent="0.3">
      <c r="A682" s="4">
        <v>45470</v>
      </c>
      <c r="B682" s="5" t="s">
        <v>13</v>
      </c>
      <c r="C682" s="5" t="s">
        <v>19</v>
      </c>
      <c r="D682" s="23">
        <v>37.520000000000003</v>
      </c>
      <c r="E682" s="23">
        <v>8.3800000000000008</v>
      </c>
      <c r="F682" s="23">
        <v>29.14</v>
      </c>
      <c r="G682" s="5" t="s">
        <v>9</v>
      </c>
      <c r="H682" s="5" t="s">
        <v>34</v>
      </c>
      <c r="I682" s="5" t="s">
        <v>17</v>
      </c>
      <c r="J682" s="6">
        <f>Table1[[#This Row],[Profit]]/Table1[[#This Row],[Sales]]</f>
        <v>0.7766524520255863</v>
      </c>
      <c r="K682" s="5" t="str">
        <f t="shared" si="10"/>
        <v>Low</v>
      </c>
      <c r="L682" s="5" t="str">
        <f>TEXT(Table1[[#This Row],[Order_Date]],"MMM")</f>
        <v>Jun</v>
      </c>
      <c r="M682" s="5" t="str">
        <f>IF(Table1[[#This Row],[Profit]]&gt;=1000,"Excellent",IF(Table1[[#This Row],[Profit]]&gt;=500,"Good", IF(Table1[[#This Row],[Profit]]&lt;500,"Low")))</f>
        <v>Low</v>
      </c>
      <c r="N682" s="7" t="str">
        <f>TEXT(Table1[[#This Row],[Order_Date]],"YYY")</f>
        <v>2024</v>
      </c>
    </row>
    <row r="683" spans="1:14" x14ac:dyDescent="0.3">
      <c r="A683" s="4">
        <v>45470</v>
      </c>
      <c r="B683" s="5" t="s">
        <v>13</v>
      </c>
      <c r="C683" s="5" t="s">
        <v>23</v>
      </c>
      <c r="D683" s="23">
        <v>512.41999999999996</v>
      </c>
      <c r="E683" s="23">
        <v>236.08</v>
      </c>
      <c r="F683" s="23">
        <v>276.33999999999997</v>
      </c>
      <c r="G683" s="5" t="s">
        <v>32</v>
      </c>
      <c r="H683" s="5" t="s">
        <v>37</v>
      </c>
      <c r="I683" s="5" t="s">
        <v>27</v>
      </c>
      <c r="J683" s="6">
        <f>Table1[[#This Row],[Profit]]/Table1[[#This Row],[Sales]]</f>
        <v>0.53928418094531827</v>
      </c>
      <c r="K683" s="5" t="str">
        <f t="shared" si="10"/>
        <v>Low</v>
      </c>
      <c r="L683" s="5" t="str">
        <f>TEXT(Table1[[#This Row],[Order_Date]],"MMM")</f>
        <v>Jun</v>
      </c>
      <c r="M683" s="5" t="str">
        <f>IF(Table1[[#This Row],[Profit]]&gt;=1000,"Excellent",IF(Table1[[#This Row],[Profit]]&gt;=500,"Good", IF(Table1[[#This Row],[Profit]]&lt;500,"Low")))</f>
        <v>Low</v>
      </c>
      <c r="N683" s="7" t="str">
        <f>TEXT(Table1[[#This Row],[Order_Date]],"YYY")</f>
        <v>2024</v>
      </c>
    </row>
    <row r="684" spans="1:14" x14ac:dyDescent="0.3">
      <c r="A684" s="4">
        <v>45471</v>
      </c>
      <c r="B684" s="5" t="s">
        <v>13</v>
      </c>
      <c r="C684" s="5" t="s">
        <v>5</v>
      </c>
      <c r="D684" s="23">
        <v>880.22</v>
      </c>
      <c r="E684" s="23">
        <v>350.25</v>
      </c>
      <c r="F684" s="23">
        <v>529.97</v>
      </c>
      <c r="G684" s="5" t="s">
        <v>2</v>
      </c>
      <c r="H684" s="5" t="s">
        <v>10</v>
      </c>
      <c r="I684" s="5" t="s">
        <v>25</v>
      </c>
      <c r="J684" s="6">
        <f>Table1[[#This Row],[Profit]]/Table1[[#This Row],[Sales]]</f>
        <v>0.6020881143350526</v>
      </c>
      <c r="K684" s="5" t="str">
        <f t="shared" si="10"/>
        <v>Low</v>
      </c>
      <c r="L684" s="5" t="str">
        <f>TEXT(Table1[[#This Row],[Order_Date]],"MMM")</f>
        <v>Jun</v>
      </c>
      <c r="M684" s="5" t="str">
        <f>IF(Table1[[#This Row],[Profit]]&gt;=1000,"Excellent",IF(Table1[[#This Row],[Profit]]&gt;=500,"Good", IF(Table1[[#This Row],[Profit]]&lt;500,"Low")))</f>
        <v>Good</v>
      </c>
      <c r="N684" s="7" t="str">
        <f>TEXT(Table1[[#This Row],[Order_Date]],"YYY")</f>
        <v>2024</v>
      </c>
    </row>
    <row r="685" spans="1:14" x14ac:dyDescent="0.3">
      <c r="A685" s="4">
        <v>45471</v>
      </c>
      <c r="B685" s="5" t="s">
        <v>16</v>
      </c>
      <c r="C685" s="5" t="s">
        <v>1</v>
      </c>
      <c r="D685" s="23">
        <v>269.14999999999998</v>
      </c>
      <c r="E685" s="23">
        <v>158.35</v>
      </c>
      <c r="F685" s="23">
        <v>110.8</v>
      </c>
      <c r="G685" s="5" t="s">
        <v>9</v>
      </c>
      <c r="H685" s="5" t="s">
        <v>12</v>
      </c>
      <c r="I685" s="5" t="s">
        <v>11</v>
      </c>
      <c r="J685" s="6">
        <f>Table1[[#This Row],[Profit]]/Table1[[#This Row],[Sales]]</f>
        <v>0.41166635704997218</v>
      </c>
      <c r="K685" s="5" t="str">
        <f t="shared" si="10"/>
        <v>Low</v>
      </c>
      <c r="L685" s="5" t="str">
        <f>TEXT(Table1[[#This Row],[Order_Date]],"MMM")</f>
        <v>Jun</v>
      </c>
      <c r="M685" s="5" t="str">
        <f>IF(Table1[[#This Row],[Profit]]&gt;=1000,"Excellent",IF(Table1[[#This Row],[Profit]]&gt;=500,"Good", IF(Table1[[#This Row],[Profit]]&lt;500,"Low")))</f>
        <v>Low</v>
      </c>
      <c r="N685" s="7" t="str">
        <f>TEXT(Table1[[#This Row],[Order_Date]],"YYY")</f>
        <v>2024</v>
      </c>
    </row>
    <row r="686" spans="1:14" x14ac:dyDescent="0.3">
      <c r="A686" s="4">
        <v>45472</v>
      </c>
      <c r="B686" s="5" t="s">
        <v>16</v>
      </c>
      <c r="C686" s="5" t="s">
        <v>1</v>
      </c>
      <c r="D686" s="23">
        <v>147.16</v>
      </c>
      <c r="E686" s="23">
        <v>76.92</v>
      </c>
      <c r="F686" s="23">
        <v>70.239999999999995</v>
      </c>
      <c r="G686" s="5" t="s">
        <v>9</v>
      </c>
      <c r="H686" s="5" t="s">
        <v>37</v>
      </c>
      <c r="I686" s="5" t="s">
        <v>27</v>
      </c>
      <c r="J686" s="6">
        <f>Table1[[#This Row],[Profit]]/Table1[[#This Row],[Sales]]</f>
        <v>0.47730361511280239</v>
      </c>
      <c r="K686" s="5" t="str">
        <f t="shared" si="10"/>
        <v>Low</v>
      </c>
      <c r="L686" s="5" t="str">
        <f>TEXT(Table1[[#This Row],[Order_Date]],"MMM")</f>
        <v>Jun</v>
      </c>
      <c r="M686" s="5" t="str">
        <f>IF(Table1[[#This Row],[Profit]]&gt;=1000,"Excellent",IF(Table1[[#This Row],[Profit]]&gt;=500,"Good", IF(Table1[[#This Row],[Profit]]&lt;500,"Low")))</f>
        <v>Low</v>
      </c>
      <c r="N686" s="7" t="str">
        <f>TEXT(Table1[[#This Row],[Order_Date]],"YYY")</f>
        <v>2024</v>
      </c>
    </row>
    <row r="687" spans="1:14" x14ac:dyDescent="0.3">
      <c r="A687" s="4">
        <v>45472</v>
      </c>
      <c r="B687" s="5" t="s">
        <v>8</v>
      </c>
      <c r="C687" s="5" t="s">
        <v>5</v>
      </c>
      <c r="D687" s="23">
        <v>2114.58</v>
      </c>
      <c r="E687" s="23">
        <v>840.04</v>
      </c>
      <c r="F687" s="23">
        <v>1274.54</v>
      </c>
      <c r="G687" s="5" t="s">
        <v>32</v>
      </c>
      <c r="H687" s="5" t="s">
        <v>21</v>
      </c>
      <c r="I687" s="5" t="s">
        <v>17</v>
      </c>
      <c r="J687" s="6">
        <f>Table1[[#This Row],[Profit]]/Table1[[#This Row],[Sales]]</f>
        <v>0.60273907820938433</v>
      </c>
      <c r="K687" s="5" t="str">
        <f t="shared" si="10"/>
        <v>High</v>
      </c>
      <c r="L687" s="5" t="str">
        <f>TEXT(Table1[[#This Row],[Order_Date]],"MMM")</f>
        <v>Jun</v>
      </c>
      <c r="M687" s="5" t="str">
        <f>IF(Table1[[#This Row],[Profit]]&gt;=1000,"Excellent",IF(Table1[[#This Row],[Profit]]&gt;=500,"Good", IF(Table1[[#This Row],[Profit]]&lt;500,"Low")))</f>
        <v>Excellent</v>
      </c>
      <c r="N687" s="7" t="str">
        <f>TEXT(Table1[[#This Row],[Order_Date]],"YYY")</f>
        <v>2024</v>
      </c>
    </row>
    <row r="688" spans="1:14" x14ac:dyDescent="0.3">
      <c r="A688" s="4">
        <v>45473</v>
      </c>
      <c r="B688" s="5" t="s">
        <v>8</v>
      </c>
      <c r="C688" s="5" t="s">
        <v>26</v>
      </c>
      <c r="D688" s="23">
        <v>893.3</v>
      </c>
      <c r="E688" s="23">
        <v>276.66000000000003</v>
      </c>
      <c r="F688" s="23">
        <v>616.64</v>
      </c>
      <c r="G688" s="5" t="s">
        <v>9</v>
      </c>
      <c r="H688" s="5" t="s">
        <v>29</v>
      </c>
      <c r="I688" s="5" t="s">
        <v>27</v>
      </c>
      <c r="J688" s="6">
        <f>Table1[[#This Row],[Profit]]/Table1[[#This Row],[Sales]]</f>
        <v>0.6902944139706706</v>
      </c>
      <c r="K688" s="5" t="str">
        <f t="shared" si="10"/>
        <v>Low</v>
      </c>
      <c r="L688" s="5" t="str">
        <f>TEXT(Table1[[#This Row],[Order_Date]],"MMM")</f>
        <v>Jun</v>
      </c>
      <c r="M688" s="5" t="str">
        <f>IF(Table1[[#This Row],[Profit]]&gt;=1000,"Excellent",IF(Table1[[#This Row],[Profit]]&gt;=500,"Good", IF(Table1[[#This Row],[Profit]]&lt;500,"Low")))</f>
        <v>Good</v>
      </c>
      <c r="N688" s="7" t="str">
        <f>TEXT(Table1[[#This Row],[Order_Date]],"YYY")</f>
        <v>2024</v>
      </c>
    </row>
    <row r="689" spans="1:14" x14ac:dyDescent="0.3">
      <c r="A689" s="4">
        <v>45473</v>
      </c>
      <c r="B689" s="5" t="s">
        <v>0</v>
      </c>
      <c r="C689" s="5" t="s">
        <v>5</v>
      </c>
      <c r="D689" s="23">
        <v>2101.1799999999998</v>
      </c>
      <c r="E689" s="23">
        <v>663.01</v>
      </c>
      <c r="F689" s="23">
        <v>1438.17</v>
      </c>
      <c r="G689" s="5" t="s">
        <v>2</v>
      </c>
      <c r="H689" s="5" t="s">
        <v>10</v>
      </c>
      <c r="I689" s="5" t="s">
        <v>17</v>
      </c>
      <c r="J689" s="6">
        <f>Table1[[#This Row],[Profit]]/Table1[[#This Row],[Sales]]</f>
        <v>0.68445825678904249</v>
      </c>
      <c r="K689" s="5" t="str">
        <f t="shared" si="10"/>
        <v>High</v>
      </c>
      <c r="L689" s="5" t="str">
        <f>TEXT(Table1[[#This Row],[Order_Date]],"MMM")</f>
        <v>Jun</v>
      </c>
      <c r="M689" s="5" t="str">
        <f>IF(Table1[[#This Row],[Profit]]&gt;=1000,"Excellent",IF(Table1[[#This Row],[Profit]]&gt;=500,"Good", IF(Table1[[#This Row],[Profit]]&lt;500,"Low")))</f>
        <v>Excellent</v>
      </c>
      <c r="N689" s="7" t="str">
        <f>TEXT(Table1[[#This Row],[Order_Date]],"YYY")</f>
        <v>2024</v>
      </c>
    </row>
    <row r="690" spans="1:14" x14ac:dyDescent="0.3">
      <c r="A690" s="4">
        <v>45473</v>
      </c>
      <c r="B690" s="5" t="s">
        <v>0</v>
      </c>
      <c r="C690" s="5" t="s">
        <v>31</v>
      </c>
      <c r="D690" s="23">
        <v>78.989999999999995</v>
      </c>
      <c r="E690" s="23">
        <v>30.95</v>
      </c>
      <c r="F690" s="23">
        <v>48.04</v>
      </c>
      <c r="G690" s="5" t="s">
        <v>6</v>
      </c>
      <c r="H690" s="5" t="s">
        <v>3</v>
      </c>
      <c r="I690" s="5" t="s">
        <v>22</v>
      </c>
      <c r="J690" s="6">
        <f>Table1[[#This Row],[Profit]]/Table1[[#This Row],[Sales]]</f>
        <v>0.60817825041144447</v>
      </c>
      <c r="K690" s="5" t="str">
        <f t="shared" si="10"/>
        <v>Low</v>
      </c>
      <c r="L690" s="5" t="str">
        <f>TEXT(Table1[[#This Row],[Order_Date]],"MMM")</f>
        <v>Jun</v>
      </c>
      <c r="M690" s="5" t="str">
        <f>IF(Table1[[#This Row],[Profit]]&gt;=1000,"Excellent",IF(Table1[[#This Row],[Profit]]&gt;=500,"Good", IF(Table1[[#This Row],[Profit]]&lt;500,"Low")))</f>
        <v>Low</v>
      </c>
      <c r="N690" s="7" t="str">
        <f>TEXT(Table1[[#This Row],[Order_Date]],"YYY")</f>
        <v>2024</v>
      </c>
    </row>
    <row r="691" spans="1:14" x14ac:dyDescent="0.3">
      <c r="A691" s="4">
        <v>45473</v>
      </c>
      <c r="B691" s="5" t="s">
        <v>16</v>
      </c>
      <c r="C691" s="5" t="s">
        <v>1</v>
      </c>
      <c r="D691" s="23">
        <v>1319.49</v>
      </c>
      <c r="E691" s="23">
        <v>729.41</v>
      </c>
      <c r="F691" s="23">
        <v>590.08000000000004</v>
      </c>
      <c r="G691" s="5" t="s">
        <v>2</v>
      </c>
      <c r="H691" s="5" t="s">
        <v>30</v>
      </c>
      <c r="I691" s="5" t="s">
        <v>4</v>
      </c>
      <c r="J691" s="6">
        <f>Table1[[#This Row],[Profit]]/Table1[[#This Row],[Sales]]</f>
        <v>0.44720308604081882</v>
      </c>
      <c r="K691" s="5" t="str">
        <f t="shared" si="10"/>
        <v>Low</v>
      </c>
      <c r="L691" s="5" t="str">
        <f>TEXT(Table1[[#This Row],[Order_Date]],"MMM")</f>
        <v>Jun</v>
      </c>
      <c r="M691" s="5" t="str">
        <f>IF(Table1[[#This Row],[Profit]]&gt;=1000,"Excellent",IF(Table1[[#This Row],[Profit]]&gt;=500,"Good", IF(Table1[[#This Row],[Profit]]&lt;500,"Low")))</f>
        <v>Good</v>
      </c>
      <c r="N691" s="7" t="str">
        <f>TEXT(Table1[[#This Row],[Order_Date]],"YYY")</f>
        <v>2024</v>
      </c>
    </row>
    <row r="692" spans="1:14" x14ac:dyDescent="0.3">
      <c r="A692" s="4">
        <v>45474</v>
      </c>
      <c r="B692" s="5" t="s">
        <v>13</v>
      </c>
      <c r="C692" s="5" t="s">
        <v>14</v>
      </c>
      <c r="D692" s="23">
        <v>46.45</v>
      </c>
      <c r="E692" s="23">
        <v>24.28</v>
      </c>
      <c r="F692" s="23">
        <v>22.17</v>
      </c>
      <c r="G692" s="5" t="s">
        <v>20</v>
      </c>
      <c r="H692" s="5" t="s">
        <v>36</v>
      </c>
      <c r="I692" s="5" t="s">
        <v>17</v>
      </c>
      <c r="J692" s="6">
        <f>Table1[[#This Row],[Profit]]/Table1[[#This Row],[Sales]]</f>
        <v>0.47728740581270185</v>
      </c>
      <c r="K692" s="5" t="str">
        <f t="shared" si="10"/>
        <v>Low</v>
      </c>
      <c r="L692" s="5" t="str">
        <f>TEXT(Table1[[#This Row],[Order_Date]],"MMM")</f>
        <v>Jul</v>
      </c>
      <c r="M692" s="5" t="str">
        <f>IF(Table1[[#This Row],[Profit]]&gt;=1000,"Excellent",IF(Table1[[#This Row],[Profit]]&gt;=500,"Good", IF(Table1[[#This Row],[Profit]]&lt;500,"Low")))</f>
        <v>Low</v>
      </c>
      <c r="N692" s="7" t="str">
        <f>TEXT(Table1[[#This Row],[Order_Date]],"YYY")</f>
        <v>2024</v>
      </c>
    </row>
    <row r="693" spans="1:14" x14ac:dyDescent="0.3">
      <c r="A693" s="4">
        <v>45474</v>
      </c>
      <c r="B693" s="5" t="s">
        <v>8</v>
      </c>
      <c r="C693" s="5" t="s">
        <v>31</v>
      </c>
      <c r="D693" s="23">
        <v>30.09</v>
      </c>
      <c r="E693" s="23">
        <v>9.6</v>
      </c>
      <c r="F693" s="23">
        <v>20.49</v>
      </c>
      <c r="G693" s="5" t="s">
        <v>6</v>
      </c>
      <c r="H693" s="5" t="s">
        <v>35</v>
      </c>
      <c r="I693" s="5" t="s">
        <v>11</v>
      </c>
      <c r="J693" s="6">
        <f>Table1[[#This Row],[Profit]]/Table1[[#This Row],[Sales]]</f>
        <v>0.68095712861415747</v>
      </c>
      <c r="K693" s="5" t="str">
        <f t="shared" si="10"/>
        <v>Low</v>
      </c>
      <c r="L693" s="5" t="str">
        <f>TEXT(Table1[[#This Row],[Order_Date]],"MMM")</f>
        <v>Jul</v>
      </c>
      <c r="M693" s="5" t="str">
        <f>IF(Table1[[#This Row],[Profit]]&gt;=1000,"Excellent",IF(Table1[[#This Row],[Profit]]&gt;=500,"Good", IF(Table1[[#This Row],[Profit]]&lt;500,"Low")))</f>
        <v>Low</v>
      </c>
      <c r="N693" s="7" t="str">
        <f>TEXT(Table1[[#This Row],[Order_Date]],"YYY")</f>
        <v>2024</v>
      </c>
    </row>
    <row r="694" spans="1:14" x14ac:dyDescent="0.3">
      <c r="A694" s="4">
        <v>45476</v>
      </c>
      <c r="B694" s="5" t="s">
        <v>13</v>
      </c>
      <c r="C694" s="5" t="s">
        <v>1</v>
      </c>
      <c r="D694" s="23">
        <v>134.12</v>
      </c>
      <c r="E694" s="23">
        <v>78.73</v>
      </c>
      <c r="F694" s="23">
        <v>55.39</v>
      </c>
      <c r="G694" s="5" t="s">
        <v>9</v>
      </c>
      <c r="H694" s="5" t="s">
        <v>36</v>
      </c>
      <c r="I694" s="5" t="s">
        <v>22</v>
      </c>
      <c r="J694" s="6">
        <f>Table1[[#This Row],[Profit]]/Table1[[#This Row],[Sales]]</f>
        <v>0.41298836862511185</v>
      </c>
      <c r="K694" s="5" t="str">
        <f t="shared" si="10"/>
        <v>Low</v>
      </c>
      <c r="L694" s="5" t="str">
        <f>TEXT(Table1[[#This Row],[Order_Date]],"MMM")</f>
        <v>Jul</v>
      </c>
      <c r="M694" s="5" t="str">
        <f>IF(Table1[[#This Row],[Profit]]&gt;=1000,"Excellent",IF(Table1[[#This Row],[Profit]]&gt;=500,"Good", IF(Table1[[#This Row],[Profit]]&lt;500,"Low")))</f>
        <v>Low</v>
      </c>
      <c r="N694" s="7" t="str">
        <f>TEXT(Table1[[#This Row],[Order_Date]],"YYY")</f>
        <v>2024</v>
      </c>
    </row>
    <row r="695" spans="1:14" x14ac:dyDescent="0.3">
      <c r="A695" s="4">
        <v>45476</v>
      </c>
      <c r="B695" s="5" t="s">
        <v>16</v>
      </c>
      <c r="C695" s="5" t="s">
        <v>19</v>
      </c>
      <c r="D695" s="23">
        <v>71.2</v>
      </c>
      <c r="E695" s="23">
        <v>19.78</v>
      </c>
      <c r="F695" s="23">
        <v>51.42</v>
      </c>
      <c r="G695" s="5" t="s">
        <v>20</v>
      </c>
      <c r="H695" s="5" t="s">
        <v>21</v>
      </c>
      <c r="I695" s="5" t="s">
        <v>4</v>
      </c>
      <c r="J695" s="6">
        <f>Table1[[#This Row],[Profit]]/Table1[[#This Row],[Sales]]</f>
        <v>0.72219101123595508</v>
      </c>
      <c r="K695" s="5" t="str">
        <f t="shared" si="10"/>
        <v>Low</v>
      </c>
      <c r="L695" s="5" t="str">
        <f>TEXT(Table1[[#This Row],[Order_Date]],"MMM")</f>
        <v>Jul</v>
      </c>
      <c r="M695" s="5" t="str">
        <f>IF(Table1[[#This Row],[Profit]]&gt;=1000,"Excellent",IF(Table1[[#This Row],[Profit]]&gt;=500,"Good", IF(Table1[[#This Row],[Profit]]&lt;500,"Low")))</f>
        <v>Low</v>
      </c>
      <c r="N695" s="7" t="str">
        <f>TEXT(Table1[[#This Row],[Order_Date]],"YYY")</f>
        <v>2024</v>
      </c>
    </row>
    <row r="696" spans="1:14" x14ac:dyDescent="0.3">
      <c r="A696" s="4">
        <v>45477</v>
      </c>
      <c r="B696" s="5" t="s">
        <v>8</v>
      </c>
      <c r="C696" s="5" t="s">
        <v>31</v>
      </c>
      <c r="D696" s="23">
        <v>289.12</v>
      </c>
      <c r="E696" s="23">
        <v>73.14</v>
      </c>
      <c r="F696" s="23">
        <v>215.98</v>
      </c>
      <c r="G696" s="5" t="s">
        <v>32</v>
      </c>
      <c r="H696" s="5" t="s">
        <v>21</v>
      </c>
      <c r="I696" s="5" t="s">
        <v>25</v>
      </c>
      <c r="J696" s="6">
        <f>Table1[[#This Row],[Profit]]/Table1[[#This Row],[Sales]]</f>
        <v>0.74702545655783059</v>
      </c>
      <c r="K696" s="5" t="str">
        <f t="shared" si="10"/>
        <v>Low</v>
      </c>
      <c r="L696" s="5" t="str">
        <f>TEXT(Table1[[#This Row],[Order_Date]],"MMM")</f>
        <v>Jul</v>
      </c>
      <c r="M696" s="5" t="str">
        <f>IF(Table1[[#This Row],[Profit]]&gt;=1000,"Excellent",IF(Table1[[#This Row],[Profit]]&gt;=500,"Good", IF(Table1[[#This Row],[Profit]]&lt;500,"Low")))</f>
        <v>Low</v>
      </c>
      <c r="N696" s="7" t="str">
        <f>TEXT(Table1[[#This Row],[Order_Date]],"YYY")</f>
        <v>2024</v>
      </c>
    </row>
    <row r="697" spans="1:14" x14ac:dyDescent="0.3">
      <c r="A697" s="4">
        <v>45477</v>
      </c>
      <c r="B697" s="5" t="s">
        <v>16</v>
      </c>
      <c r="C697" s="5" t="s">
        <v>26</v>
      </c>
      <c r="D697" s="23">
        <v>284.35000000000002</v>
      </c>
      <c r="E697" s="23">
        <v>119.1</v>
      </c>
      <c r="F697" s="23">
        <v>165.25</v>
      </c>
      <c r="G697" s="5" t="s">
        <v>2</v>
      </c>
      <c r="H697" s="5" t="s">
        <v>36</v>
      </c>
      <c r="I697" s="5" t="s">
        <v>25</v>
      </c>
      <c r="J697" s="6">
        <f>Table1[[#This Row],[Profit]]/Table1[[#This Row],[Sales]]</f>
        <v>0.58114999120801825</v>
      </c>
      <c r="K697" s="5" t="str">
        <f t="shared" si="10"/>
        <v>Low</v>
      </c>
      <c r="L697" s="5" t="str">
        <f>TEXT(Table1[[#This Row],[Order_Date]],"MMM")</f>
        <v>Jul</v>
      </c>
      <c r="M697" s="5" t="str">
        <f>IF(Table1[[#This Row],[Profit]]&gt;=1000,"Excellent",IF(Table1[[#This Row],[Profit]]&gt;=500,"Good", IF(Table1[[#This Row],[Profit]]&lt;500,"Low")))</f>
        <v>Low</v>
      </c>
      <c r="N697" s="7" t="str">
        <f>TEXT(Table1[[#This Row],[Order_Date]],"YYY")</f>
        <v>2024</v>
      </c>
    </row>
    <row r="698" spans="1:14" x14ac:dyDescent="0.3">
      <c r="A698" s="4">
        <v>45478</v>
      </c>
      <c r="B698" s="5" t="s">
        <v>0</v>
      </c>
      <c r="C698" s="5" t="s">
        <v>5</v>
      </c>
      <c r="D698" s="23">
        <v>969.47</v>
      </c>
      <c r="E698" s="23">
        <v>387.51</v>
      </c>
      <c r="F698" s="23">
        <v>581.96</v>
      </c>
      <c r="G698" s="5" t="s">
        <v>32</v>
      </c>
      <c r="H698" s="5" t="s">
        <v>3</v>
      </c>
      <c r="I698" s="5" t="s">
        <v>4</v>
      </c>
      <c r="J698" s="6">
        <f>Table1[[#This Row],[Profit]]/Table1[[#This Row],[Sales]]</f>
        <v>0.60028675461850289</v>
      </c>
      <c r="K698" s="5" t="str">
        <f t="shared" si="10"/>
        <v>Low</v>
      </c>
      <c r="L698" s="5" t="str">
        <f>TEXT(Table1[[#This Row],[Order_Date]],"MMM")</f>
        <v>Jul</v>
      </c>
      <c r="M698" s="5" t="str">
        <f>IF(Table1[[#This Row],[Profit]]&gt;=1000,"Excellent",IF(Table1[[#This Row],[Profit]]&gt;=500,"Good", IF(Table1[[#This Row],[Profit]]&lt;500,"Low")))</f>
        <v>Good</v>
      </c>
      <c r="N698" s="7" t="str">
        <f>TEXT(Table1[[#This Row],[Order_Date]],"YYY")</f>
        <v>2024</v>
      </c>
    </row>
    <row r="699" spans="1:14" x14ac:dyDescent="0.3">
      <c r="A699" s="4">
        <v>45479</v>
      </c>
      <c r="B699" s="5" t="s">
        <v>16</v>
      </c>
      <c r="C699" s="5" t="s">
        <v>5</v>
      </c>
      <c r="D699" s="23">
        <v>191.82</v>
      </c>
      <c r="E699" s="23">
        <v>73.02</v>
      </c>
      <c r="F699" s="23">
        <v>118.8</v>
      </c>
      <c r="G699" s="5" t="s">
        <v>6</v>
      </c>
      <c r="H699" s="5" t="s">
        <v>33</v>
      </c>
      <c r="I699" s="5" t="s">
        <v>27</v>
      </c>
      <c r="J699" s="6">
        <f>Table1[[#This Row],[Profit]]/Table1[[#This Row],[Sales]]</f>
        <v>0.61933062245855486</v>
      </c>
      <c r="K699" s="5" t="str">
        <f t="shared" si="10"/>
        <v>Low</v>
      </c>
      <c r="L699" s="5" t="str">
        <f>TEXT(Table1[[#This Row],[Order_Date]],"MMM")</f>
        <v>Jul</v>
      </c>
      <c r="M699" s="5" t="str">
        <f>IF(Table1[[#This Row],[Profit]]&gt;=1000,"Excellent",IF(Table1[[#This Row],[Profit]]&gt;=500,"Good", IF(Table1[[#This Row],[Profit]]&lt;500,"Low")))</f>
        <v>Low</v>
      </c>
      <c r="N699" s="7" t="str">
        <f>TEXT(Table1[[#This Row],[Order_Date]],"YYY")</f>
        <v>2024</v>
      </c>
    </row>
    <row r="700" spans="1:14" x14ac:dyDescent="0.3">
      <c r="A700" s="4">
        <v>45479</v>
      </c>
      <c r="B700" s="5" t="s">
        <v>18</v>
      </c>
      <c r="C700" s="5" t="s">
        <v>5</v>
      </c>
      <c r="D700" s="23">
        <v>948.49</v>
      </c>
      <c r="E700" s="23">
        <v>304.58999999999997</v>
      </c>
      <c r="F700" s="23">
        <v>643.9</v>
      </c>
      <c r="G700" s="5" t="s">
        <v>6</v>
      </c>
      <c r="H700" s="5" t="s">
        <v>37</v>
      </c>
      <c r="I700" s="5" t="s">
        <v>11</v>
      </c>
      <c r="J700" s="6">
        <f>Table1[[#This Row],[Profit]]/Table1[[#This Row],[Sales]]</f>
        <v>0.67886851732754161</v>
      </c>
      <c r="K700" s="5" t="str">
        <f t="shared" si="10"/>
        <v>Low</v>
      </c>
      <c r="L700" s="5" t="str">
        <f>TEXT(Table1[[#This Row],[Order_Date]],"MMM")</f>
        <v>Jul</v>
      </c>
      <c r="M700" s="5" t="str">
        <f>IF(Table1[[#This Row],[Profit]]&gt;=1000,"Excellent",IF(Table1[[#This Row],[Profit]]&gt;=500,"Good", IF(Table1[[#This Row],[Profit]]&lt;500,"Low")))</f>
        <v>Good</v>
      </c>
      <c r="N700" s="7" t="str">
        <f>TEXT(Table1[[#This Row],[Order_Date]],"YYY")</f>
        <v>2024</v>
      </c>
    </row>
    <row r="701" spans="1:14" x14ac:dyDescent="0.3">
      <c r="A701" s="4">
        <v>45479</v>
      </c>
      <c r="B701" s="5" t="s">
        <v>8</v>
      </c>
      <c r="C701" s="5" t="s">
        <v>31</v>
      </c>
      <c r="D701" s="23">
        <v>41.05</v>
      </c>
      <c r="E701" s="23">
        <v>14.85</v>
      </c>
      <c r="F701" s="23">
        <v>26.2</v>
      </c>
      <c r="G701" s="5" t="s">
        <v>32</v>
      </c>
      <c r="H701" s="5" t="s">
        <v>3</v>
      </c>
      <c r="I701" s="5" t="s">
        <v>11</v>
      </c>
      <c r="J701" s="6">
        <f>Table1[[#This Row],[Profit]]/Table1[[#This Row],[Sales]]</f>
        <v>0.63824604141291108</v>
      </c>
      <c r="K701" s="5" t="str">
        <f t="shared" si="10"/>
        <v>Low</v>
      </c>
      <c r="L701" s="5" t="str">
        <f>TEXT(Table1[[#This Row],[Order_Date]],"MMM")</f>
        <v>Jul</v>
      </c>
      <c r="M701" s="5" t="str">
        <f>IF(Table1[[#This Row],[Profit]]&gt;=1000,"Excellent",IF(Table1[[#This Row],[Profit]]&gt;=500,"Good", IF(Table1[[#This Row],[Profit]]&lt;500,"Low")))</f>
        <v>Low</v>
      </c>
      <c r="N701" s="7" t="str">
        <f>TEXT(Table1[[#This Row],[Order_Date]],"YYY")</f>
        <v>2024</v>
      </c>
    </row>
    <row r="702" spans="1:14" x14ac:dyDescent="0.3">
      <c r="A702" s="4">
        <v>45480</v>
      </c>
      <c r="B702" s="5" t="s">
        <v>18</v>
      </c>
      <c r="C702" s="5" t="s">
        <v>14</v>
      </c>
      <c r="D702" s="23">
        <v>26.56</v>
      </c>
      <c r="E702" s="23">
        <v>14.55</v>
      </c>
      <c r="F702" s="23">
        <v>12.01</v>
      </c>
      <c r="G702" s="5" t="s">
        <v>32</v>
      </c>
      <c r="H702" s="5" t="s">
        <v>15</v>
      </c>
      <c r="I702" s="5" t="s">
        <v>17</v>
      </c>
      <c r="J702" s="6">
        <f>Table1[[#This Row],[Profit]]/Table1[[#This Row],[Sales]]</f>
        <v>0.45218373493975905</v>
      </c>
      <c r="K702" s="5" t="str">
        <f t="shared" si="10"/>
        <v>Low</v>
      </c>
      <c r="L702" s="5" t="str">
        <f>TEXT(Table1[[#This Row],[Order_Date]],"MMM")</f>
        <v>Jul</v>
      </c>
      <c r="M702" s="5" t="str">
        <f>IF(Table1[[#This Row],[Profit]]&gt;=1000,"Excellent",IF(Table1[[#This Row],[Profit]]&gt;=500,"Good", IF(Table1[[#This Row],[Profit]]&lt;500,"Low")))</f>
        <v>Low</v>
      </c>
      <c r="N702" s="7" t="str">
        <f>TEXT(Table1[[#This Row],[Order_Date]],"YYY")</f>
        <v>2024</v>
      </c>
    </row>
    <row r="703" spans="1:14" x14ac:dyDescent="0.3">
      <c r="A703" s="4">
        <v>45480</v>
      </c>
      <c r="B703" s="5" t="s">
        <v>8</v>
      </c>
      <c r="C703" s="5" t="s">
        <v>31</v>
      </c>
      <c r="D703" s="23">
        <v>138.19999999999999</v>
      </c>
      <c r="E703" s="23">
        <v>40.74</v>
      </c>
      <c r="F703" s="23">
        <v>97.46</v>
      </c>
      <c r="G703" s="5" t="s">
        <v>32</v>
      </c>
      <c r="H703" s="5" t="s">
        <v>3</v>
      </c>
      <c r="I703" s="5" t="s">
        <v>27</v>
      </c>
      <c r="J703" s="6">
        <f>Table1[[#This Row],[Profit]]/Table1[[#This Row],[Sales]]</f>
        <v>0.70520984081041971</v>
      </c>
      <c r="K703" s="5" t="str">
        <f t="shared" si="10"/>
        <v>Low</v>
      </c>
      <c r="L703" s="5" t="str">
        <f>TEXT(Table1[[#This Row],[Order_Date]],"MMM")</f>
        <v>Jul</v>
      </c>
      <c r="M703" s="5" t="str">
        <f>IF(Table1[[#This Row],[Profit]]&gt;=1000,"Excellent",IF(Table1[[#This Row],[Profit]]&gt;=500,"Good", IF(Table1[[#This Row],[Profit]]&lt;500,"Low")))</f>
        <v>Low</v>
      </c>
      <c r="N703" s="7" t="str">
        <f>TEXT(Table1[[#This Row],[Order_Date]],"YYY")</f>
        <v>2024</v>
      </c>
    </row>
    <row r="704" spans="1:14" x14ac:dyDescent="0.3">
      <c r="A704" s="4">
        <v>45480</v>
      </c>
      <c r="B704" s="5" t="s">
        <v>18</v>
      </c>
      <c r="C704" s="5" t="s">
        <v>19</v>
      </c>
      <c r="D704" s="23">
        <v>115.14</v>
      </c>
      <c r="E704" s="23">
        <v>28.77</v>
      </c>
      <c r="F704" s="23">
        <v>86.37</v>
      </c>
      <c r="G704" s="5" t="s">
        <v>32</v>
      </c>
      <c r="H704" s="5" t="s">
        <v>37</v>
      </c>
      <c r="I704" s="5" t="s">
        <v>25</v>
      </c>
      <c r="J704" s="6">
        <f>Table1[[#This Row],[Profit]]/Table1[[#This Row],[Sales]]</f>
        <v>0.75013027618551331</v>
      </c>
      <c r="K704" s="5" t="str">
        <f t="shared" si="10"/>
        <v>Low</v>
      </c>
      <c r="L704" s="5" t="str">
        <f>TEXT(Table1[[#This Row],[Order_Date]],"MMM")</f>
        <v>Jul</v>
      </c>
      <c r="M704" s="5" t="str">
        <f>IF(Table1[[#This Row],[Profit]]&gt;=1000,"Excellent",IF(Table1[[#This Row],[Profit]]&gt;=500,"Good", IF(Table1[[#This Row],[Profit]]&lt;500,"Low")))</f>
        <v>Low</v>
      </c>
      <c r="N704" s="7" t="str">
        <f>TEXT(Table1[[#This Row],[Order_Date]],"YYY")</f>
        <v>2024</v>
      </c>
    </row>
    <row r="705" spans="1:14" x14ac:dyDescent="0.3">
      <c r="A705" s="4">
        <v>45480</v>
      </c>
      <c r="B705" s="5" t="s">
        <v>13</v>
      </c>
      <c r="C705" s="5" t="s">
        <v>5</v>
      </c>
      <c r="D705" s="23">
        <v>1100.94</v>
      </c>
      <c r="E705" s="23">
        <v>452.1</v>
      </c>
      <c r="F705" s="23">
        <v>648.84</v>
      </c>
      <c r="G705" s="5" t="s">
        <v>6</v>
      </c>
      <c r="H705" s="5" t="s">
        <v>7</v>
      </c>
      <c r="I705" s="5" t="s">
        <v>25</v>
      </c>
      <c r="J705" s="6">
        <f>Table1[[#This Row],[Profit]]/Table1[[#This Row],[Sales]]</f>
        <v>0.5893509183061747</v>
      </c>
      <c r="K705" s="5" t="str">
        <f t="shared" si="10"/>
        <v>Low</v>
      </c>
      <c r="L705" s="5" t="str">
        <f>TEXT(Table1[[#This Row],[Order_Date]],"MMM")</f>
        <v>Jul</v>
      </c>
      <c r="M705" s="5" t="str">
        <f>IF(Table1[[#This Row],[Profit]]&gt;=1000,"Excellent",IF(Table1[[#This Row],[Profit]]&gt;=500,"Good", IF(Table1[[#This Row],[Profit]]&lt;500,"Low")))</f>
        <v>Good</v>
      </c>
      <c r="N705" s="7" t="str">
        <f>TEXT(Table1[[#This Row],[Order_Date]],"YYY")</f>
        <v>2024</v>
      </c>
    </row>
    <row r="706" spans="1:14" x14ac:dyDescent="0.3">
      <c r="A706" s="4">
        <v>45481</v>
      </c>
      <c r="B706" s="5" t="s">
        <v>16</v>
      </c>
      <c r="C706" s="5" t="s">
        <v>1</v>
      </c>
      <c r="D706" s="23">
        <v>676.51</v>
      </c>
      <c r="E706" s="23">
        <v>408.5</v>
      </c>
      <c r="F706" s="23">
        <v>268.01</v>
      </c>
      <c r="G706" s="5" t="s">
        <v>9</v>
      </c>
      <c r="H706" s="5" t="s">
        <v>33</v>
      </c>
      <c r="I706" s="5" t="s">
        <v>4</v>
      </c>
      <c r="J706" s="6">
        <f>Table1[[#This Row],[Profit]]/Table1[[#This Row],[Sales]]</f>
        <v>0.39616561469896971</v>
      </c>
      <c r="K706" s="5" t="str">
        <f t="shared" ref="K706:K769" si="11">IF(D706&gt;=2000,"High",IF(D706&gt;=1500,"Medium","Low"))</f>
        <v>Low</v>
      </c>
      <c r="L706" s="5" t="str">
        <f>TEXT(Table1[[#This Row],[Order_Date]],"MMM")</f>
        <v>Jul</v>
      </c>
      <c r="M706" s="5" t="str">
        <f>IF(Table1[[#This Row],[Profit]]&gt;=1000,"Excellent",IF(Table1[[#This Row],[Profit]]&gt;=500,"Good", IF(Table1[[#This Row],[Profit]]&lt;500,"Low")))</f>
        <v>Low</v>
      </c>
      <c r="N706" s="7" t="str">
        <f>TEXT(Table1[[#This Row],[Order_Date]],"YYY")</f>
        <v>2024</v>
      </c>
    </row>
    <row r="707" spans="1:14" x14ac:dyDescent="0.3">
      <c r="A707" s="4">
        <v>45482</v>
      </c>
      <c r="B707" s="5" t="s">
        <v>18</v>
      </c>
      <c r="C707" s="5" t="s">
        <v>19</v>
      </c>
      <c r="D707" s="23">
        <v>66.5</v>
      </c>
      <c r="E707" s="23">
        <v>17.38</v>
      </c>
      <c r="F707" s="23">
        <v>49.12</v>
      </c>
      <c r="G707" s="5" t="s">
        <v>2</v>
      </c>
      <c r="H707" s="5" t="s">
        <v>15</v>
      </c>
      <c r="I707" s="5" t="s">
        <v>22</v>
      </c>
      <c r="J707" s="6">
        <f>Table1[[#This Row],[Profit]]/Table1[[#This Row],[Sales]]</f>
        <v>0.73864661654135333</v>
      </c>
      <c r="K707" s="5" t="str">
        <f t="shared" si="11"/>
        <v>Low</v>
      </c>
      <c r="L707" s="5" t="str">
        <f>TEXT(Table1[[#This Row],[Order_Date]],"MMM")</f>
        <v>Jul</v>
      </c>
      <c r="M707" s="5" t="str">
        <f>IF(Table1[[#This Row],[Profit]]&gt;=1000,"Excellent",IF(Table1[[#This Row],[Profit]]&gt;=500,"Good", IF(Table1[[#This Row],[Profit]]&lt;500,"Low")))</f>
        <v>Low</v>
      </c>
      <c r="N707" s="7" t="str">
        <f>TEXT(Table1[[#This Row],[Order_Date]],"YYY")</f>
        <v>2024</v>
      </c>
    </row>
    <row r="708" spans="1:14" x14ac:dyDescent="0.3">
      <c r="A708" s="4">
        <v>45482</v>
      </c>
      <c r="B708" s="5" t="s">
        <v>18</v>
      </c>
      <c r="C708" s="5" t="s">
        <v>19</v>
      </c>
      <c r="D708" s="23">
        <v>142.79</v>
      </c>
      <c r="E708" s="23">
        <v>43.66</v>
      </c>
      <c r="F708" s="23">
        <v>99.13</v>
      </c>
      <c r="G708" s="5" t="s">
        <v>6</v>
      </c>
      <c r="H708" s="5" t="s">
        <v>15</v>
      </c>
      <c r="I708" s="5" t="s">
        <v>17</v>
      </c>
      <c r="J708" s="6">
        <f>Table1[[#This Row],[Profit]]/Table1[[#This Row],[Sales]]</f>
        <v>0.69423629105679674</v>
      </c>
      <c r="K708" s="5" t="str">
        <f t="shared" si="11"/>
        <v>Low</v>
      </c>
      <c r="L708" s="5" t="str">
        <f>TEXT(Table1[[#This Row],[Order_Date]],"MMM")</f>
        <v>Jul</v>
      </c>
      <c r="M708" s="5" t="str">
        <f>IF(Table1[[#This Row],[Profit]]&gt;=1000,"Excellent",IF(Table1[[#This Row],[Profit]]&gt;=500,"Good", IF(Table1[[#This Row],[Profit]]&lt;500,"Low")))</f>
        <v>Low</v>
      </c>
      <c r="N708" s="7" t="str">
        <f>TEXT(Table1[[#This Row],[Order_Date]],"YYY")</f>
        <v>2024</v>
      </c>
    </row>
    <row r="709" spans="1:14" x14ac:dyDescent="0.3">
      <c r="A709" s="4">
        <v>45482</v>
      </c>
      <c r="B709" s="5" t="s">
        <v>8</v>
      </c>
      <c r="C709" s="5" t="s">
        <v>5</v>
      </c>
      <c r="D709" s="23">
        <v>1988.22</v>
      </c>
      <c r="E709" s="23">
        <v>896.57</v>
      </c>
      <c r="F709" s="23">
        <v>1091.6500000000001</v>
      </c>
      <c r="G709" s="5" t="s">
        <v>20</v>
      </c>
      <c r="H709" s="5" t="s">
        <v>29</v>
      </c>
      <c r="I709" s="5" t="s">
        <v>25</v>
      </c>
      <c r="J709" s="6">
        <f>Table1[[#This Row],[Profit]]/Table1[[#This Row],[Sales]]</f>
        <v>0.54905895725825116</v>
      </c>
      <c r="K709" s="5" t="str">
        <f t="shared" si="11"/>
        <v>Medium</v>
      </c>
      <c r="L709" s="5" t="str">
        <f>TEXT(Table1[[#This Row],[Order_Date]],"MMM")</f>
        <v>Jul</v>
      </c>
      <c r="M709" s="5" t="str">
        <f>IF(Table1[[#This Row],[Profit]]&gt;=1000,"Excellent",IF(Table1[[#This Row],[Profit]]&gt;=500,"Good", IF(Table1[[#This Row],[Profit]]&lt;500,"Low")))</f>
        <v>Excellent</v>
      </c>
      <c r="N709" s="7" t="str">
        <f>TEXT(Table1[[#This Row],[Order_Date]],"YYY")</f>
        <v>2024</v>
      </c>
    </row>
    <row r="710" spans="1:14" x14ac:dyDescent="0.3">
      <c r="A710" s="4">
        <v>45483</v>
      </c>
      <c r="B710" s="5" t="s">
        <v>8</v>
      </c>
      <c r="C710" s="5" t="s">
        <v>1</v>
      </c>
      <c r="D710" s="23">
        <v>1069.83</v>
      </c>
      <c r="E710" s="23">
        <v>518.14</v>
      </c>
      <c r="F710" s="23">
        <v>551.69000000000005</v>
      </c>
      <c r="G710" s="5" t="s">
        <v>20</v>
      </c>
      <c r="H710" s="5" t="s">
        <v>29</v>
      </c>
      <c r="I710" s="5" t="s">
        <v>22</v>
      </c>
      <c r="J710" s="6">
        <f>Table1[[#This Row],[Profit]]/Table1[[#This Row],[Sales]]</f>
        <v>0.51568006131815347</v>
      </c>
      <c r="K710" s="5" t="str">
        <f t="shared" si="11"/>
        <v>Low</v>
      </c>
      <c r="L710" s="5" t="str">
        <f>TEXT(Table1[[#This Row],[Order_Date]],"MMM")</f>
        <v>Jul</v>
      </c>
      <c r="M710" s="5" t="str">
        <f>IF(Table1[[#This Row],[Profit]]&gt;=1000,"Excellent",IF(Table1[[#This Row],[Profit]]&gt;=500,"Good", IF(Table1[[#This Row],[Profit]]&lt;500,"Low")))</f>
        <v>Good</v>
      </c>
      <c r="N710" s="7" t="str">
        <f>TEXT(Table1[[#This Row],[Order_Date]],"YYY")</f>
        <v>2024</v>
      </c>
    </row>
    <row r="711" spans="1:14" x14ac:dyDescent="0.3">
      <c r="A711" s="4">
        <v>45483</v>
      </c>
      <c r="B711" s="5" t="s">
        <v>18</v>
      </c>
      <c r="C711" s="5" t="s">
        <v>26</v>
      </c>
      <c r="D711" s="23">
        <v>1052.6300000000001</v>
      </c>
      <c r="E711" s="23">
        <v>406.87</v>
      </c>
      <c r="F711" s="23">
        <v>645.76</v>
      </c>
      <c r="G711" s="5" t="s">
        <v>6</v>
      </c>
      <c r="H711" s="5" t="s">
        <v>30</v>
      </c>
      <c r="I711" s="5" t="s">
        <v>25</v>
      </c>
      <c r="J711" s="6">
        <f>Table1[[#This Row],[Profit]]/Table1[[#This Row],[Sales]]</f>
        <v>0.61347292020938027</v>
      </c>
      <c r="K711" s="5" t="str">
        <f t="shared" si="11"/>
        <v>Low</v>
      </c>
      <c r="L711" s="5" t="str">
        <f>TEXT(Table1[[#This Row],[Order_Date]],"MMM")</f>
        <v>Jul</v>
      </c>
      <c r="M711" s="5" t="str">
        <f>IF(Table1[[#This Row],[Profit]]&gt;=1000,"Excellent",IF(Table1[[#This Row],[Profit]]&gt;=500,"Good", IF(Table1[[#This Row],[Profit]]&lt;500,"Low")))</f>
        <v>Good</v>
      </c>
      <c r="N711" s="7" t="str">
        <f>TEXT(Table1[[#This Row],[Order_Date]],"YYY")</f>
        <v>2024</v>
      </c>
    </row>
    <row r="712" spans="1:14" x14ac:dyDescent="0.3">
      <c r="A712" s="4">
        <v>45483</v>
      </c>
      <c r="B712" s="5" t="s">
        <v>8</v>
      </c>
      <c r="C712" s="5" t="s">
        <v>14</v>
      </c>
      <c r="D712" s="23">
        <v>311.92</v>
      </c>
      <c r="E712" s="23">
        <v>156</v>
      </c>
      <c r="F712" s="23">
        <v>155.91999999999999</v>
      </c>
      <c r="G712" s="5" t="s">
        <v>6</v>
      </c>
      <c r="H712" s="5" t="s">
        <v>30</v>
      </c>
      <c r="I712" s="5" t="s">
        <v>27</v>
      </c>
      <c r="J712" s="6">
        <f>Table1[[#This Row],[Profit]]/Table1[[#This Row],[Sales]]</f>
        <v>0.49987176199025385</v>
      </c>
      <c r="K712" s="5" t="str">
        <f t="shared" si="11"/>
        <v>Low</v>
      </c>
      <c r="L712" s="5" t="str">
        <f>TEXT(Table1[[#This Row],[Order_Date]],"MMM")</f>
        <v>Jul</v>
      </c>
      <c r="M712" s="5" t="str">
        <f>IF(Table1[[#This Row],[Profit]]&gt;=1000,"Excellent",IF(Table1[[#This Row],[Profit]]&gt;=500,"Good", IF(Table1[[#This Row],[Profit]]&lt;500,"Low")))</f>
        <v>Low</v>
      </c>
      <c r="N712" s="7" t="str">
        <f>TEXT(Table1[[#This Row],[Order_Date]],"YYY")</f>
        <v>2024</v>
      </c>
    </row>
    <row r="713" spans="1:14" x14ac:dyDescent="0.3">
      <c r="A713" s="4">
        <v>45484</v>
      </c>
      <c r="B713" s="5" t="s">
        <v>8</v>
      </c>
      <c r="C713" s="5" t="s">
        <v>31</v>
      </c>
      <c r="D713" s="23">
        <v>288.52999999999997</v>
      </c>
      <c r="E713" s="23">
        <v>115.21</v>
      </c>
      <c r="F713" s="23">
        <v>173.32</v>
      </c>
      <c r="G713" s="5" t="s">
        <v>6</v>
      </c>
      <c r="H713" s="5" t="s">
        <v>24</v>
      </c>
      <c r="I713" s="5" t="s">
        <v>17</v>
      </c>
      <c r="J713" s="6">
        <f>Table1[[#This Row],[Profit]]/Table1[[#This Row],[Sales]]</f>
        <v>0.60070010050947908</v>
      </c>
      <c r="K713" s="5" t="str">
        <f t="shared" si="11"/>
        <v>Low</v>
      </c>
      <c r="L713" s="5" t="str">
        <f>TEXT(Table1[[#This Row],[Order_Date]],"MMM")</f>
        <v>Jul</v>
      </c>
      <c r="M713" s="5" t="str">
        <f>IF(Table1[[#This Row],[Profit]]&gt;=1000,"Excellent",IF(Table1[[#This Row],[Profit]]&gt;=500,"Good", IF(Table1[[#This Row],[Profit]]&lt;500,"Low")))</f>
        <v>Low</v>
      </c>
      <c r="N713" s="7" t="str">
        <f>TEXT(Table1[[#This Row],[Order_Date]],"YYY")</f>
        <v>2024</v>
      </c>
    </row>
    <row r="714" spans="1:14" x14ac:dyDescent="0.3">
      <c r="A714" s="4">
        <v>45485</v>
      </c>
      <c r="B714" s="5" t="s">
        <v>16</v>
      </c>
      <c r="C714" s="5" t="s">
        <v>14</v>
      </c>
      <c r="D714" s="23">
        <v>316.08</v>
      </c>
      <c r="E714" s="23">
        <v>125.53</v>
      </c>
      <c r="F714" s="23">
        <v>190.55</v>
      </c>
      <c r="G714" s="5" t="s">
        <v>9</v>
      </c>
      <c r="H714" s="5" t="s">
        <v>29</v>
      </c>
      <c r="I714" s="5" t="s">
        <v>17</v>
      </c>
      <c r="J714" s="6">
        <f>Table1[[#This Row],[Profit]]/Table1[[#This Row],[Sales]]</f>
        <v>0.60285370792204507</v>
      </c>
      <c r="K714" s="5" t="str">
        <f t="shared" si="11"/>
        <v>Low</v>
      </c>
      <c r="L714" s="5" t="str">
        <f>TEXT(Table1[[#This Row],[Order_Date]],"MMM")</f>
        <v>Jul</v>
      </c>
      <c r="M714" s="5" t="str">
        <f>IF(Table1[[#This Row],[Profit]]&gt;=1000,"Excellent",IF(Table1[[#This Row],[Profit]]&gt;=500,"Good", IF(Table1[[#This Row],[Profit]]&lt;500,"Low")))</f>
        <v>Low</v>
      </c>
      <c r="N714" s="7" t="str">
        <f>TEXT(Table1[[#This Row],[Order_Date]],"YYY")</f>
        <v>2024</v>
      </c>
    </row>
    <row r="715" spans="1:14" x14ac:dyDescent="0.3">
      <c r="A715" s="4">
        <v>45485</v>
      </c>
      <c r="B715" s="5" t="s">
        <v>16</v>
      </c>
      <c r="C715" s="5" t="s">
        <v>23</v>
      </c>
      <c r="D715" s="23">
        <v>77.319999999999993</v>
      </c>
      <c r="E715" s="23">
        <v>25.88</v>
      </c>
      <c r="F715" s="23">
        <v>51.44</v>
      </c>
      <c r="G715" s="5" t="s">
        <v>20</v>
      </c>
      <c r="H715" s="5" t="s">
        <v>29</v>
      </c>
      <c r="I715" s="5" t="s">
        <v>11</v>
      </c>
      <c r="J715" s="6">
        <f>Table1[[#This Row],[Profit]]/Table1[[#This Row],[Sales]]</f>
        <v>0.66528711846870148</v>
      </c>
      <c r="K715" s="5" t="str">
        <f t="shared" si="11"/>
        <v>Low</v>
      </c>
      <c r="L715" s="5" t="str">
        <f>TEXT(Table1[[#This Row],[Order_Date]],"MMM")</f>
        <v>Jul</v>
      </c>
      <c r="M715" s="5" t="str">
        <f>IF(Table1[[#This Row],[Profit]]&gt;=1000,"Excellent",IF(Table1[[#This Row],[Profit]]&gt;=500,"Good", IF(Table1[[#This Row],[Profit]]&lt;500,"Low")))</f>
        <v>Low</v>
      </c>
      <c r="N715" s="7" t="str">
        <f>TEXT(Table1[[#This Row],[Order_Date]],"YYY")</f>
        <v>2024</v>
      </c>
    </row>
    <row r="716" spans="1:14" x14ac:dyDescent="0.3">
      <c r="A716" s="4">
        <v>45485</v>
      </c>
      <c r="B716" s="5" t="s">
        <v>13</v>
      </c>
      <c r="C716" s="5" t="s">
        <v>26</v>
      </c>
      <c r="D716" s="23">
        <v>975.88</v>
      </c>
      <c r="E716" s="23">
        <v>433.29</v>
      </c>
      <c r="F716" s="23">
        <v>542.59</v>
      </c>
      <c r="G716" s="5" t="s">
        <v>9</v>
      </c>
      <c r="H716" s="5" t="s">
        <v>12</v>
      </c>
      <c r="I716" s="5" t="s">
        <v>17</v>
      </c>
      <c r="J716" s="6">
        <f>Table1[[#This Row],[Profit]]/Table1[[#This Row],[Sales]]</f>
        <v>0.55600073779563064</v>
      </c>
      <c r="K716" s="5" t="str">
        <f t="shared" si="11"/>
        <v>Low</v>
      </c>
      <c r="L716" s="5" t="str">
        <f>TEXT(Table1[[#This Row],[Order_Date]],"MMM")</f>
        <v>Jul</v>
      </c>
      <c r="M716" s="5" t="str">
        <f>IF(Table1[[#This Row],[Profit]]&gt;=1000,"Excellent",IF(Table1[[#This Row],[Profit]]&gt;=500,"Good", IF(Table1[[#This Row],[Profit]]&lt;500,"Low")))</f>
        <v>Good</v>
      </c>
      <c r="N716" s="7" t="str">
        <f>TEXT(Table1[[#This Row],[Order_Date]],"YYY")</f>
        <v>2024</v>
      </c>
    </row>
    <row r="717" spans="1:14" x14ac:dyDescent="0.3">
      <c r="A717" s="4">
        <v>45486</v>
      </c>
      <c r="B717" s="5" t="s">
        <v>8</v>
      </c>
      <c r="C717" s="5" t="s">
        <v>5</v>
      </c>
      <c r="D717" s="23">
        <v>1009.85</v>
      </c>
      <c r="E717" s="23">
        <v>462.18</v>
      </c>
      <c r="F717" s="23">
        <v>547.66999999999996</v>
      </c>
      <c r="G717" s="5" t="s">
        <v>6</v>
      </c>
      <c r="H717" s="5" t="s">
        <v>15</v>
      </c>
      <c r="I717" s="5" t="s">
        <v>17</v>
      </c>
      <c r="J717" s="6">
        <f>Table1[[#This Row],[Profit]]/Table1[[#This Row],[Sales]]</f>
        <v>0.54232806852502846</v>
      </c>
      <c r="K717" s="5" t="str">
        <f t="shared" si="11"/>
        <v>Low</v>
      </c>
      <c r="L717" s="5" t="str">
        <f>TEXT(Table1[[#This Row],[Order_Date]],"MMM")</f>
        <v>Jul</v>
      </c>
      <c r="M717" s="5" t="str">
        <f>IF(Table1[[#This Row],[Profit]]&gt;=1000,"Excellent",IF(Table1[[#This Row],[Profit]]&gt;=500,"Good", IF(Table1[[#This Row],[Profit]]&lt;500,"Low")))</f>
        <v>Good</v>
      </c>
      <c r="N717" s="7" t="str">
        <f>TEXT(Table1[[#This Row],[Order_Date]],"YYY")</f>
        <v>2024</v>
      </c>
    </row>
    <row r="718" spans="1:14" x14ac:dyDescent="0.3">
      <c r="A718" s="4">
        <v>45487</v>
      </c>
      <c r="B718" s="5" t="s">
        <v>0</v>
      </c>
      <c r="C718" s="5" t="s">
        <v>5</v>
      </c>
      <c r="D718" s="23">
        <v>364.86</v>
      </c>
      <c r="E718" s="23">
        <v>149.19999999999999</v>
      </c>
      <c r="F718" s="23">
        <v>215.66</v>
      </c>
      <c r="G718" s="5" t="s">
        <v>2</v>
      </c>
      <c r="H718" s="5" t="s">
        <v>12</v>
      </c>
      <c r="I718" s="5" t="s">
        <v>11</v>
      </c>
      <c r="J718" s="6">
        <f>Table1[[#This Row],[Profit]]/Table1[[#This Row],[Sales]]</f>
        <v>0.5910760291618703</v>
      </c>
      <c r="K718" s="5" t="str">
        <f t="shared" si="11"/>
        <v>Low</v>
      </c>
      <c r="L718" s="5" t="str">
        <f>TEXT(Table1[[#This Row],[Order_Date]],"MMM")</f>
        <v>Jul</v>
      </c>
      <c r="M718" s="5" t="str">
        <f>IF(Table1[[#This Row],[Profit]]&gt;=1000,"Excellent",IF(Table1[[#This Row],[Profit]]&gt;=500,"Good", IF(Table1[[#This Row],[Profit]]&lt;500,"Low")))</f>
        <v>Low</v>
      </c>
      <c r="N718" s="7" t="str">
        <f>TEXT(Table1[[#This Row],[Order_Date]],"YYY")</f>
        <v>2024</v>
      </c>
    </row>
    <row r="719" spans="1:14" x14ac:dyDescent="0.3">
      <c r="A719" s="4">
        <v>45488</v>
      </c>
      <c r="B719" s="5" t="s">
        <v>13</v>
      </c>
      <c r="C719" s="5" t="s">
        <v>1</v>
      </c>
      <c r="D719" s="23">
        <v>179.48</v>
      </c>
      <c r="E719" s="23">
        <v>109.69</v>
      </c>
      <c r="F719" s="23">
        <v>69.790000000000006</v>
      </c>
      <c r="G719" s="5" t="s">
        <v>6</v>
      </c>
      <c r="H719" s="5" t="s">
        <v>21</v>
      </c>
      <c r="I719" s="5" t="s">
        <v>27</v>
      </c>
      <c r="J719" s="6">
        <f>Table1[[#This Row],[Profit]]/Table1[[#This Row],[Sales]]</f>
        <v>0.38884555382215297</v>
      </c>
      <c r="K719" s="5" t="str">
        <f t="shared" si="11"/>
        <v>Low</v>
      </c>
      <c r="L719" s="5" t="str">
        <f>TEXT(Table1[[#This Row],[Order_Date]],"MMM")</f>
        <v>Jul</v>
      </c>
      <c r="M719" s="5" t="str">
        <f>IF(Table1[[#This Row],[Profit]]&gt;=1000,"Excellent",IF(Table1[[#This Row],[Profit]]&gt;=500,"Good", IF(Table1[[#This Row],[Profit]]&lt;500,"Low")))</f>
        <v>Low</v>
      </c>
      <c r="N719" s="7" t="str">
        <f>TEXT(Table1[[#This Row],[Order_Date]],"YYY")</f>
        <v>2024</v>
      </c>
    </row>
    <row r="720" spans="1:14" x14ac:dyDescent="0.3">
      <c r="A720" s="4">
        <v>45490</v>
      </c>
      <c r="B720" s="5" t="s">
        <v>16</v>
      </c>
      <c r="C720" s="5" t="s">
        <v>26</v>
      </c>
      <c r="D720" s="23">
        <v>975.57</v>
      </c>
      <c r="E720" s="23">
        <v>407.91</v>
      </c>
      <c r="F720" s="23">
        <v>567.66</v>
      </c>
      <c r="G720" s="5" t="s">
        <v>20</v>
      </c>
      <c r="H720" s="5" t="s">
        <v>28</v>
      </c>
      <c r="I720" s="5" t="s">
        <v>17</v>
      </c>
      <c r="J720" s="6">
        <f>Table1[[#This Row],[Profit]]/Table1[[#This Row],[Sales]]</f>
        <v>0.58187521141486509</v>
      </c>
      <c r="K720" s="5" t="str">
        <f t="shared" si="11"/>
        <v>Low</v>
      </c>
      <c r="L720" s="5" t="str">
        <f>TEXT(Table1[[#This Row],[Order_Date]],"MMM")</f>
        <v>Jul</v>
      </c>
      <c r="M720" s="5" t="str">
        <f>IF(Table1[[#This Row],[Profit]]&gt;=1000,"Excellent",IF(Table1[[#This Row],[Profit]]&gt;=500,"Good", IF(Table1[[#This Row],[Profit]]&lt;500,"Low")))</f>
        <v>Good</v>
      </c>
      <c r="N720" s="7" t="str">
        <f>TEXT(Table1[[#This Row],[Order_Date]],"YYY")</f>
        <v>2024</v>
      </c>
    </row>
    <row r="721" spans="1:14" x14ac:dyDescent="0.3">
      <c r="A721" s="4">
        <v>45490</v>
      </c>
      <c r="B721" s="5" t="s">
        <v>0</v>
      </c>
      <c r="C721" s="5" t="s">
        <v>5</v>
      </c>
      <c r="D721" s="23">
        <v>1679.23</v>
      </c>
      <c r="E721" s="23">
        <v>692.22</v>
      </c>
      <c r="F721" s="23">
        <v>987.01</v>
      </c>
      <c r="G721" s="5" t="s">
        <v>2</v>
      </c>
      <c r="H721" s="5" t="s">
        <v>30</v>
      </c>
      <c r="I721" s="5" t="s">
        <v>22</v>
      </c>
      <c r="J721" s="6">
        <f>Table1[[#This Row],[Profit]]/Table1[[#This Row],[Sales]]</f>
        <v>0.58777534941610143</v>
      </c>
      <c r="K721" s="5" t="str">
        <f t="shared" si="11"/>
        <v>Medium</v>
      </c>
      <c r="L721" s="5" t="str">
        <f>TEXT(Table1[[#This Row],[Order_Date]],"MMM")</f>
        <v>Jul</v>
      </c>
      <c r="M721" s="5" t="str">
        <f>IF(Table1[[#This Row],[Profit]]&gt;=1000,"Excellent",IF(Table1[[#This Row],[Profit]]&gt;=500,"Good", IF(Table1[[#This Row],[Profit]]&lt;500,"Low")))</f>
        <v>Good</v>
      </c>
      <c r="N721" s="7" t="str">
        <f>TEXT(Table1[[#This Row],[Order_Date]],"YYY")</f>
        <v>2024</v>
      </c>
    </row>
    <row r="722" spans="1:14" x14ac:dyDescent="0.3">
      <c r="A722" s="4">
        <v>45491</v>
      </c>
      <c r="B722" s="5" t="s">
        <v>13</v>
      </c>
      <c r="C722" s="5" t="s">
        <v>5</v>
      </c>
      <c r="D722" s="23">
        <v>1220.69</v>
      </c>
      <c r="E722" s="23">
        <v>381.79</v>
      </c>
      <c r="F722" s="23">
        <v>838.9</v>
      </c>
      <c r="G722" s="5" t="s">
        <v>2</v>
      </c>
      <c r="H722" s="5" t="s">
        <v>10</v>
      </c>
      <c r="I722" s="5" t="s">
        <v>27</v>
      </c>
      <c r="J722" s="6">
        <f>Table1[[#This Row],[Profit]]/Table1[[#This Row],[Sales]]</f>
        <v>0.68723426914286179</v>
      </c>
      <c r="K722" s="5" t="str">
        <f t="shared" si="11"/>
        <v>Low</v>
      </c>
      <c r="L722" s="5" t="str">
        <f>TEXT(Table1[[#This Row],[Order_Date]],"MMM")</f>
        <v>Jul</v>
      </c>
      <c r="M722" s="5" t="str">
        <f>IF(Table1[[#This Row],[Profit]]&gt;=1000,"Excellent",IF(Table1[[#This Row],[Profit]]&gt;=500,"Good", IF(Table1[[#This Row],[Profit]]&lt;500,"Low")))</f>
        <v>Good</v>
      </c>
      <c r="N722" s="7" t="str">
        <f>TEXT(Table1[[#This Row],[Order_Date]],"YYY")</f>
        <v>2024</v>
      </c>
    </row>
    <row r="723" spans="1:14" x14ac:dyDescent="0.3">
      <c r="A723" s="4">
        <v>45492</v>
      </c>
      <c r="B723" s="5" t="s">
        <v>0</v>
      </c>
      <c r="C723" s="5" t="s">
        <v>31</v>
      </c>
      <c r="D723" s="23">
        <v>175.2</v>
      </c>
      <c r="E723" s="23">
        <v>37.020000000000003</v>
      </c>
      <c r="F723" s="23">
        <v>138.18</v>
      </c>
      <c r="G723" s="5" t="s">
        <v>9</v>
      </c>
      <c r="H723" s="5" t="s">
        <v>7</v>
      </c>
      <c r="I723" s="5" t="s">
        <v>27</v>
      </c>
      <c r="J723" s="6">
        <f>Table1[[#This Row],[Profit]]/Table1[[#This Row],[Sales]]</f>
        <v>0.78869863013698638</v>
      </c>
      <c r="K723" s="5" t="str">
        <f t="shared" si="11"/>
        <v>Low</v>
      </c>
      <c r="L723" s="5" t="str">
        <f>TEXT(Table1[[#This Row],[Order_Date]],"MMM")</f>
        <v>Jul</v>
      </c>
      <c r="M723" s="5" t="str">
        <f>IF(Table1[[#This Row],[Profit]]&gt;=1000,"Excellent",IF(Table1[[#This Row],[Profit]]&gt;=500,"Good", IF(Table1[[#This Row],[Profit]]&lt;500,"Low")))</f>
        <v>Low</v>
      </c>
      <c r="N723" s="7" t="str">
        <f>TEXT(Table1[[#This Row],[Order_Date]],"YYY")</f>
        <v>2024</v>
      </c>
    </row>
    <row r="724" spans="1:14" x14ac:dyDescent="0.3">
      <c r="A724" s="4">
        <v>45494</v>
      </c>
      <c r="B724" s="5" t="s">
        <v>18</v>
      </c>
      <c r="C724" s="5" t="s">
        <v>19</v>
      </c>
      <c r="D724" s="23">
        <v>6.08</v>
      </c>
      <c r="E724" s="23">
        <v>2.04</v>
      </c>
      <c r="F724" s="23">
        <v>4.04</v>
      </c>
      <c r="G724" s="5" t="s">
        <v>9</v>
      </c>
      <c r="H724" s="5" t="s">
        <v>33</v>
      </c>
      <c r="I724" s="5" t="s">
        <v>4</v>
      </c>
      <c r="J724" s="6">
        <f>Table1[[#This Row],[Profit]]/Table1[[#This Row],[Sales]]</f>
        <v>0.66447368421052633</v>
      </c>
      <c r="K724" s="5" t="str">
        <f t="shared" si="11"/>
        <v>Low</v>
      </c>
      <c r="L724" s="5" t="str">
        <f>TEXT(Table1[[#This Row],[Order_Date]],"MMM")</f>
        <v>Jul</v>
      </c>
      <c r="M724" s="5" t="str">
        <f>IF(Table1[[#This Row],[Profit]]&gt;=1000,"Excellent",IF(Table1[[#This Row],[Profit]]&gt;=500,"Good", IF(Table1[[#This Row],[Profit]]&lt;500,"Low")))</f>
        <v>Low</v>
      </c>
      <c r="N724" s="7" t="str">
        <f>TEXT(Table1[[#This Row],[Order_Date]],"YYY")</f>
        <v>2024</v>
      </c>
    </row>
    <row r="725" spans="1:14" x14ac:dyDescent="0.3">
      <c r="A725" s="4">
        <v>45494</v>
      </c>
      <c r="B725" s="5" t="s">
        <v>13</v>
      </c>
      <c r="C725" s="5" t="s">
        <v>19</v>
      </c>
      <c r="D725" s="23">
        <v>95.86</v>
      </c>
      <c r="E725" s="23">
        <v>42.69</v>
      </c>
      <c r="F725" s="23">
        <v>53.17</v>
      </c>
      <c r="G725" s="5" t="s">
        <v>9</v>
      </c>
      <c r="H725" s="5" t="s">
        <v>36</v>
      </c>
      <c r="I725" s="5" t="s">
        <v>25</v>
      </c>
      <c r="J725" s="6">
        <f>Table1[[#This Row],[Profit]]/Table1[[#This Row],[Sales]]</f>
        <v>0.55466305028166074</v>
      </c>
      <c r="K725" s="5" t="str">
        <f t="shared" si="11"/>
        <v>Low</v>
      </c>
      <c r="L725" s="5" t="str">
        <f>TEXT(Table1[[#This Row],[Order_Date]],"MMM")</f>
        <v>Jul</v>
      </c>
      <c r="M725" s="5" t="str">
        <f>IF(Table1[[#This Row],[Profit]]&gt;=1000,"Excellent",IF(Table1[[#This Row],[Profit]]&gt;=500,"Good", IF(Table1[[#This Row],[Profit]]&lt;500,"Low")))</f>
        <v>Low</v>
      </c>
      <c r="N725" s="7" t="str">
        <f>TEXT(Table1[[#This Row],[Order_Date]],"YYY")</f>
        <v>2024</v>
      </c>
    </row>
    <row r="726" spans="1:14" x14ac:dyDescent="0.3">
      <c r="A726" s="4">
        <v>45495</v>
      </c>
      <c r="B726" s="5" t="s">
        <v>18</v>
      </c>
      <c r="C726" s="5" t="s">
        <v>19</v>
      </c>
      <c r="D726" s="23">
        <v>61.11</v>
      </c>
      <c r="E726" s="23">
        <v>19.61</v>
      </c>
      <c r="F726" s="23">
        <v>41.5</v>
      </c>
      <c r="G726" s="5" t="s">
        <v>6</v>
      </c>
      <c r="H726" s="5" t="s">
        <v>36</v>
      </c>
      <c r="I726" s="5" t="s">
        <v>27</v>
      </c>
      <c r="J726" s="6">
        <f>Table1[[#This Row],[Profit]]/Table1[[#This Row],[Sales]]</f>
        <v>0.67910325642284408</v>
      </c>
      <c r="K726" s="5" t="str">
        <f t="shared" si="11"/>
        <v>Low</v>
      </c>
      <c r="L726" s="5" t="str">
        <f>TEXT(Table1[[#This Row],[Order_Date]],"MMM")</f>
        <v>Jul</v>
      </c>
      <c r="M726" s="5" t="str">
        <f>IF(Table1[[#This Row],[Profit]]&gt;=1000,"Excellent",IF(Table1[[#This Row],[Profit]]&gt;=500,"Good", IF(Table1[[#This Row],[Profit]]&lt;500,"Low")))</f>
        <v>Low</v>
      </c>
      <c r="N726" s="7" t="str">
        <f>TEXT(Table1[[#This Row],[Order_Date]],"YYY")</f>
        <v>2024</v>
      </c>
    </row>
    <row r="727" spans="1:14" x14ac:dyDescent="0.3">
      <c r="A727" s="4">
        <v>45495</v>
      </c>
      <c r="B727" s="5" t="s">
        <v>18</v>
      </c>
      <c r="C727" s="5" t="s">
        <v>1</v>
      </c>
      <c r="D727" s="23">
        <v>667.72</v>
      </c>
      <c r="E727" s="23">
        <v>460.65</v>
      </c>
      <c r="F727" s="23">
        <v>207.07</v>
      </c>
      <c r="G727" s="5" t="s">
        <v>6</v>
      </c>
      <c r="H727" s="5" t="s">
        <v>29</v>
      </c>
      <c r="I727" s="5" t="s">
        <v>11</v>
      </c>
      <c r="J727" s="6">
        <f>Table1[[#This Row],[Profit]]/Table1[[#This Row],[Sales]]</f>
        <v>0.31011501827113158</v>
      </c>
      <c r="K727" s="5" t="str">
        <f t="shared" si="11"/>
        <v>Low</v>
      </c>
      <c r="L727" s="5" t="str">
        <f>TEXT(Table1[[#This Row],[Order_Date]],"MMM")</f>
        <v>Jul</v>
      </c>
      <c r="M727" s="5" t="str">
        <f>IF(Table1[[#This Row],[Profit]]&gt;=1000,"Excellent",IF(Table1[[#This Row],[Profit]]&gt;=500,"Good", IF(Table1[[#This Row],[Profit]]&lt;500,"Low")))</f>
        <v>Low</v>
      </c>
      <c r="N727" s="7" t="str">
        <f>TEXT(Table1[[#This Row],[Order_Date]],"YYY")</f>
        <v>2024</v>
      </c>
    </row>
    <row r="728" spans="1:14" x14ac:dyDescent="0.3">
      <c r="A728" s="4">
        <v>45495</v>
      </c>
      <c r="B728" s="5" t="s">
        <v>18</v>
      </c>
      <c r="C728" s="5" t="s">
        <v>31</v>
      </c>
      <c r="D728" s="23">
        <v>145.5</v>
      </c>
      <c r="E728" s="23">
        <v>48.8</v>
      </c>
      <c r="F728" s="23">
        <v>96.7</v>
      </c>
      <c r="G728" s="5" t="s">
        <v>20</v>
      </c>
      <c r="H728" s="5" t="s">
        <v>21</v>
      </c>
      <c r="I728" s="5" t="s">
        <v>11</v>
      </c>
      <c r="J728" s="6">
        <f>Table1[[#This Row],[Profit]]/Table1[[#This Row],[Sales]]</f>
        <v>0.66460481099656354</v>
      </c>
      <c r="K728" s="5" t="str">
        <f t="shared" si="11"/>
        <v>Low</v>
      </c>
      <c r="L728" s="5" t="str">
        <f>TEXT(Table1[[#This Row],[Order_Date]],"MMM")</f>
        <v>Jul</v>
      </c>
      <c r="M728" s="5" t="str">
        <f>IF(Table1[[#This Row],[Profit]]&gt;=1000,"Excellent",IF(Table1[[#This Row],[Profit]]&gt;=500,"Good", IF(Table1[[#This Row],[Profit]]&lt;500,"Low")))</f>
        <v>Low</v>
      </c>
      <c r="N728" s="7" t="str">
        <f>TEXT(Table1[[#This Row],[Order_Date]],"YYY")</f>
        <v>2024</v>
      </c>
    </row>
    <row r="729" spans="1:14" x14ac:dyDescent="0.3">
      <c r="A729" s="4">
        <v>45498</v>
      </c>
      <c r="B729" s="5" t="s">
        <v>18</v>
      </c>
      <c r="C729" s="5" t="s">
        <v>26</v>
      </c>
      <c r="D729" s="23">
        <v>507.47</v>
      </c>
      <c r="E729" s="23">
        <v>145.75</v>
      </c>
      <c r="F729" s="23">
        <v>361.72</v>
      </c>
      <c r="G729" s="5" t="s">
        <v>20</v>
      </c>
      <c r="H729" s="5" t="s">
        <v>28</v>
      </c>
      <c r="I729" s="5" t="s">
        <v>27</v>
      </c>
      <c r="J729" s="6">
        <f>Table1[[#This Row],[Profit]]/Table1[[#This Row],[Sales]]</f>
        <v>0.7127909038957968</v>
      </c>
      <c r="K729" s="5" t="str">
        <f t="shared" si="11"/>
        <v>Low</v>
      </c>
      <c r="L729" s="5" t="str">
        <f>TEXT(Table1[[#This Row],[Order_Date]],"MMM")</f>
        <v>Jul</v>
      </c>
      <c r="M729" s="5" t="str">
        <f>IF(Table1[[#This Row],[Profit]]&gt;=1000,"Excellent",IF(Table1[[#This Row],[Profit]]&gt;=500,"Good", IF(Table1[[#This Row],[Profit]]&lt;500,"Low")))</f>
        <v>Low</v>
      </c>
      <c r="N729" s="7" t="str">
        <f>TEXT(Table1[[#This Row],[Order_Date]],"YYY")</f>
        <v>2024</v>
      </c>
    </row>
    <row r="730" spans="1:14" x14ac:dyDescent="0.3">
      <c r="A730" s="4">
        <v>45498</v>
      </c>
      <c r="B730" s="5" t="s">
        <v>16</v>
      </c>
      <c r="C730" s="5" t="s">
        <v>14</v>
      </c>
      <c r="D730" s="23">
        <v>191.8</v>
      </c>
      <c r="E730" s="23">
        <v>95.19</v>
      </c>
      <c r="F730" s="23">
        <v>96.61</v>
      </c>
      <c r="G730" s="5" t="s">
        <v>20</v>
      </c>
      <c r="H730" s="5" t="s">
        <v>12</v>
      </c>
      <c r="I730" s="5" t="s">
        <v>4</v>
      </c>
      <c r="J730" s="6">
        <f>Table1[[#This Row],[Profit]]/Table1[[#This Row],[Sales]]</f>
        <v>0.50370177267987482</v>
      </c>
      <c r="K730" s="5" t="str">
        <f t="shared" si="11"/>
        <v>Low</v>
      </c>
      <c r="L730" s="5" t="str">
        <f>TEXT(Table1[[#This Row],[Order_Date]],"MMM")</f>
        <v>Jul</v>
      </c>
      <c r="M730" s="5" t="str">
        <f>IF(Table1[[#This Row],[Profit]]&gt;=1000,"Excellent",IF(Table1[[#This Row],[Profit]]&gt;=500,"Good", IF(Table1[[#This Row],[Profit]]&lt;500,"Low")))</f>
        <v>Low</v>
      </c>
      <c r="N730" s="7" t="str">
        <f>TEXT(Table1[[#This Row],[Order_Date]],"YYY")</f>
        <v>2024</v>
      </c>
    </row>
    <row r="731" spans="1:14" x14ac:dyDescent="0.3">
      <c r="A731" s="4">
        <v>45499</v>
      </c>
      <c r="B731" s="5" t="s">
        <v>18</v>
      </c>
      <c r="C731" s="5" t="s">
        <v>19</v>
      </c>
      <c r="D731" s="23">
        <v>49.81</v>
      </c>
      <c r="E731" s="23">
        <v>16.8</v>
      </c>
      <c r="F731" s="23">
        <v>33.01</v>
      </c>
      <c r="G731" s="5" t="s">
        <v>32</v>
      </c>
      <c r="H731" s="5" t="s">
        <v>24</v>
      </c>
      <c r="I731" s="5" t="s">
        <v>22</v>
      </c>
      <c r="J731" s="6">
        <f>Table1[[#This Row],[Profit]]/Table1[[#This Row],[Sales]]</f>
        <v>0.66271832965268007</v>
      </c>
      <c r="K731" s="5" t="str">
        <f t="shared" si="11"/>
        <v>Low</v>
      </c>
      <c r="L731" s="5" t="str">
        <f>TEXT(Table1[[#This Row],[Order_Date]],"MMM")</f>
        <v>Jul</v>
      </c>
      <c r="M731" s="5" t="str">
        <f>IF(Table1[[#This Row],[Profit]]&gt;=1000,"Excellent",IF(Table1[[#This Row],[Profit]]&gt;=500,"Good", IF(Table1[[#This Row],[Profit]]&lt;500,"Low")))</f>
        <v>Low</v>
      </c>
      <c r="N731" s="7" t="str">
        <f>TEXT(Table1[[#This Row],[Order_Date]],"YYY")</f>
        <v>2024</v>
      </c>
    </row>
    <row r="732" spans="1:14" x14ac:dyDescent="0.3">
      <c r="A732" s="4">
        <v>45499</v>
      </c>
      <c r="B732" s="5" t="s">
        <v>8</v>
      </c>
      <c r="C732" s="5" t="s">
        <v>19</v>
      </c>
      <c r="D732" s="23">
        <v>58.32</v>
      </c>
      <c r="E732" s="23">
        <v>14.8</v>
      </c>
      <c r="F732" s="23">
        <v>43.52</v>
      </c>
      <c r="G732" s="5" t="s">
        <v>2</v>
      </c>
      <c r="H732" s="5" t="s">
        <v>3</v>
      </c>
      <c r="I732" s="5" t="s">
        <v>11</v>
      </c>
      <c r="J732" s="6">
        <f>Table1[[#This Row],[Profit]]/Table1[[#This Row],[Sales]]</f>
        <v>0.74622770919067216</v>
      </c>
      <c r="K732" s="5" t="str">
        <f t="shared" si="11"/>
        <v>Low</v>
      </c>
      <c r="L732" s="5" t="str">
        <f>TEXT(Table1[[#This Row],[Order_Date]],"MMM")</f>
        <v>Jul</v>
      </c>
      <c r="M732" s="5" t="str">
        <f>IF(Table1[[#This Row],[Profit]]&gt;=1000,"Excellent",IF(Table1[[#This Row],[Profit]]&gt;=500,"Good", IF(Table1[[#This Row],[Profit]]&lt;500,"Low")))</f>
        <v>Low</v>
      </c>
      <c r="N732" s="7" t="str">
        <f>TEXT(Table1[[#This Row],[Order_Date]],"YYY")</f>
        <v>2024</v>
      </c>
    </row>
    <row r="733" spans="1:14" x14ac:dyDescent="0.3">
      <c r="A733" s="4">
        <v>45500</v>
      </c>
      <c r="B733" s="5" t="s">
        <v>16</v>
      </c>
      <c r="C733" s="5" t="s">
        <v>1</v>
      </c>
      <c r="D733" s="23">
        <v>969.99</v>
      </c>
      <c r="E733" s="23">
        <v>623.37</v>
      </c>
      <c r="F733" s="23">
        <v>346.62</v>
      </c>
      <c r="G733" s="5" t="s">
        <v>9</v>
      </c>
      <c r="H733" s="5" t="s">
        <v>21</v>
      </c>
      <c r="I733" s="5" t="s">
        <v>25</v>
      </c>
      <c r="J733" s="6">
        <f>Table1[[#This Row],[Profit]]/Table1[[#This Row],[Sales]]</f>
        <v>0.35734389014319734</v>
      </c>
      <c r="K733" s="5" t="str">
        <f t="shared" si="11"/>
        <v>Low</v>
      </c>
      <c r="L733" s="5" t="str">
        <f>TEXT(Table1[[#This Row],[Order_Date]],"MMM")</f>
        <v>Jul</v>
      </c>
      <c r="M733" s="5" t="str">
        <f>IF(Table1[[#This Row],[Profit]]&gt;=1000,"Excellent",IF(Table1[[#This Row],[Profit]]&gt;=500,"Good", IF(Table1[[#This Row],[Profit]]&lt;500,"Low")))</f>
        <v>Low</v>
      </c>
      <c r="N733" s="7" t="str">
        <f>TEXT(Table1[[#This Row],[Order_Date]],"YYY")</f>
        <v>2024</v>
      </c>
    </row>
    <row r="734" spans="1:14" x14ac:dyDescent="0.3">
      <c r="A734" s="4">
        <v>45501</v>
      </c>
      <c r="B734" s="5" t="s">
        <v>16</v>
      </c>
      <c r="C734" s="5" t="s">
        <v>5</v>
      </c>
      <c r="D734" s="23">
        <v>1995.01</v>
      </c>
      <c r="E734" s="23">
        <v>866.76</v>
      </c>
      <c r="F734" s="23">
        <v>1128.25</v>
      </c>
      <c r="G734" s="5" t="s">
        <v>32</v>
      </c>
      <c r="H734" s="5" t="s">
        <v>7</v>
      </c>
      <c r="I734" s="5" t="s">
        <v>27</v>
      </c>
      <c r="J734" s="6">
        <f>Table1[[#This Row],[Profit]]/Table1[[#This Row],[Sales]]</f>
        <v>0.5655360123508153</v>
      </c>
      <c r="K734" s="5" t="str">
        <f t="shared" si="11"/>
        <v>Medium</v>
      </c>
      <c r="L734" s="5" t="str">
        <f>TEXT(Table1[[#This Row],[Order_Date]],"MMM")</f>
        <v>Jul</v>
      </c>
      <c r="M734" s="5" t="str">
        <f>IF(Table1[[#This Row],[Profit]]&gt;=1000,"Excellent",IF(Table1[[#This Row],[Profit]]&gt;=500,"Good", IF(Table1[[#This Row],[Profit]]&lt;500,"Low")))</f>
        <v>Excellent</v>
      </c>
      <c r="N734" s="7" t="str">
        <f>TEXT(Table1[[#This Row],[Order_Date]],"YYY")</f>
        <v>2024</v>
      </c>
    </row>
    <row r="735" spans="1:14" x14ac:dyDescent="0.3">
      <c r="A735" s="4">
        <v>45502</v>
      </c>
      <c r="B735" s="5" t="s">
        <v>16</v>
      </c>
      <c r="C735" s="5" t="s">
        <v>1</v>
      </c>
      <c r="D735" s="23">
        <v>771.45</v>
      </c>
      <c r="E735" s="23">
        <v>433.66</v>
      </c>
      <c r="F735" s="23">
        <v>337.79</v>
      </c>
      <c r="G735" s="5" t="s">
        <v>20</v>
      </c>
      <c r="H735" s="5" t="s">
        <v>12</v>
      </c>
      <c r="I735" s="5" t="s">
        <v>27</v>
      </c>
      <c r="J735" s="6">
        <f>Table1[[#This Row],[Profit]]/Table1[[#This Row],[Sales]]</f>
        <v>0.43786376304361918</v>
      </c>
      <c r="K735" s="5" t="str">
        <f t="shared" si="11"/>
        <v>Low</v>
      </c>
      <c r="L735" s="5" t="str">
        <f>TEXT(Table1[[#This Row],[Order_Date]],"MMM")</f>
        <v>Jul</v>
      </c>
      <c r="M735" s="5" t="str">
        <f>IF(Table1[[#This Row],[Profit]]&gt;=1000,"Excellent",IF(Table1[[#This Row],[Profit]]&gt;=500,"Good", IF(Table1[[#This Row],[Profit]]&lt;500,"Low")))</f>
        <v>Low</v>
      </c>
      <c r="N735" s="7" t="str">
        <f>TEXT(Table1[[#This Row],[Order_Date]],"YYY")</f>
        <v>2024</v>
      </c>
    </row>
    <row r="736" spans="1:14" x14ac:dyDescent="0.3">
      <c r="A736" s="4">
        <v>45502</v>
      </c>
      <c r="B736" s="5" t="s">
        <v>8</v>
      </c>
      <c r="C736" s="5" t="s">
        <v>26</v>
      </c>
      <c r="D736" s="23">
        <v>1054.74</v>
      </c>
      <c r="E736" s="23">
        <v>320.56</v>
      </c>
      <c r="F736" s="23">
        <v>734.18</v>
      </c>
      <c r="G736" s="5" t="s">
        <v>6</v>
      </c>
      <c r="H736" s="5" t="s">
        <v>29</v>
      </c>
      <c r="I736" s="5" t="s">
        <v>17</v>
      </c>
      <c r="J736" s="6">
        <f>Table1[[#This Row],[Profit]]/Table1[[#This Row],[Sales]]</f>
        <v>0.6960767582532188</v>
      </c>
      <c r="K736" s="5" t="str">
        <f t="shared" si="11"/>
        <v>Low</v>
      </c>
      <c r="L736" s="5" t="str">
        <f>TEXT(Table1[[#This Row],[Order_Date]],"MMM")</f>
        <v>Jul</v>
      </c>
      <c r="M736" s="5" t="str">
        <f>IF(Table1[[#This Row],[Profit]]&gt;=1000,"Excellent",IF(Table1[[#This Row],[Profit]]&gt;=500,"Good", IF(Table1[[#This Row],[Profit]]&lt;500,"Low")))</f>
        <v>Good</v>
      </c>
      <c r="N736" s="7" t="str">
        <f>TEXT(Table1[[#This Row],[Order_Date]],"YYY")</f>
        <v>2024</v>
      </c>
    </row>
    <row r="737" spans="1:14" x14ac:dyDescent="0.3">
      <c r="A737" s="4">
        <v>45503</v>
      </c>
      <c r="B737" s="5" t="s">
        <v>16</v>
      </c>
      <c r="C737" s="5" t="s">
        <v>14</v>
      </c>
      <c r="D737" s="23">
        <v>73.27</v>
      </c>
      <c r="E737" s="23">
        <v>36.94</v>
      </c>
      <c r="F737" s="23">
        <v>36.33</v>
      </c>
      <c r="G737" s="5" t="s">
        <v>2</v>
      </c>
      <c r="H737" s="5" t="s">
        <v>34</v>
      </c>
      <c r="I737" s="5" t="s">
        <v>25</v>
      </c>
      <c r="J737" s="6">
        <f>Table1[[#This Row],[Profit]]/Table1[[#This Row],[Sales]]</f>
        <v>0.49583731404394704</v>
      </c>
      <c r="K737" s="5" t="str">
        <f t="shared" si="11"/>
        <v>Low</v>
      </c>
      <c r="L737" s="5" t="str">
        <f>TEXT(Table1[[#This Row],[Order_Date]],"MMM")</f>
        <v>Jul</v>
      </c>
      <c r="M737" s="5" t="str">
        <f>IF(Table1[[#This Row],[Profit]]&gt;=1000,"Excellent",IF(Table1[[#This Row],[Profit]]&gt;=500,"Good", IF(Table1[[#This Row],[Profit]]&lt;500,"Low")))</f>
        <v>Low</v>
      </c>
      <c r="N737" s="7" t="str">
        <f>TEXT(Table1[[#This Row],[Order_Date]],"YYY")</f>
        <v>2024</v>
      </c>
    </row>
    <row r="738" spans="1:14" x14ac:dyDescent="0.3">
      <c r="A738" s="4">
        <v>45503</v>
      </c>
      <c r="B738" s="5" t="s">
        <v>16</v>
      </c>
      <c r="C738" s="5" t="s">
        <v>5</v>
      </c>
      <c r="D738" s="23">
        <v>1726.63</v>
      </c>
      <c r="E738" s="23">
        <v>614.36</v>
      </c>
      <c r="F738" s="23">
        <v>1112.27</v>
      </c>
      <c r="G738" s="5" t="s">
        <v>9</v>
      </c>
      <c r="H738" s="5" t="s">
        <v>7</v>
      </c>
      <c r="I738" s="5" t="s">
        <v>25</v>
      </c>
      <c r="J738" s="6">
        <f>Table1[[#This Row],[Profit]]/Table1[[#This Row],[Sales]]</f>
        <v>0.64418549428655814</v>
      </c>
      <c r="K738" s="5" t="str">
        <f t="shared" si="11"/>
        <v>Medium</v>
      </c>
      <c r="L738" s="5" t="str">
        <f>TEXT(Table1[[#This Row],[Order_Date]],"MMM")</f>
        <v>Jul</v>
      </c>
      <c r="M738" s="5" t="str">
        <f>IF(Table1[[#This Row],[Profit]]&gt;=1000,"Excellent",IF(Table1[[#This Row],[Profit]]&gt;=500,"Good", IF(Table1[[#This Row],[Profit]]&lt;500,"Low")))</f>
        <v>Excellent</v>
      </c>
      <c r="N738" s="7" t="str">
        <f>TEXT(Table1[[#This Row],[Order_Date]],"YYY")</f>
        <v>2024</v>
      </c>
    </row>
    <row r="739" spans="1:14" x14ac:dyDescent="0.3">
      <c r="A739" s="4">
        <v>45503</v>
      </c>
      <c r="B739" s="5" t="s">
        <v>18</v>
      </c>
      <c r="C739" s="5" t="s">
        <v>1</v>
      </c>
      <c r="D739" s="23">
        <v>339.52</v>
      </c>
      <c r="E739" s="23">
        <v>175.24</v>
      </c>
      <c r="F739" s="23">
        <v>164.28</v>
      </c>
      <c r="G739" s="5" t="s">
        <v>6</v>
      </c>
      <c r="H739" s="5" t="s">
        <v>34</v>
      </c>
      <c r="I739" s="5" t="s">
        <v>22</v>
      </c>
      <c r="J739" s="6">
        <f>Table1[[#This Row],[Profit]]/Table1[[#This Row],[Sales]]</f>
        <v>0.48385956644674838</v>
      </c>
      <c r="K739" s="5" t="str">
        <f t="shared" si="11"/>
        <v>Low</v>
      </c>
      <c r="L739" s="5" t="str">
        <f>TEXT(Table1[[#This Row],[Order_Date]],"MMM")</f>
        <v>Jul</v>
      </c>
      <c r="M739" s="5" t="str">
        <f>IF(Table1[[#This Row],[Profit]]&gt;=1000,"Excellent",IF(Table1[[#This Row],[Profit]]&gt;=500,"Good", IF(Table1[[#This Row],[Profit]]&lt;500,"Low")))</f>
        <v>Low</v>
      </c>
      <c r="N739" s="7" t="str">
        <f>TEXT(Table1[[#This Row],[Order_Date]],"YYY")</f>
        <v>2024</v>
      </c>
    </row>
    <row r="740" spans="1:14" x14ac:dyDescent="0.3">
      <c r="A740" s="4">
        <v>45503</v>
      </c>
      <c r="B740" s="5" t="s">
        <v>18</v>
      </c>
      <c r="C740" s="5" t="s">
        <v>14</v>
      </c>
      <c r="D740" s="23">
        <v>280.18</v>
      </c>
      <c r="E740" s="23">
        <v>93.14</v>
      </c>
      <c r="F740" s="23">
        <v>187.04</v>
      </c>
      <c r="G740" s="5" t="s">
        <v>32</v>
      </c>
      <c r="H740" s="5" t="s">
        <v>37</v>
      </c>
      <c r="I740" s="5" t="s">
        <v>17</v>
      </c>
      <c r="J740" s="6">
        <f>Table1[[#This Row],[Profit]]/Table1[[#This Row],[Sales]]</f>
        <v>0.66757084731244198</v>
      </c>
      <c r="K740" s="5" t="str">
        <f t="shared" si="11"/>
        <v>Low</v>
      </c>
      <c r="L740" s="5" t="str">
        <f>TEXT(Table1[[#This Row],[Order_Date]],"MMM")</f>
        <v>Jul</v>
      </c>
      <c r="M740" s="5" t="str">
        <f>IF(Table1[[#This Row],[Profit]]&gt;=1000,"Excellent",IF(Table1[[#This Row],[Profit]]&gt;=500,"Good", IF(Table1[[#This Row],[Profit]]&lt;500,"Low")))</f>
        <v>Low</v>
      </c>
      <c r="N740" s="7" t="str">
        <f>TEXT(Table1[[#This Row],[Order_Date]],"YYY")</f>
        <v>2024</v>
      </c>
    </row>
    <row r="741" spans="1:14" x14ac:dyDescent="0.3">
      <c r="A741" s="4">
        <v>45504</v>
      </c>
      <c r="B741" s="5" t="s">
        <v>13</v>
      </c>
      <c r="C741" s="5" t="s">
        <v>26</v>
      </c>
      <c r="D741" s="23">
        <v>945.01</v>
      </c>
      <c r="E741" s="23">
        <v>416.47</v>
      </c>
      <c r="F741" s="23">
        <v>528.54</v>
      </c>
      <c r="G741" s="5" t="s">
        <v>20</v>
      </c>
      <c r="H741" s="5" t="s">
        <v>30</v>
      </c>
      <c r="I741" s="5" t="s">
        <v>17</v>
      </c>
      <c r="J741" s="6">
        <f>Table1[[#This Row],[Profit]]/Table1[[#This Row],[Sales]]</f>
        <v>0.55929566882890125</v>
      </c>
      <c r="K741" s="5" t="str">
        <f t="shared" si="11"/>
        <v>Low</v>
      </c>
      <c r="L741" s="5" t="str">
        <f>TEXT(Table1[[#This Row],[Order_Date]],"MMM")</f>
        <v>Jul</v>
      </c>
      <c r="M741" s="5" t="str">
        <f>IF(Table1[[#This Row],[Profit]]&gt;=1000,"Excellent",IF(Table1[[#This Row],[Profit]]&gt;=500,"Good", IF(Table1[[#This Row],[Profit]]&lt;500,"Low")))</f>
        <v>Good</v>
      </c>
      <c r="N741" s="7" t="str">
        <f>TEXT(Table1[[#This Row],[Order_Date]],"YYY")</f>
        <v>2024</v>
      </c>
    </row>
    <row r="742" spans="1:14" x14ac:dyDescent="0.3">
      <c r="A742" s="4">
        <v>45504</v>
      </c>
      <c r="B742" s="5" t="s">
        <v>8</v>
      </c>
      <c r="C742" s="5" t="s">
        <v>5</v>
      </c>
      <c r="D742" s="23">
        <v>1947.33</v>
      </c>
      <c r="E742" s="23">
        <v>915.96</v>
      </c>
      <c r="F742" s="23">
        <v>1031.3699999999999</v>
      </c>
      <c r="G742" s="5" t="s">
        <v>2</v>
      </c>
      <c r="H742" s="5" t="s">
        <v>24</v>
      </c>
      <c r="I742" s="5" t="s">
        <v>25</v>
      </c>
      <c r="J742" s="6">
        <f>Table1[[#This Row],[Profit]]/Table1[[#This Row],[Sales]]</f>
        <v>0.52963288194604918</v>
      </c>
      <c r="K742" s="5" t="str">
        <f t="shared" si="11"/>
        <v>Medium</v>
      </c>
      <c r="L742" s="5" t="str">
        <f>TEXT(Table1[[#This Row],[Order_Date]],"MMM")</f>
        <v>Jul</v>
      </c>
      <c r="M742" s="5" t="str">
        <f>IF(Table1[[#This Row],[Profit]]&gt;=1000,"Excellent",IF(Table1[[#This Row],[Profit]]&gt;=500,"Good", IF(Table1[[#This Row],[Profit]]&lt;500,"Low")))</f>
        <v>Excellent</v>
      </c>
      <c r="N742" s="7" t="str">
        <f>TEXT(Table1[[#This Row],[Order_Date]],"YYY")</f>
        <v>2024</v>
      </c>
    </row>
    <row r="743" spans="1:14" x14ac:dyDescent="0.3">
      <c r="A743" s="4">
        <v>45504</v>
      </c>
      <c r="B743" s="5" t="s">
        <v>0</v>
      </c>
      <c r="C743" s="5" t="s">
        <v>1</v>
      </c>
      <c r="D743" s="23">
        <v>696.37</v>
      </c>
      <c r="E743" s="23">
        <v>470.29</v>
      </c>
      <c r="F743" s="23">
        <v>226.08</v>
      </c>
      <c r="G743" s="5" t="s">
        <v>20</v>
      </c>
      <c r="H743" s="5" t="s">
        <v>3</v>
      </c>
      <c r="I743" s="5" t="s">
        <v>27</v>
      </c>
      <c r="J743" s="6">
        <f>Table1[[#This Row],[Profit]]/Table1[[#This Row],[Sales]]</f>
        <v>0.32465499662535724</v>
      </c>
      <c r="K743" s="5" t="str">
        <f t="shared" si="11"/>
        <v>Low</v>
      </c>
      <c r="L743" s="5" t="str">
        <f>TEXT(Table1[[#This Row],[Order_Date]],"MMM")</f>
        <v>Jul</v>
      </c>
      <c r="M743" s="5" t="str">
        <f>IF(Table1[[#This Row],[Profit]]&gt;=1000,"Excellent",IF(Table1[[#This Row],[Profit]]&gt;=500,"Good", IF(Table1[[#This Row],[Profit]]&lt;500,"Low")))</f>
        <v>Low</v>
      </c>
      <c r="N743" s="7" t="str">
        <f>TEXT(Table1[[#This Row],[Order_Date]],"YYY")</f>
        <v>2024</v>
      </c>
    </row>
    <row r="744" spans="1:14" x14ac:dyDescent="0.3">
      <c r="A744" s="4">
        <v>45504</v>
      </c>
      <c r="B744" s="5" t="s">
        <v>8</v>
      </c>
      <c r="C744" s="5" t="s">
        <v>23</v>
      </c>
      <c r="D744" s="23">
        <v>625.04</v>
      </c>
      <c r="E744" s="23">
        <v>200.07</v>
      </c>
      <c r="F744" s="23">
        <v>424.97</v>
      </c>
      <c r="G744" s="5" t="s">
        <v>2</v>
      </c>
      <c r="H744" s="5" t="s">
        <v>29</v>
      </c>
      <c r="I744" s="5" t="s">
        <v>11</v>
      </c>
      <c r="J744" s="6">
        <f>Table1[[#This Row],[Profit]]/Table1[[#This Row],[Sales]]</f>
        <v>0.67990848585690522</v>
      </c>
      <c r="K744" s="5" t="str">
        <f t="shared" si="11"/>
        <v>Low</v>
      </c>
      <c r="L744" s="5" t="str">
        <f>TEXT(Table1[[#This Row],[Order_Date]],"MMM")</f>
        <v>Jul</v>
      </c>
      <c r="M744" s="5" t="str">
        <f>IF(Table1[[#This Row],[Profit]]&gt;=1000,"Excellent",IF(Table1[[#This Row],[Profit]]&gt;=500,"Good", IF(Table1[[#This Row],[Profit]]&lt;500,"Low")))</f>
        <v>Low</v>
      </c>
      <c r="N744" s="7" t="str">
        <f>TEXT(Table1[[#This Row],[Order_Date]],"YYY")</f>
        <v>2024</v>
      </c>
    </row>
    <row r="745" spans="1:14" x14ac:dyDescent="0.3">
      <c r="A745" s="4">
        <v>45505</v>
      </c>
      <c r="B745" s="5" t="s">
        <v>0</v>
      </c>
      <c r="C745" s="5" t="s">
        <v>5</v>
      </c>
      <c r="D745" s="23">
        <v>228</v>
      </c>
      <c r="E745" s="23">
        <v>81.81</v>
      </c>
      <c r="F745" s="23">
        <v>146.19</v>
      </c>
      <c r="G745" s="5" t="s">
        <v>9</v>
      </c>
      <c r="H745" s="5" t="s">
        <v>12</v>
      </c>
      <c r="I745" s="5" t="s">
        <v>22</v>
      </c>
      <c r="J745" s="6">
        <f>Table1[[#This Row],[Profit]]/Table1[[#This Row],[Sales]]</f>
        <v>0.6411842105263158</v>
      </c>
      <c r="K745" s="5" t="str">
        <f t="shared" si="11"/>
        <v>Low</v>
      </c>
      <c r="L745" s="5" t="str">
        <f>TEXT(Table1[[#This Row],[Order_Date]],"MMM")</f>
        <v>Aug</v>
      </c>
      <c r="M745" s="5" t="str">
        <f>IF(Table1[[#This Row],[Profit]]&gt;=1000,"Excellent",IF(Table1[[#This Row],[Profit]]&gt;=500,"Good", IF(Table1[[#This Row],[Profit]]&lt;500,"Low")))</f>
        <v>Low</v>
      </c>
      <c r="N745" s="7" t="str">
        <f>TEXT(Table1[[#This Row],[Order_Date]],"YYY")</f>
        <v>2024</v>
      </c>
    </row>
    <row r="746" spans="1:14" x14ac:dyDescent="0.3">
      <c r="A746" s="4">
        <v>45506</v>
      </c>
      <c r="B746" s="5" t="s">
        <v>8</v>
      </c>
      <c r="C746" s="5" t="s">
        <v>1</v>
      </c>
      <c r="D746" s="23">
        <v>1032.71</v>
      </c>
      <c r="E746" s="23">
        <v>564.26</v>
      </c>
      <c r="F746" s="23">
        <v>468.45</v>
      </c>
      <c r="G746" s="5" t="s">
        <v>20</v>
      </c>
      <c r="H746" s="5" t="s">
        <v>10</v>
      </c>
      <c r="I746" s="5" t="s">
        <v>17</v>
      </c>
      <c r="J746" s="6">
        <f>Table1[[#This Row],[Profit]]/Table1[[#This Row],[Sales]]</f>
        <v>0.45361234034724168</v>
      </c>
      <c r="K746" s="5" t="str">
        <f t="shared" si="11"/>
        <v>Low</v>
      </c>
      <c r="L746" s="5" t="str">
        <f>TEXT(Table1[[#This Row],[Order_Date]],"MMM")</f>
        <v>Aug</v>
      </c>
      <c r="M746" s="5" t="str">
        <f>IF(Table1[[#This Row],[Profit]]&gt;=1000,"Excellent",IF(Table1[[#This Row],[Profit]]&gt;=500,"Good", IF(Table1[[#This Row],[Profit]]&lt;500,"Low")))</f>
        <v>Low</v>
      </c>
      <c r="N746" s="7" t="str">
        <f>TEXT(Table1[[#This Row],[Order_Date]],"YYY")</f>
        <v>2024</v>
      </c>
    </row>
    <row r="747" spans="1:14" x14ac:dyDescent="0.3">
      <c r="A747" s="4">
        <v>45507</v>
      </c>
      <c r="B747" s="5" t="s">
        <v>0</v>
      </c>
      <c r="C747" s="5" t="s">
        <v>31</v>
      </c>
      <c r="D747" s="23">
        <v>54.93</v>
      </c>
      <c r="E747" s="23">
        <v>18.72</v>
      </c>
      <c r="F747" s="23">
        <v>36.21</v>
      </c>
      <c r="G747" s="5" t="s">
        <v>32</v>
      </c>
      <c r="H747" s="5" t="s">
        <v>28</v>
      </c>
      <c r="I747" s="5" t="s">
        <v>4</v>
      </c>
      <c r="J747" s="6">
        <f>Table1[[#This Row],[Profit]]/Table1[[#This Row],[Sales]]</f>
        <v>0.65920262151829601</v>
      </c>
      <c r="K747" s="5" t="str">
        <f t="shared" si="11"/>
        <v>Low</v>
      </c>
      <c r="L747" s="5" t="str">
        <f>TEXT(Table1[[#This Row],[Order_Date]],"MMM")</f>
        <v>Aug</v>
      </c>
      <c r="M747" s="5" t="str">
        <f>IF(Table1[[#This Row],[Profit]]&gt;=1000,"Excellent",IF(Table1[[#This Row],[Profit]]&gt;=500,"Good", IF(Table1[[#This Row],[Profit]]&lt;500,"Low")))</f>
        <v>Low</v>
      </c>
      <c r="N747" s="7" t="str">
        <f>TEXT(Table1[[#This Row],[Order_Date]],"YYY")</f>
        <v>2024</v>
      </c>
    </row>
    <row r="748" spans="1:14" x14ac:dyDescent="0.3">
      <c r="A748" s="4">
        <v>45507</v>
      </c>
      <c r="B748" s="5" t="s">
        <v>8</v>
      </c>
      <c r="C748" s="5" t="s">
        <v>31</v>
      </c>
      <c r="D748" s="23">
        <v>288.04000000000002</v>
      </c>
      <c r="E748" s="23">
        <v>109.65</v>
      </c>
      <c r="F748" s="23">
        <v>178.39</v>
      </c>
      <c r="G748" s="5" t="s">
        <v>9</v>
      </c>
      <c r="H748" s="5" t="s">
        <v>33</v>
      </c>
      <c r="I748" s="5" t="s">
        <v>22</v>
      </c>
      <c r="J748" s="6">
        <f>Table1[[#This Row],[Profit]]/Table1[[#This Row],[Sales]]</f>
        <v>0.61932370504096645</v>
      </c>
      <c r="K748" s="5" t="str">
        <f t="shared" si="11"/>
        <v>Low</v>
      </c>
      <c r="L748" s="5" t="str">
        <f>TEXT(Table1[[#This Row],[Order_Date]],"MMM")</f>
        <v>Aug</v>
      </c>
      <c r="M748" s="5" t="str">
        <f>IF(Table1[[#This Row],[Profit]]&gt;=1000,"Excellent",IF(Table1[[#This Row],[Profit]]&gt;=500,"Good", IF(Table1[[#This Row],[Profit]]&lt;500,"Low")))</f>
        <v>Low</v>
      </c>
      <c r="N748" s="7" t="str">
        <f>TEXT(Table1[[#This Row],[Order_Date]],"YYY")</f>
        <v>2024</v>
      </c>
    </row>
    <row r="749" spans="1:14" x14ac:dyDescent="0.3">
      <c r="A749" s="4">
        <v>45507</v>
      </c>
      <c r="B749" s="5" t="s">
        <v>18</v>
      </c>
      <c r="C749" s="5" t="s">
        <v>31</v>
      </c>
      <c r="D749" s="23">
        <v>255.89</v>
      </c>
      <c r="E749" s="23">
        <v>72.63</v>
      </c>
      <c r="F749" s="23">
        <v>183.26</v>
      </c>
      <c r="G749" s="5" t="s">
        <v>20</v>
      </c>
      <c r="H749" s="5" t="s">
        <v>10</v>
      </c>
      <c r="I749" s="5" t="s">
        <v>17</v>
      </c>
      <c r="J749" s="6">
        <f>Table1[[#This Row],[Profit]]/Table1[[#This Row],[Sales]]</f>
        <v>0.71616710305209275</v>
      </c>
      <c r="K749" s="5" t="str">
        <f t="shared" si="11"/>
        <v>Low</v>
      </c>
      <c r="L749" s="5" t="str">
        <f>TEXT(Table1[[#This Row],[Order_Date]],"MMM")</f>
        <v>Aug</v>
      </c>
      <c r="M749" s="5" t="str">
        <f>IF(Table1[[#This Row],[Profit]]&gt;=1000,"Excellent",IF(Table1[[#This Row],[Profit]]&gt;=500,"Good", IF(Table1[[#This Row],[Profit]]&lt;500,"Low")))</f>
        <v>Low</v>
      </c>
      <c r="N749" s="7" t="str">
        <f>TEXT(Table1[[#This Row],[Order_Date]],"YYY")</f>
        <v>2024</v>
      </c>
    </row>
    <row r="750" spans="1:14" x14ac:dyDescent="0.3">
      <c r="A750" s="4">
        <v>45508</v>
      </c>
      <c r="B750" s="5" t="s">
        <v>13</v>
      </c>
      <c r="C750" s="5" t="s">
        <v>26</v>
      </c>
      <c r="D750" s="23">
        <v>930.03</v>
      </c>
      <c r="E750" s="23">
        <v>241.64</v>
      </c>
      <c r="F750" s="23">
        <v>688.39</v>
      </c>
      <c r="G750" s="5" t="s">
        <v>9</v>
      </c>
      <c r="H750" s="5" t="s">
        <v>34</v>
      </c>
      <c r="I750" s="5" t="s">
        <v>22</v>
      </c>
      <c r="J750" s="6">
        <f>Table1[[#This Row],[Profit]]/Table1[[#This Row],[Sales]]</f>
        <v>0.74018042428738862</v>
      </c>
      <c r="K750" s="5" t="str">
        <f t="shared" si="11"/>
        <v>Low</v>
      </c>
      <c r="L750" s="5" t="str">
        <f>TEXT(Table1[[#This Row],[Order_Date]],"MMM")</f>
        <v>Aug</v>
      </c>
      <c r="M750" s="5" t="str">
        <f>IF(Table1[[#This Row],[Profit]]&gt;=1000,"Excellent",IF(Table1[[#This Row],[Profit]]&gt;=500,"Good", IF(Table1[[#This Row],[Profit]]&lt;500,"Low")))</f>
        <v>Good</v>
      </c>
      <c r="N750" s="7" t="str">
        <f>TEXT(Table1[[#This Row],[Order_Date]],"YYY")</f>
        <v>2024</v>
      </c>
    </row>
    <row r="751" spans="1:14" x14ac:dyDescent="0.3">
      <c r="A751" s="4">
        <v>45508</v>
      </c>
      <c r="B751" s="5" t="s">
        <v>8</v>
      </c>
      <c r="C751" s="5" t="s">
        <v>26</v>
      </c>
      <c r="D751" s="23">
        <v>162.9</v>
      </c>
      <c r="E751" s="23">
        <v>50.07</v>
      </c>
      <c r="F751" s="23">
        <v>112.83</v>
      </c>
      <c r="G751" s="5" t="s">
        <v>20</v>
      </c>
      <c r="H751" s="5" t="s">
        <v>36</v>
      </c>
      <c r="I751" s="5" t="s">
        <v>22</v>
      </c>
      <c r="J751" s="6">
        <f>Table1[[#This Row],[Profit]]/Table1[[#This Row],[Sales]]</f>
        <v>0.69263351749539592</v>
      </c>
      <c r="K751" s="5" t="str">
        <f t="shared" si="11"/>
        <v>Low</v>
      </c>
      <c r="L751" s="5" t="str">
        <f>TEXT(Table1[[#This Row],[Order_Date]],"MMM")</f>
        <v>Aug</v>
      </c>
      <c r="M751" s="5" t="str">
        <f>IF(Table1[[#This Row],[Profit]]&gt;=1000,"Excellent",IF(Table1[[#This Row],[Profit]]&gt;=500,"Good", IF(Table1[[#This Row],[Profit]]&lt;500,"Low")))</f>
        <v>Low</v>
      </c>
      <c r="N751" s="7" t="str">
        <f>TEXT(Table1[[#This Row],[Order_Date]],"YYY")</f>
        <v>2024</v>
      </c>
    </row>
    <row r="752" spans="1:14" x14ac:dyDescent="0.3">
      <c r="A752" s="4">
        <v>45508</v>
      </c>
      <c r="B752" s="5" t="s">
        <v>16</v>
      </c>
      <c r="C752" s="5" t="s">
        <v>1</v>
      </c>
      <c r="D752" s="23">
        <v>620.30999999999995</v>
      </c>
      <c r="E752" s="23">
        <v>426.22</v>
      </c>
      <c r="F752" s="23">
        <v>194.09</v>
      </c>
      <c r="G752" s="5" t="s">
        <v>20</v>
      </c>
      <c r="H752" s="5" t="s">
        <v>21</v>
      </c>
      <c r="I752" s="5" t="s">
        <v>22</v>
      </c>
      <c r="J752" s="6">
        <f>Table1[[#This Row],[Profit]]/Table1[[#This Row],[Sales]]</f>
        <v>0.3128919411262111</v>
      </c>
      <c r="K752" s="5" t="str">
        <f t="shared" si="11"/>
        <v>Low</v>
      </c>
      <c r="L752" s="5" t="str">
        <f>TEXT(Table1[[#This Row],[Order_Date]],"MMM")</f>
        <v>Aug</v>
      </c>
      <c r="M752" s="5" t="str">
        <f>IF(Table1[[#This Row],[Profit]]&gt;=1000,"Excellent",IF(Table1[[#This Row],[Profit]]&gt;=500,"Good", IF(Table1[[#This Row],[Profit]]&lt;500,"Low")))</f>
        <v>Low</v>
      </c>
      <c r="N752" s="7" t="str">
        <f>TEXT(Table1[[#This Row],[Order_Date]],"YYY")</f>
        <v>2024</v>
      </c>
    </row>
    <row r="753" spans="1:14" x14ac:dyDescent="0.3">
      <c r="A753" s="4">
        <v>45509</v>
      </c>
      <c r="B753" s="5" t="s">
        <v>18</v>
      </c>
      <c r="C753" s="5" t="s">
        <v>5</v>
      </c>
      <c r="D753" s="23">
        <v>768.65</v>
      </c>
      <c r="E753" s="23">
        <v>373.65</v>
      </c>
      <c r="F753" s="23">
        <v>395</v>
      </c>
      <c r="G753" s="5" t="s">
        <v>6</v>
      </c>
      <c r="H753" s="5" t="s">
        <v>15</v>
      </c>
      <c r="I753" s="5" t="s">
        <v>11</v>
      </c>
      <c r="J753" s="6">
        <f>Table1[[#This Row],[Profit]]/Table1[[#This Row],[Sales]]</f>
        <v>0.51388798542899894</v>
      </c>
      <c r="K753" s="5" t="str">
        <f t="shared" si="11"/>
        <v>Low</v>
      </c>
      <c r="L753" s="5" t="str">
        <f>TEXT(Table1[[#This Row],[Order_Date]],"MMM")</f>
        <v>Aug</v>
      </c>
      <c r="M753" s="5" t="str">
        <f>IF(Table1[[#This Row],[Profit]]&gt;=1000,"Excellent",IF(Table1[[#This Row],[Profit]]&gt;=500,"Good", IF(Table1[[#This Row],[Profit]]&lt;500,"Low")))</f>
        <v>Low</v>
      </c>
      <c r="N753" s="7" t="str">
        <f>TEXT(Table1[[#This Row],[Order_Date]],"YYY")</f>
        <v>2024</v>
      </c>
    </row>
    <row r="754" spans="1:14" x14ac:dyDescent="0.3">
      <c r="A754" s="4">
        <v>45509</v>
      </c>
      <c r="B754" s="5" t="s">
        <v>8</v>
      </c>
      <c r="C754" s="5" t="s">
        <v>1</v>
      </c>
      <c r="D754" s="23">
        <v>597.76</v>
      </c>
      <c r="E754" s="23">
        <v>310.18</v>
      </c>
      <c r="F754" s="23">
        <v>287.58</v>
      </c>
      <c r="G754" s="5" t="s">
        <v>6</v>
      </c>
      <c r="H754" s="5" t="s">
        <v>10</v>
      </c>
      <c r="I754" s="5" t="s">
        <v>25</v>
      </c>
      <c r="J754" s="6">
        <f>Table1[[#This Row],[Profit]]/Table1[[#This Row],[Sales]]</f>
        <v>0.48109609207708776</v>
      </c>
      <c r="K754" s="5" t="str">
        <f t="shared" si="11"/>
        <v>Low</v>
      </c>
      <c r="L754" s="5" t="str">
        <f>TEXT(Table1[[#This Row],[Order_Date]],"MMM")</f>
        <v>Aug</v>
      </c>
      <c r="M754" s="5" t="str">
        <f>IF(Table1[[#This Row],[Profit]]&gt;=1000,"Excellent",IF(Table1[[#This Row],[Profit]]&gt;=500,"Good", IF(Table1[[#This Row],[Profit]]&lt;500,"Low")))</f>
        <v>Low</v>
      </c>
      <c r="N754" s="7" t="str">
        <f>TEXT(Table1[[#This Row],[Order_Date]],"YYY")</f>
        <v>2024</v>
      </c>
    </row>
    <row r="755" spans="1:14" x14ac:dyDescent="0.3">
      <c r="A755" s="4">
        <v>45509</v>
      </c>
      <c r="B755" s="5" t="s">
        <v>8</v>
      </c>
      <c r="C755" s="5" t="s">
        <v>1</v>
      </c>
      <c r="D755" s="23">
        <v>1494.76</v>
      </c>
      <c r="E755" s="23">
        <v>957.21</v>
      </c>
      <c r="F755" s="23">
        <v>537.54999999999995</v>
      </c>
      <c r="G755" s="5" t="s">
        <v>2</v>
      </c>
      <c r="H755" s="5" t="s">
        <v>30</v>
      </c>
      <c r="I755" s="5" t="s">
        <v>4</v>
      </c>
      <c r="J755" s="6">
        <f>Table1[[#This Row],[Profit]]/Table1[[#This Row],[Sales]]</f>
        <v>0.35962294950359919</v>
      </c>
      <c r="K755" s="5" t="str">
        <f t="shared" si="11"/>
        <v>Low</v>
      </c>
      <c r="L755" s="5" t="str">
        <f>TEXT(Table1[[#This Row],[Order_Date]],"MMM")</f>
        <v>Aug</v>
      </c>
      <c r="M755" s="5" t="str">
        <f>IF(Table1[[#This Row],[Profit]]&gt;=1000,"Excellent",IF(Table1[[#This Row],[Profit]]&gt;=500,"Good", IF(Table1[[#This Row],[Profit]]&lt;500,"Low")))</f>
        <v>Good</v>
      </c>
      <c r="N755" s="7" t="str">
        <f>TEXT(Table1[[#This Row],[Order_Date]],"YYY")</f>
        <v>2024</v>
      </c>
    </row>
    <row r="756" spans="1:14" x14ac:dyDescent="0.3">
      <c r="A756" s="4">
        <v>45509</v>
      </c>
      <c r="B756" s="5" t="s">
        <v>0</v>
      </c>
      <c r="C756" s="5" t="s">
        <v>14</v>
      </c>
      <c r="D756" s="23">
        <v>160.24</v>
      </c>
      <c r="E756" s="23">
        <v>53.09</v>
      </c>
      <c r="F756" s="23">
        <v>107.15</v>
      </c>
      <c r="G756" s="5" t="s">
        <v>9</v>
      </c>
      <c r="H756" s="5" t="s">
        <v>29</v>
      </c>
      <c r="I756" s="5" t="s">
        <v>11</v>
      </c>
      <c r="J756" s="6">
        <f>Table1[[#This Row],[Profit]]/Table1[[#This Row],[Sales]]</f>
        <v>0.66868447329006486</v>
      </c>
      <c r="K756" s="5" t="str">
        <f t="shared" si="11"/>
        <v>Low</v>
      </c>
      <c r="L756" s="5" t="str">
        <f>TEXT(Table1[[#This Row],[Order_Date]],"MMM")</f>
        <v>Aug</v>
      </c>
      <c r="M756" s="5" t="str">
        <f>IF(Table1[[#This Row],[Profit]]&gt;=1000,"Excellent",IF(Table1[[#This Row],[Profit]]&gt;=500,"Good", IF(Table1[[#This Row],[Profit]]&lt;500,"Low")))</f>
        <v>Low</v>
      </c>
      <c r="N756" s="7" t="str">
        <f>TEXT(Table1[[#This Row],[Order_Date]],"YYY")</f>
        <v>2024</v>
      </c>
    </row>
    <row r="757" spans="1:14" x14ac:dyDescent="0.3">
      <c r="A757" s="4">
        <v>45510</v>
      </c>
      <c r="B757" s="5" t="s">
        <v>16</v>
      </c>
      <c r="C757" s="5" t="s">
        <v>1</v>
      </c>
      <c r="D757" s="23">
        <v>1039.46</v>
      </c>
      <c r="E757" s="23">
        <v>580.76</v>
      </c>
      <c r="F757" s="23">
        <v>458.7</v>
      </c>
      <c r="G757" s="5" t="s">
        <v>32</v>
      </c>
      <c r="H757" s="5" t="s">
        <v>3</v>
      </c>
      <c r="I757" s="5" t="s">
        <v>22</v>
      </c>
      <c r="J757" s="6">
        <f>Table1[[#This Row],[Profit]]/Table1[[#This Row],[Sales]]</f>
        <v>0.4412868220037327</v>
      </c>
      <c r="K757" s="5" t="str">
        <f t="shared" si="11"/>
        <v>Low</v>
      </c>
      <c r="L757" s="5" t="str">
        <f>TEXT(Table1[[#This Row],[Order_Date]],"MMM")</f>
        <v>Aug</v>
      </c>
      <c r="M757" s="5" t="str">
        <f>IF(Table1[[#This Row],[Profit]]&gt;=1000,"Excellent",IF(Table1[[#This Row],[Profit]]&gt;=500,"Good", IF(Table1[[#This Row],[Profit]]&lt;500,"Low")))</f>
        <v>Low</v>
      </c>
      <c r="N757" s="7" t="str">
        <f>TEXT(Table1[[#This Row],[Order_Date]],"YYY")</f>
        <v>2024</v>
      </c>
    </row>
    <row r="758" spans="1:14" x14ac:dyDescent="0.3">
      <c r="A758" s="4">
        <v>45511</v>
      </c>
      <c r="B758" s="5" t="s">
        <v>13</v>
      </c>
      <c r="C758" s="5" t="s">
        <v>31</v>
      </c>
      <c r="D758" s="23">
        <v>114.66</v>
      </c>
      <c r="E758" s="23">
        <v>38.93</v>
      </c>
      <c r="F758" s="23">
        <v>75.73</v>
      </c>
      <c r="G758" s="5" t="s">
        <v>20</v>
      </c>
      <c r="H758" s="5" t="s">
        <v>37</v>
      </c>
      <c r="I758" s="5" t="s">
        <v>27</v>
      </c>
      <c r="J758" s="6">
        <f>Table1[[#This Row],[Profit]]/Table1[[#This Row],[Sales]]</f>
        <v>0.66047444618873197</v>
      </c>
      <c r="K758" s="5" t="str">
        <f t="shared" si="11"/>
        <v>Low</v>
      </c>
      <c r="L758" s="5" t="str">
        <f>TEXT(Table1[[#This Row],[Order_Date]],"MMM")</f>
        <v>Aug</v>
      </c>
      <c r="M758" s="5" t="str">
        <f>IF(Table1[[#This Row],[Profit]]&gt;=1000,"Excellent",IF(Table1[[#This Row],[Profit]]&gt;=500,"Good", IF(Table1[[#This Row],[Profit]]&lt;500,"Low")))</f>
        <v>Low</v>
      </c>
      <c r="N758" s="7" t="str">
        <f>TEXT(Table1[[#This Row],[Order_Date]],"YYY")</f>
        <v>2024</v>
      </c>
    </row>
    <row r="759" spans="1:14" x14ac:dyDescent="0.3">
      <c r="A759" s="4">
        <v>45511</v>
      </c>
      <c r="B759" s="5" t="s">
        <v>13</v>
      </c>
      <c r="C759" s="5" t="s">
        <v>31</v>
      </c>
      <c r="D759" s="23">
        <v>126.78</v>
      </c>
      <c r="E759" s="23">
        <v>35.65</v>
      </c>
      <c r="F759" s="23">
        <v>91.13</v>
      </c>
      <c r="G759" s="5" t="s">
        <v>20</v>
      </c>
      <c r="H759" s="5" t="s">
        <v>3</v>
      </c>
      <c r="I759" s="5" t="s">
        <v>17</v>
      </c>
      <c r="J759" s="6">
        <f>Table1[[#This Row],[Profit]]/Table1[[#This Row],[Sales]]</f>
        <v>0.71880422779618236</v>
      </c>
      <c r="K759" s="5" t="str">
        <f t="shared" si="11"/>
        <v>Low</v>
      </c>
      <c r="L759" s="5" t="str">
        <f>TEXT(Table1[[#This Row],[Order_Date]],"MMM")</f>
        <v>Aug</v>
      </c>
      <c r="M759" s="5" t="str">
        <f>IF(Table1[[#This Row],[Profit]]&gt;=1000,"Excellent",IF(Table1[[#This Row],[Profit]]&gt;=500,"Good", IF(Table1[[#This Row],[Profit]]&lt;500,"Low")))</f>
        <v>Low</v>
      </c>
      <c r="N759" s="7" t="str">
        <f>TEXT(Table1[[#This Row],[Order_Date]],"YYY")</f>
        <v>2024</v>
      </c>
    </row>
    <row r="760" spans="1:14" x14ac:dyDescent="0.3">
      <c r="A760" s="4">
        <v>45512</v>
      </c>
      <c r="B760" s="5" t="s">
        <v>18</v>
      </c>
      <c r="C760" s="5" t="s">
        <v>14</v>
      </c>
      <c r="D760" s="23">
        <v>238.46</v>
      </c>
      <c r="E760" s="23">
        <v>115.59</v>
      </c>
      <c r="F760" s="23">
        <v>122.87</v>
      </c>
      <c r="G760" s="5" t="s">
        <v>2</v>
      </c>
      <c r="H760" s="5" t="s">
        <v>28</v>
      </c>
      <c r="I760" s="5" t="s">
        <v>25</v>
      </c>
      <c r="J760" s="6">
        <f>Table1[[#This Row],[Profit]]/Table1[[#This Row],[Sales]]</f>
        <v>0.51526461461041684</v>
      </c>
      <c r="K760" s="5" t="str">
        <f t="shared" si="11"/>
        <v>Low</v>
      </c>
      <c r="L760" s="5" t="str">
        <f>TEXT(Table1[[#This Row],[Order_Date]],"MMM")</f>
        <v>Aug</v>
      </c>
      <c r="M760" s="5" t="str">
        <f>IF(Table1[[#This Row],[Profit]]&gt;=1000,"Excellent",IF(Table1[[#This Row],[Profit]]&gt;=500,"Good", IF(Table1[[#This Row],[Profit]]&lt;500,"Low")))</f>
        <v>Low</v>
      </c>
      <c r="N760" s="7" t="str">
        <f>TEXT(Table1[[#This Row],[Order_Date]],"YYY")</f>
        <v>2024</v>
      </c>
    </row>
    <row r="761" spans="1:14" x14ac:dyDescent="0.3">
      <c r="A761" s="4">
        <v>45512</v>
      </c>
      <c r="B761" s="5" t="s">
        <v>13</v>
      </c>
      <c r="C761" s="5" t="s">
        <v>26</v>
      </c>
      <c r="D761" s="23">
        <v>1074.0999999999999</v>
      </c>
      <c r="E761" s="23">
        <v>309.83999999999997</v>
      </c>
      <c r="F761" s="23">
        <v>764.26</v>
      </c>
      <c r="G761" s="5" t="s">
        <v>9</v>
      </c>
      <c r="H761" s="5" t="s">
        <v>33</v>
      </c>
      <c r="I761" s="5" t="s">
        <v>17</v>
      </c>
      <c r="J761" s="6">
        <f>Table1[[#This Row],[Profit]]/Table1[[#This Row],[Sales]]</f>
        <v>0.71153523880458058</v>
      </c>
      <c r="K761" s="5" t="str">
        <f t="shared" si="11"/>
        <v>Low</v>
      </c>
      <c r="L761" s="5" t="str">
        <f>TEXT(Table1[[#This Row],[Order_Date]],"MMM")</f>
        <v>Aug</v>
      </c>
      <c r="M761" s="5" t="str">
        <f>IF(Table1[[#This Row],[Profit]]&gt;=1000,"Excellent",IF(Table1[[#This Row],[Profit]]&gt;=500,"Good", IF(Table1[[#This Row],[Profit]]&lt;500,"Low")))</f>
        <v>Good</v>
      </c>
      <c r="N761" s="7" t="str">
        <f>TEXT(Table1[[#This Row],[Order_Date]],"YYY")</f>
        <v>2024</v>
      </c>
    </row>
    <row r="762" spans="1:14" x14ac:dyDescent="0.3">
      <c r="A762" s="4">
        <v>45512</v>
      </c>
      <c r="B762" s="5" t="s">
        <v>16</v>
      </c>
      <c r="C762" s="5" t="s">
        <v>23</v>
      </c>
      <c r="D762" s="23">
        <v>582.39</v>
      </c>
      <c r="E762" s="23">
        <v>194.39</v>
      </c>
      <c r="F762" s="23">
        <v>388</v>
      </c>
      <c r="G762" s="5" t="s">
        <v>32</v>
      </c>
      <c r="H762" s="5" t="s">
        <v>12</v>
      </c>
      <c r="I762" s="5" t="s">
        <v>17</v>
      </c>
      <c r="J762" s="6">
        <f>Table1[[#This Row],[Profit]]/Table1[[#This Row],[Sales]]</f>
        <v>0.66622023042978074</v>
      </c>
      <c r="K762" s="5" t="str">
        <f t="shared" si="11"/>
        <v>Low</v>
      </c>
      <c r="L762" s="5" t="str">
        <f>TEXT(Table1[[#This Row],[Order_Date]],"MMM")</f>
        <v>Aug</v>
      </c>
      <c r="M762" s="5" t="str">
        <f>IF(Table1[[#This Row],[Profit]]&gt;=1000,"Excellent",IF(Table1[[#This Row],[Profit]]&gt;=500,"Good", IF(Table1[[#This Row],[Profit]]&lt;500,"Low")))</f>
        <v>Low</v>
      </c>
      <c r="N762" s="7" t="str">
        <f>TEXT(Table1[[#This Row],[Order_Date]],"YYY")</f>
        <v>2024</v>
      </c>
    </row>
    <row r="763" spans="1:14" x14ac:dyDescent="0.3">
      <c r="A763" s="4">
        <v>45513</v>
      </c>
      <c r="B763" s="5" t="s">
        <v>16</v>
      </c>
      <c r="C763" s="5" t="s">
        <v>5</v>
      </c>
      <c r="D763" s="23">
        <v>1726.52</v>
      </c>
      <c r="E763" s="23">
        <v>520.29999999999995</v>
      </c>
      <c r="F763" s="23">
        <v>1206.22</v>
      </c>
      <c r="G763" s="5" t="s">
        <v>6</v>
      </c>
      <c r="H763" s="5" t="s">
        <v>28</v>
      </c>
      <c r="I763" s="5" t="s">
        <v>25</v>
      </c>
      <c r="J763" s="6">
        <f>Table1[[#This Row],[Profit]]/Table1[[#This Row],[Sales]]</f>
        <v>0.69864235572133537</v>
      </c>
      <c r="K763" s="5" t="str">
        <f t="shared" si="11"/>
        <v>Medium</v>
      </c>
      <c r="L763" s="5" t="str">
        <f>TEXT(Table1[[#This Row],[Order_Date]],"MMM")</f>
        <v>Aug</v>
      </c>
      <c r="M763" s="5" t="str">
        <f>IF(Table1[[#This Row],[Profit]]&gt;=1000,"Excellent",IF(Table1[[#This Row],[Profit]]&gt;=500,"Good", IF(Table1[[#This Row],[Profit]]&lt;500,"Low")))</f>
        <v>Excellent</v>
      </c>
      <c r="N763" s="7" t="str">
        <f>TEXT(Table1[[#This Row],[Order_Date]],"YYY")</f>
        <v>2024</v>
      </c>
    </row>
    <row r="764" spans="1:14" x14ac:dyDescent="0.3">
      <c r="A764" s="4">
        <v>45513</v>
      </c>
      <c r="B764" s="5" t="s">
        <v>8</v>
      </c>
      <c r="C764" s="5" t="s">
        <v>14</v>
      </c>
      <c r="D764" s="23">
        <v>336.35</v>
      </c>
      <c r="E764" s="23">
        <v>182.82</v>
      </c>
      <c r="F764" s="23">
        <v>153.53</v>
      </c>
      <c r="G764" s="5" t="s">
        <v>9</v>
      </c>
      <c r="H764" s="5" t="s">
        <v>12</v>
      </c>
      <c r="I764" s="5" t="s">
        <v>4</v>
      </c>
      <c r="J764" s="6">
        <f>Table1[[#This Row],[Profit]]/Table1[[#This Row],[Sales]]</f>
        <v>0.45645904563698525</v>
      </c>
      <c r="K764" s="5" t="str">
        <f t="shared" si="11"/>
        <v>Low</v>
      </c>
      <c r="L764" s="5" t="str">
        <f>TEXT(Table1[[#This Row],[Order_Date]],"MMM")</f>
        <v>Aug</v>
      </c>
      <c r="M764" s="5" t="str">
        <f>IF(Table1[[#This Row],[Profit]]&gt;=1000,"Excellent",IF(Table1[[#This Row],[Profit]]&gt;=500,"Good", IF(Table1[[#This Row],[Profit]]&lt;500,"Low")))</f>
        <v>Low</v>
      </c>
      <c r="N764" s="7" t="str">
        <f>TEXT(Table1[[#This Row],[Order_Date]],"YYY")</f>
        <v>2024</v>
      </c>
    </row>
    <row r="765" spans="1:14" x14ac:dyDescent="0.3">
      <c r="A765" s="4">
        <v>45514</v>
      </c>
      <c r="B765" s="5" t="s">
        <v>13</v>
      </c>
      <c r="C765" s="5" t="s">
        <v>14</v>
      </c>
      <c r="D765" s="23">
        <v>186.26</v>
      </c>
      <c r="E765" s="23">
        <v>89.12</v>
      </c>
      <c r="F765" s="23">
        <v>97.14</v>
      </c>
      <c r="G765" s="5" t="s">
        <v>9</v>
      </c>
      <c r="H765" s="5" t="s">
        <v>33</v>
      </c>
      <c r="I765" s="5" t="s">
        <v>22</v>
      </c>
      <c r="J765" s="6">
        <f>Table1[[#This Row],[Profit]]/Table1[[#This Row],[Sales]]</f>
        <v>0.52152904542038014</v>
      </c>
      <c r="K765" s="5" t="str">
        <f t="shared" si="11"/>
        <v>Low</v>
      </c>
      <c r="L765" s="5" t="str">
        <f>TEXT(Table1[[#This Row],[Order_Date]],"MMM")</f>
        <v>Aug</v>
      </c>
      <c r="M765" s="5" t="str">
        <f>IF(Table1[[#This Row],[Profit]]&gt;=1000,"Excellent",IF(Table1[[#This Row],[Profit]]&gt;=500,"Good", IF(Table1[[#This Row],[Profit]]&lt;500,"Low")))</f>
        <v>Low</v>
      </c>
      <c r="N765" s="7" t="str">
        <f>TEXT(Table1[[#This Row],[Order_Date]],"YYY")</f>
        <v>2024</v>
      </c>
    </row>
    <row r="766" spans="1:14" x14ac:dyDescent="0.3">
      <c r="A766" s="4">
        <v>45515</v>
      </c>
      <c r="B766" s="5" t="s">
        <v>13</v>
      </c>
      <c r="C766" s="5" t="s">
        <v>31</v>
      </c>
      <c r="D766" s="23">
        <v>120.15</v>
      </c>
      <c r="E766" s="23">
        <v>28.03</v>
      </c>
      <c r="F766" s="23">
        <v>92.12</v>
      </c>
      <c r="G766" s="5" t="s">
        <v>2</v>
      </c>
      <c r="H766" s="5" t="s">
        <v>28</v>
      </c>
      <c r="I766" s="5" t="s">
        <v>11</v>
      </c>
      <c r="J766" s="6">
        <f>Table1[[#This Row],[Profit]]/Table1[[#This Row],[Sales]]</f>
        <v>0.76670828131502289</v>
      </c>
      <c r="K766" s="5" t="str">
        <f t="shared" si="11"/>
        <v>Low</v>
      </c>
      <c r="L766" s="5" t="str">
        <f>TEXT(Table1[[#This Row],[Order_Date]],"MMM")</f>
        <v>Aug</v>
      </c>
      <c r="M766" s="5" t="str">
        <f>IF(Table1[[#This Row],[Profit]]&gt;=1000,"Excellent",IF(Table1[[#This Row],[Profit]]&gt;=500,"Good", IF(Table1[[#This Row],[Profit]]&lt;500,"Low")))</f>
        <v>Low</v>
      </c>
      <c r="N766" s="7" t="str">
        <f>TEXT(Table1[[#This Row],[Order_Date]],"YYY")</f>
        <v>2024</v>
      </c>
    </row>
    <row r="767" spans="1:14" x14ac:dyDescent="0.3">
      <c r="A767" s="4">
        <v>45515</v>
      </c>
      <c r="B767" s="5" t="s">
        <v>0</v>
      </c>
      <c r="C767" s="5" t="s">
        <v>23</v>
      </c>
      <c r="D767" s="23">
        <v>864.46</v>
      </c>
      <c r="E767" s="23">
        <v>403.79</v>
      </c>
      <c r="F767" s="23">
        <v>460.67</v>
      </c>
      <c r="G767" s="5" t="s">
        <v>32</v>
      </c>
      <c r="H767" s="5" t="s">
        <v>37</v>
      </c>
      <c r="I767" s="5" t="s">
        <v>17</v>
      </c>
      <c r="J767" s="6">
        <f>Table1[[#This Row],[Profit]]/Table1[[#This Row],[Sales]]</f>
        <v>0.53289915091502205</v>
      </c>
      <c r="K767" s="5" t="str">
        <f t="shared" si="11"/>
        <v>Low</v>
      </c>
      <c r="L767" s="5" t="str">
        <f>TEXT(Table1[[#This Row],[Order_Date]],"MMM")</f>
        <v>Aug</v>
      </c>
      <c r="M767" s="5" t="str">
        <f>IF(Table1[[#This Row],[Profit]]&gt;=1000,"Excellent",IF(Table1[[#This Row],[Profit]]&gt;=500,"Good", IF(Table1[[#This Row],[Profit]]&lt;500,"Low")))</f>
        <v>Low</v>
      </c>
      <c r="N767" s="7" t="str">
        <f>TEXT(Table1[[#This Row],[Order_Date]],"YYY")</f>
        <v>2024</v>
      </c>
    </row>
    <row r="768" spans="1:14" x14ac:dyDescent="0.3">
      <c r="A768" s="4">
        <v>45515</v>
      </c>
      <c r="B768" s="5" t="s">
        <v>18</v>
      </c>
      <c r="C768" s="5" t="s">
        <v>26</v>
      </c>
      <c r="D768" s="23">
        <v>1063.4100000000001</v>
      </c>
      <c r="E768" s="23">
        <v>357.5</v>
      </c>
      <c r="F768" s="23">
        <v>705.91</v>
      </c>
      <c r="G768" s="5" t="s">
        <v>2</v>
      </c>
      <c r="H768" s="5" t="s">
        <v>37</v>
      </c>
      <c r="I768" s="5" t="s">
        <v>4</v>
      </c>
      <c r="J768" s="6">
        <f>Table1[[#This Row],[Profit]]/Table1[[#This Row],[Sales]]</f>
        <v>0.66381734232328071</v>
      </c>
      <c r="K768" s="5" t="str">
        <f t="shared" si="11"/>
        <v>Low</v>
      </c>
      <c r="L768" s="5" t="str">
        <f>TEXT(Table1[[#This Row],[Order_Date]],"MMM")</f>
        <v>Aug</v>
      </c>
      <c r="M768" s="5" t="str">
        <f>IF(Table1[[#This Row],[Profit]]&gt;=1000,"Excellent",IF(Table1[[#This Row],[Profit]]&gt;=500,"Good", IF(Table1[[#This Row],[Profit]]&lt;500,"Low")))</f>
        <v>Good</v>
      </c>
      <c r="N768" s="7" t="str">
        <f>TEXT(Table1[[#This Row],[Order_Date]],"YYY")</f>
        <v>2024</v>
      </c>
    </row>
    <row r="769" spans="1:14" x14ac:dyDescent="0.3">
      <c r="A769" s="4">
        <v>45518</v>
      </c>
      <c r="B769" s="5" t="s">
        <v>18</v>
      </c>
      <c r="C769" s="5" t="s">
        <v>19</v>
      </c>
      <c r="D769" s="23">
        <v>67.290000000000006</v>
      </c>
      <c r="E769" s="23">
        <v>30.21</v>
      </c>
      <c r="F769" s="23">
        <v>37.08</v>
      </c>
      <c r="G769" s="5" t="s">
        <v>9</v>
      </c>
      <c r="H769" s="5" t="s">
        <v>34</v>
      </c>
      <c r="I769" s="5" t="s">
        <v>27</v>
      </c>
      <c r="J769" s="6">
        <f>Table1[[#This Row],[Profit]]/Table1[[#This Row],[Sales]]</f>
        <v>0.55104770396790004</v>
      </c>
      <c r="K769" s="5" t="str">
        <f t="shared" si="11"/>
        <v>Low</v>
      </c>
      <c r="L769" s="5" t="str">
        <f>TEXT(Table1[[#This Row],[Order_Date]],"MMM")</f>
        <v>Aug</v>
      </c>
      <c r="M769" s="5" t="str">
        <f>IF(Table1[[#This Row],[Profit]]&gt;=1000,"Excellent",IF(Table1[[#This Row],[Profit]]&gt;=500,"Good", IF(Table1[[#This Row],[Profit]]&lt;500,"Low")))</f>
        <v>Low</v>
      </c>
      <c r="N769" s="7" t="str">
        <f>TEXT(Table1[[#This Row],[Order_Date]],"YYY")</f>
        <v>2024</v>
      </c>
    </row>
    <row r="770" spans="1:14" x14ac:dyDescent="0.3">
      <c r="A770" s="4">
        <v>45519</v>
      </c>
      <c r="B770" s="5" t="s">
        <v>0</v>
      </c>
      <c r="C770" s="5" t="s">
        <v>26</v>
      </c>
      <c r="D770" s="23">
        <v>992.86</v>
      </c>
      <c r="E770" s="23">
        <v>347.77</v>
      </c>
      <c r="F770" s="23">
        <v>645.09</v>
      </c>
      <c r="G770" s="5" t="s">
        <v>6</v>
      </c>
      <c r="H770" s="5" t="s">
        <v>21</v>
      </c>
      <c r="I770" s="5" t="s">
        <v>25</v>
      </c>
      <c r="J770" s="6">
        <f>Table1[[#This Row],[Profit]]/Table1[[#This Row],[Sales]]</f>
        <v>0.64972906552786902</v>
      </c>
      <c r="K770" s="5" t="str">
        <f t="shared" ref="K770:K833" si="12">IF(D770&gt;=2000,"High",IF(D770&gt;=1500,"Medium","Low"))</f>
        <v>Low</v>
      </c>
      <c r="L770" s="5" t="str">
        <f>TEXT(Table1[[#This Row],[Order_Date]],"MMM")</f>
        <v>Aug</v>
      </c>
      <c r="M770" s="5" t="str">
        <f>IF(Table1[[#This Row],[Profit]]&gt;=1000,"Excellent",IF(Table1[[#This Row],[Profit]]&gt;=500,"Good", IF(Table1[[#This Row],[Profit]]&lt;500,"Low")))</f>
        <v>Good</v>
      </c>
      <c r="N770" s="7" t="str">
        <f>TEXT(Table1[[#This Row],[Order_Date]],"YYY")</f>
        <v>2024</v>
      </c>
    </row>
    <row r="771" spans="1:14" x14ac:dyDescent="0.3">
      <c r="A771" s="4">
        <v>45519</v>
      </c>
      <c r="B771" s="5" t="s">
        <v>0</v>
      </c>
      <c r="C771" s="5" t="s">
        <v>14</v>
      </c>
      <c r="D771" s="23">
        <v>25.89</v>
      </c>
      <c r="E771" s="23">
        <v>13.46</v>
      </c>
      <c r="F771" s="23">
        <v>12.43</v>
      </c>
      <c r="G771" s="5" t="s">
        <v>6</v>
      </c>
      <c r="H771" s="5" t="s">
        <v>36</v>
      </c>
      <c r="I771" s="5" t="s">
        <v>4</v>
      </c>
      <c r="J771" s="6">
        <f>Table1[[#This Row],[Profit]]/Table1[[#This Row],[Sales]]</f>
        <v>0.48010814986481265</v>
      </c>
      <c r="K771" s="5" t="str">
        <f t="shared" si="12"/>
        <v>Low</v>
      </c>
      <c r="L771" s="5" t="str">
        <f>TEXT(Table1[[#This Row],[Order_Date]],"MMM")</f>
        <v>Aug</v>
      </c>
      <c r="M771" s="5" t="str">
        <f>IF(Table1[[#This Row],[Profit]]&gt;=1000,"Excellent",IF(Table1[[#This Row],[Profit]]&gt;=500,"Good", IF(Table1[[#This Row],[Profit]]&lt;500,"Low")))</f>
        <v>Low</v>
      </c>
      <c r="N771" s="7" t="str">
        <f>TEXT(Table1[[#This Row],[Order_Date]],"YYY")</f>
        <v>2024</v>
      </c>
    </row>
    <row r="772" spans="1:14" x14ac:dyDescent="0.3">
      <c r="A772" s="4">
        <v>45520</v>
      </c>
      <c r="B772" s="5" t="s">
        <v>8</v>
      </c>
      <c r="C772" s="5" t="s">
        <v>19</v>
      </c>
      <c r="D772" s="23">
        <v>105.14</v>
      </c>
      <c r="E772" s="23">
        <v>32.14</v>
      </c>
      <c r="F772" s="23">
        <v>73</v>
      </c>
      <c r="G772" s="5" t="s">
        <v>32</v>
      </c>
      <c r="H772" s="5" t="s">
        <v>33</v>
      </c>
      <c r="I772" s="5" t="s">
        <v>27</v>
      </c>
      <c r="J772" s="6">
        <f>Table1[[#This Row],[Profit]]/Table1[[#This Row],[Sales]]</f>
        <v>0.69431234544416964</v>
      </c>
      <c r="K772" s="5" t="str">
        <f t="shared" si="12"/>
        <v>Low</v>
      </c>
      <c r="L772" s="5" t="str">
        <f>TEXT(Table1[[#This Row],[Order_Date]],"MMM")</f>
        <v>Aug</v>
      </c>
      <c r="M772" s="5" t="str">
        <f>IF(Table1[[#This Row],[Profit]]&gt;=1000,"Excellent",IF(Table1[[#This Row],[Profit]]&gt;=500,"Good", IF(Table1[[#This Row],[Profit]]&lt;500,"Low")))</f>
        <v>Low</v>
      </c>
      <c r="N772" s="7" t="str">
        <f>TEXT(Table1[[#This Row],[Order_Date]],"YYY")</f>
        <v>2024</v>
      </c>
    </row>
    <row r="773" spans="1:14" x14ac:dyDescent="0.3">
      <c r="A773" s="4">
        <v>45520</v>
      </c>
      <c r="B773" s="5" t="s">
        <v>8</v>
      </c>
      <c r="C773" s="5" t="s">
        <v>19</v>
      </c>
      <c r="D773" s="23">
        <v>129.29</v>
      </c>
      <c r="E773" s="23">
        <v>35.89</v>
      </c>
      <c r="F773" s="23">
        <v>93.4</v>
      </c>
      <c r="G773" s="5" t="s">
        <v>32</v>
      </c>
      <c r="H773" s="5" t="s">
        <v>21</v>
      </c>
      <c r="I773" s="5" t="s">
        <v>25</v>
      </c>
      <c r="J773" s="6">
        <f>Table1[[#This Row],[Profit]]/Table1[[#This Row],[Sales]]</f>
        <v>0.7224069920334133</v>
      </c>
      <c r="K773" s="5" t="str">
        <f t="shared" si="12"/>
        <v>Low</v>
      </c>
      <c r="L773" s="5" t="str">
        <f>TEXT(Table1[[#This Row],[Order_Date]],"MMM")</f>
        <v>Aug</v>
      </c>
      <c r="M773" s="5" t="str">
        <f>IF(Table1[[#This Row],[Profit]]&gt;=1000,"Excellent",IF(Table1[[#This Row],[Profit]]&gt;=500,"Good", IF(Table1[[#This Row],[Profit]]&lt;500,"Low")))</f>
        <v>Low</v>
      </c>
      <c r="N773" s="7" t="str">
        <f>TEXT(Table1[[#This Row],[Order_Date]],"YYY")</f>
        <v>2024</v>
      </c>
    </row>
    <row r="774" spans="1:14" x14ac:dyDescent="0.3">
      <c r="A774" s="4">
        <v>45521</v>
      </c>
      <c r="B774" s="5" t="s">
        <v>8</v>
      </c>
      <c r="C774" s="5" t="s">
        <v>14</v>
      </c>
      <c r="D774" s="23">
        <v>127.85</v>
      </c>
      <c r="E774" s="23">
        <v>62.87</v>
      </c>
      <c r="F774" s="23">
        <v>64.98</v>
      </c>
      <c r="G774" s="5" t="s">
        <v>20</v>
      </c>
      <c r="H774" s="5" t="s">
        <v>30</v>
      </c>
      <c r="I774" s="5" t="s">
        <v>17</v>
      </c>
      <c r="J774" s="6">
        <f>Table1[[#This Row],[Profit]]/Table1[[#This Row],[Sales]]</f>
        <v>0.5082518576456786</v>
      </c>
      <c r="K774" s="5" t="str">
        <f t="shared" si="12"/>
        <v>Low</v>
      </c>
      <c r="L774" s="5" t="str">
        <f>TEXT(Table1[[#This Row],[Order_Date]],"MMM")</f>
        <v>Aug</v>
      </c>
      <c r="M774" s="5" t="str">
        <f>IF(Table1[[#This Row],[Profit]]&gt;=1000,"Excellent",IF(Table1[[#This Row],[Profit]]&gt;=500,"Good", IF(Table1[[#This Row],[Profit]]&lt;500,"Low")))</f>
        <v>Low</v>
      </c>
      <c r="N774" s="7" t="str">
        <f>TEXT(Table1[[#This Row],[Order_Date]],"YYY")</f>
        <v>2024</v>
      </c>
    </row>
    <row r="775" spans="1:14" x14ac:dyDescent="0.3">
      <c r="A775" s="4">
        <v>45522</v>
      </c>
      <c r="B775" s="5" t="s">
        <v>13</v>
      </c>
      <c r="C775" s="5" t="s">
        <v>31</v>
      </c>
      <c r="D775" s="23">
        <v>130.72999999999999</v>
      </c>
      <c r="E775" s="23">
        <v>47.08</v>
      </c>
      <c r="F775" s="23">
        <v>83.65</v>
      </c>
      <c r="G775" s="5" t="s">
        <v>6</v>
      </c>
      <c r="H775" s="5" t="s">
        <v>30</v>
      </c>
      <c r="I775" s="5" t="s">
        <v>27</v>
      </c>
      <c r="J775" s="6">
        <f>Table1[[#This Row],[Profit]]/Table1[[#This Row],[Sales]]</f>
        <v>0.63986843111757064</v>
      </c>
      <c r="K775" s="5" t="str">
        <f t="shared" si="12"/>
        <v>Low</v>
      </c>
      <c r="L775" s="5" t="str">
        <f>TEXT(Table1[[#This Row],[Order_Date]],"MMM")</f>
        <v>Aug</v>
      </c>
      <c r="M775" s="5" t="str">
        <f>IF(Table1[[#This Row],[Profit]]&gt;=1000,"Excellent",IF(Table1[[#This Row],[Profit]]&gt;=500,"Good", IF(Table1[[#This Row],[Profit]]&lt;500,"Low")))</f>
        <v>Low</v>
      </c>
      <c r="N775" s="7" t="str">
        <f>TEXT(Table1[[#This Row],[Order_Date]],"YYY")</f>
        <v>2024</v>
      </c>
    </row>
    <row r="776" spans="1:14" x14ac:dyDescent="0.3">
      <c r="A776" s="4">
        <v>45522</v>
      </c>
      <c r="B776" s="5" t="s">
        <v>0</v>
      </c>
      <c r="C776" s="5" t="s">
        <v>19</v>
      </c>
      <c r="D776" s="23">
        <v>77.930000000000007</v>
      </c>
      <c r="E776" s="23">
        <v>19.72</v>
      </c>
      <c r="F776" s="23">
        <v>58.21</v>
      </c>
      <c r="G776" s="5" t="s">
        <v>32</v>
      </c>
      <c r="H776" s="5" t="s">
        <v>30</v>
      </c>
      <c r="I776" s="5" t="s">
        <v>22</v>
      </c>
      <c r="J776" s="6">
        <f>Table1[[#This Row],[Profit]]/Table1[[#This Row],[Sales]]</f>
        <v>0.74695239317336071</v>
      </c>
      <c r="K776" s="5" t="str">
        <f t="shared" si="12"/>
        <v>Low</v>
      </c>
      <c r="L776" s="5" t="str">
        <f>TEXT(Table1[[#This Row],[Order_Date]],"MMM")</f>
        <v>Aug</v>
      </c>
      <c r="M776" s="5" t="str">
        <f>IF(Table1[[#This Row],[Profit]]&gt;=1000,"Excellent",IF(Table1[[#This Row],[Profit]]&gt;=500,"Good", IF(Table1[[#This Row],[Profit]]&lt;500,"Low")))</f>
        <v>Low</v>
      </c>
      <c r="N776" s="7" t="str">
        <f>TEXT(Table1[[#This Row],[Order_Date]],"YYY")</f>
        <v>2024</v>
      </c>
    </row>
    <row r="777" spans="1:14" x14ac:dyDescent="0.3">
      <c r="A777" s="4">
        <v>45523</v>
      </c>
      <c r="B777" s="5" t="s">
        <v>16</v>
      </c>
      <c r="C777" s="5" t="s">
        <v>19</v>
      </c>
      <c r="D777" s="23">
        <v>31.09</v>
      </c>
      <c r="E777" s="23">
        <v>8.5</v>
      </c>
      <c r="F777" s="23">
        <v>22.59</v>
      </c>
      <c r="G777" s="5" t="s">
        <v>32</v>
      </c>
      <c r="H777" s="5" t="s">
        <v>33</v>
      </c>
      <c r="I777" s="5" t="s">
        <v>17</v>
      </c>
      <c r="J777" s="6">
        <f>Table1[[#This Row],[Profit]]/Table1[[#This Row],[Sales]]</f>
        <v>0.72660019298809908</v>
      </c>
      <c r="K777" s="5" t="str">
        <f t="shared" si="12"/>
        <v>Low</v>
      </c>
      <c r="L777" s="5" t="str">
        <f>TEXT(Table1[[#This Row],[Order_Date]],"MMM")</f>
        <v>Aug</v>
      </c>
      <c r="M777" s="5" t="str">
        <f>IF(Table1[[#This Row],[Profit]]&gt;=1000,"Excellent",IF(Table1[[#This Row],[Profit]]&gt;=500,"Good", IF(Table1[[#This Row],[Profit]]&lt;500,"Low")))</f>
        <v>Low</v>
      </c>
      <c r="N777" s="7" t="str">
        <f>TEXT(Table1[[#This Row],[Order_Date]],"YYY")</f>
        <v>2024</v>
      </c>
    </row>
    <row r="778" spans="1:14" x14ac:dyDescent="0.3">
      <c r="A778" s="4">
        <v>45523</v>
      </c>
      <c r="B778" s="5" t="s">
        <v>13</v>
      </c>
      <c r="C778" s="5" t="s">
        <v>23</v>
      </c>
      <c r="D778" s="23">
        <v>485.14</v>
      </c>
      <c r="E778" s="23">
        <v>221.05</v>
      </c>
      <c r="F778" s="23">
        <v>264.08999999999997</v>
      </c>
      <c r="G778" s="5" t="s">
        <v>2</v>
      </c>
      <c r="H778" s="5" t="s">
        <v>12</v>
      </c>
      <c r="I778" s="5" t="s">
        <v>22</v>
      </c>
      <c r="J778" s="6">
        <f>Table1[[#This Row],[Profit]]/Table1[[#This Row],[Sales]]</f>
        <v>0.54435832955435537</v>
      </c>
      <c r="K778" s="5" t="str">
        <f t="shared" si="12"/>
        <v>Low</v>
      </c>
      <c r="L778" s="5" t="str">
        <f>TEXT(Table1[[#This Row],[Order_Date]],"MMM")</f>
        <v>Aug</v>
      </c>
      <c r="M778" s="5" t="str">
        <f>IF(Table1[[#This Row],[Profit]]&gt;=1000,"Excellent",IF(Table1[[#This Row],[Profit]]&gt;=500,"Good", IF(Table1[[#This Row],[Profit]]&lt;500,"Low")))</f>
        <v>Low</v>
      </c>
      <c r="N778" s="7" t="str">
        <f>TEXT(Table1[[#This Row],[Order_Date]],"YYY")</f>
        <v>2024</v>
      </c>
    </row>
    <row r="779" spans="1:14" x14ac:dyDescent="0.3">
      <c r="A779" s="4">
        <v>45523</v>
      </c>
      <c r="B779" s="5" t="s">
        <v>0</v>
      </c>
      <c r="C779" s="5" t="s">
        <v>1</v>
      </c>
      <c r="D779" s="23">
        <v>559.72</v>
      </c>
      <c r="E779" s="23">
        <v>379.1</v>
      </c>
      <c r="F779" s="23">
        <v>180.62</v>
      </c>
      <c r="G779" s="5" t="s">
        <v>6</v>
      </c>
      <c r="H779" s="5" t="s">
        <v>3</v>
      </c>
      <c r="I779" s="5" t="s">
        <v>27</v>
      </c>
      <c r="J779" s="6">
        <f>Table1[[#This Row],[Profit]]/Table1[[#This Row],[Sales]]</f>
        <v>0.32269706281712285</v>
      </c>
      <c r="K779" s="5" t="str">
        <f t="shared" si="12"/>
        <v>Low</v>
      </c>
      <c r="L779" s="5" t="str">
        <f>TEXT(Table1[[#This Row],[Order_Date]],"MMM")</f>
        <v>Aug</v>
      </c>
      <c r="M779" s="5" t="str">
        <f>IF(Table1[[#This Row],[Profit]]&gt;=1000,"Excellent",IF(Table1[[#This Row],[Profit]]&gt;=500,"Good", IF(Table1[[#This Row],[Profit]]&lt;500,"Low")))</f>
        <v>Low</v>
      </c>
      <c r="N779" s="7" t="str">
        <f>TEXT(Table1[[#This Row],[Order_Date]],"YYY")</f>
        <v>2024</v>
      </c>
    </row>
    <row r="780" spans="1:14" x14ac:dyDescent="0.3">
      <c r="A780" s="4">
        <v>45523</v>
      </c>
      <c r="B780" s="5" t="s">
        <v>13</v>
      </c>
      <c r="C780" s="5" t="s">
        <v>31</v>
      </c>
      <c r="D780" s="23">
        <v>94.96</v>
      </c>
      <c r="E780" s="23">
        <v>21</v>
      </c>
      <c r="F780" s="23">
        <v>73.959999999999994</v>
      </c>
      <c r="G780" s="5" t="s">
        <v>9</v>
      </c>
      <c r="H780" s="5" t="s">
        <v>3</v>
      </c>
      <c r="I780" s="5" t="s">
        <v>17</v>
      </c>
      <c r="J780" s="6">
        <f>Table1[[#This Row],[Profit]]/Table1[[#This Row],[Sales]]</f>
        <v>0.77885425442291489</v>
      </c>
      <c r="K780" s="5" t="str">
        <f t="shared" si="12"/>
        <v>Low</v>
      </c>
      <c r="L780" s="5" t="str">
        <f>TEXT(Table1[[#This Row],[Order_Date]],"MMM")</f>
        <v>Aug</v>
      </c>
      <c r="M780" s="5" t="str">
        <f>IF(Table1[[#This Row],[Profit]]&gt;=1000,"Excellent",IF(Table1[[#This Row],[Profit]]&gt;=500,"Good", IF(Table1[[#This Row],[Profit]]&lt;500,"Low")))</f>
        <v>Low</v>
      </c>
      <c r="N780" s="7" t="str">
        <f>TEXT(Table1[[#This Row],[Order_Date]],"YYY")</f>
        <v>2024</v>
      </c>
    </row>
    <row r="781" spans="1:14" x14ac:dyDescent="0.3">
      <c r="A781" s="4">
        <v>45524</v>
      </c>
      <c r="B781" s="5" t="s">
        <v>16</v>
      </c>
      <c r="C781" s="5" t="s">
        <v>14</v>
      </c>
      <c r="D781" s="23">
        <v>87.81</v>
      </c>
      <c r="E781" s="23">
        <v>37.49</v>
      </c>
      <c r="F781" s="23">
        <v>50.32</v>
      </c>
      <c r="G781" s="5" t="s">
        <v>9</v>
      </c>
      <c r="H781" s="5" t="s">
        <v>28</v>
      </c>
      <c r="I781" s="5" t="s">
        <v>17</v>
      </c>
      <c r="J781" s="6">
        <f>Table1[[#This Row],[Profit]]/Table1[[#This Row],[Sales]]</f>
        <v>0.57305546065368407</v>
      </c>
      <c r="K781" s="5" t="str">
        <f t="shared" si="12"/>
        <v>Low</v>
      </c>
      <c r="L781" s="5" t="str">
        <f>TEXT(Table1[[#This Row],[Order_Date]],"MMM")</f>
        <v>Aug</v>
      </c>
      <c r="M781" s="5" t="str">
        <f>IF(Table1[[#This Row],[Profit]]&gt;=1000,"Excellent",IF(Table1[[#This Row],[Profit]]&gt;=500,"Good", IF(Table1[[#This Row],[Profit]]&lt;500,"Low")))</f>
        <v>Low</v>
      </c>
      <c r="N781" s="7" t="str">
        <f>TEXT(Table1[[#This Row],[Order_Date]],"YYY")</f>
        <v>2024</v>
      </c>
    </row>
    <row r="782" spans="1:14" x14ac:dyDescent="0.3">
      <c r="A782" s="4">
        <v>45524</v>
      </c>
      <c r="B782" s="5" t="s">
        <v>18</v>
      </c>
      <c r="C782" s="5" t="s">
        <v>14</v>
      </c>
      <c r="D782" s="23">
        <v>130.21</v>
      </c>
      <c r="E782" s="23">
        <v>49.89</v>
      </c>
      <c r="F782" s="23">
        <v>80.319999999999993</v>
      </c>
      <c r="G782" s="5" t="s">
        <v>20</v>
      </c>
      <c r="H782" s="5" t="s">
        <v>29</v>
      </c>
      <c r="I782" s="5" t="s">
        <v>27</v>
      </c>
      <c r="J782" s="6">
        <f>Table1[[#This Row],[Profit]]/Table1[[#This Row],[Sales]]</f>
        <v>0.61684970432378461</v>
      </c>
      <c r="K782" s="5" t="str">
        <f t="shared" si="12"/>
        <v>Low</v>
      </c>
      <c r="L782" s="5" t="str">
        <f>TEXT(Table1[[#This Row],[Order_Date]],"MMM")</f>
        <v>Aug</v>
      </c>
      <c r="M782" s="5" t="str">
        <f>IF(Table1[[#This Row],[Profit]]&gt;=1000,"Excellent",IF(Table1[[#This Row],[Profit]]&gt;=500,"Good", IF(Table1[[#This Row],[Profit]]&lt;500,"Low")))</f>
        <v>Low</v>
      </c>
      <c r="N782" s="7" t="str">
        <f>TEXT(Table1[[#This Row],[Order_Date]],"YYY")</f>
        <v>2024</v>
      </c>
    </row>
    <row r="783" spans="1:14" x14ac:dyDescent="0.3">
      <c r="A783" s="4">
        <v>45524</v>
      </c>
      <c r="B783" s="5" t="s">
        <v>8</v>
      </c>
      <c r="C783" s="5" t="s">
        <v>14</v>
      </c>
      <c r="D783" s="23">
        <v>164.41</v>
      </c>
      <c r="E783" s="23">
        <v>51.51</v>
      </c>
      <c r="F783" s="23">
        <v>112.9</v>
      </c>
      <c r="G783" s="5" t="s">
        <v>20</v>
      </c>
      <c r="H783" s="5" t="s">
        <v>30</v>
      </c>
      <c r="I783" s="5" t="s">
        <v>22</v>
      </c>
      <c r="J783" s="6">
        <f>Table1[[#This Row],[Profit]]/Table1[[#This Row],[Sales]]</f>
        <v>0.68669788942278454</v>
      </c>
      <c r="K783" s="5" t="str">
        <f t="shared" si="12"/>
        <v>Low</v>
      </c>
      <c r="L783" s="5" t="str">
        <f>TEXT(Table1[[#This Row],[Order_Date]],"MMM")</f>
        <v>Aug</v>
      </c>
      <c r="M783" s="5" t="str">
        <f>IF(Table1[[#This Row],[Profit]]&gt;=1000,"Excellent",IF(Table1[[#This Row],[Profit]]&gt;=500,"Good", IF(Table1[[#This Row],[Profit]]&lt;500,"Low")))</f>
        <v>Low</v>
      </c>
      <c r="N783" s="7" t="str">
        <f>TEXT(Table1[[#This Row],[Order_Date]],"YYY")</f>
        <v>2024</v>
      </c>
    </row>
    <row r="784" spans="1:14" x14ac:dyDescent="0.3">
      <c r="A784" s="4">
        <v>45525</v>
      </c>
      <c r="B784" s="5" t="s">
        <v>8</v>
      </c>
      <c r="C784" s="5" t="s">
        <v>26</v>
      </c>
      <c r="D784" s="23">
        <v>150.04</v>
      </c>
      <c r="E784" s="23">
        <v>49.4</v>
      </c>
      <c r="F784" s="23">
        <v>100.64</v>
      </c>
      <c r="G784" s="5" t="s">
        <v>32</v>
      </c>
      <c r="H784" s="5" t="s">
        <v>28</v>
      </c>
      <c r="I784" s="5" t="s">
        <v>25</v>
      </c>
      <c r="J784" s="6">
        <f>Table1[[#This Row],[Profit]]/Table1[[#This Row],[Sales]]</f>
        <v>0.67075446547587314</v>
      </c>
      <c r="K784" s="5" t="str">
        <f t="shared" si="12"/>
        <v>Low</v>
      </c>
      <c r="L784" s="5" t="str">
        <f>TEXT(Table1[[#This Row],[Order_Date]],"MMM")</f>
        <v>Aug</v>
      </c>
      <c r="M784" s="5" t="str">
        <f>IF(Table1[[#This Row],[Profit]]&gt;=1000,"Excellent",IF(Table1[[#This Row],[Profit]]&gt;=500,"Good", IF(Table1[[#This Row],[Profit]]&lt;500,"Low")))</f>
        <v>Low</v>
      </c>
      <c r="N784" s="7" t="str">
        <f>TEXT(Table1[[#This Row],[Order_Date]],"YYY")</f>
        <v>2024</v>
      </c>
    </row>
    <row r="785" spans="1:14" x14ac:dyDescent="0.3">
      <c r="A785" s="4">
        <v>45526</v>
      </c>
      <c r="B785" s="5" t="s">
        <v>8</v>
      </c>
      <c r="C785" s="5" t="s">
        <v>23</v>
      </c>
      <c r="D785" s="23">
        <v>203.54</v>
      </c>
      <c r="E785" s="23">
        <v>99.89</v>
      </c>
      <c r="F785" s="23">
        <v>103.65</v>
      </c>
      <c r="G785" s="5" t="s">
        <v>6</v>
      </c>
      <c r="H785" s="5" t="s">
        <v>28</v>
      </c>
      <c r="I785" s="5" t="s">
        <v>17</v>
      </c>
      <c r="J785" s="6">
        <f>Table1[[#This Row],[Profit]]/Table1[[#This Row],[Sales]]</f>
        <v>0.50923651370737943</v>
      </c>
      <c r="K785" s="5" t="str">
        <f t="shared" si="12"/>
        <v>Low</v>
      </c>
      <c r="L785" s="5" t="str">
        <f>TEXT(Table1[[#This Row],[Order_Date]],"MMM")</f>
        <v>Aug</v>
      </c>
      <c r="M785" s="5" t="str">
        <f>IF(Table1[[#This Row],[Profit]]&gt;=1000,"Excellent",IF(Table1[[#This Row],[Profit]]&gt;=500,"Good", IF(Table1[[#This Row],[Profit]]&lt;500,"Low")))</f>
        <v>Low</v>
      </c>
      <c r="N785" s="7" t="str">
        <f>TEXT(Table1[[#This Row],[Order_Date]],"YYY")</f>
        <v>2024</v>
      </c>
    </row>
    <row r="786" spans="1:14" x14ac:dyDescent="0.3">
      <c r="A786" s="4">
        <v>45526</v>
      </c>
      <c r="B786" s="5" t="s">
        <v>13</v>
      </c>
      <c r="C786" s="5" t="s">
        <v>5</v>
      </c>
      <c r="D786" s="23">
        <v>1996.47</v>
      </c>
      <c r="E786" s="23">
        <v>875.34</v>
      </c>
      <c r="F786" s="23">
        <v>1121.1300000000001</v>
      </c>
      <c r="G786" s="5" t="s">
        <v>20</v>
      </c>
      <c r="H786" s="5" t="s">
        <v>28</v>
      </c>
      <c r="I786" s="5" t="s">
        <v>27</v>
      </c>
      <c r="J786" s="6">
        <f>Table1[[#This Row],[Profit]]/Table1[[#This Row],[Sales]]</f>
        <v>0.56155614659874686</v>
      </c>
      <c r="K786" s="5" t="str">
        <f t="shared" si="12"/>
        <v>Medium</v>
      </c>
      <c r="L786" s="5" t="str">
        <f>TEXT(Table1[[#This Row],[Order_Date]],"MMM")</f>
        <v>Aug</v>
      </c>
      <c r="M786" s="5" t="str">
        <f>IF(Table1[[#This Row],[Profit]]&gt;=1000,"Excellent",IF(Table1[[#This Row],[Profit]]&gt;=500,"Good", IF(Table1[[#This Row],[Profit]]&lt;500,"Low")))</f>
        <v>Excellent</v>
      </c>
      <c r="N786" s="7" t="str">
        <f>TEXT(Table1[[#This Row],[Order_Date]],"YYY")</f>
        <v>2024</v>
      </c>
    </row>
    <row r="787" spans="1:14" x14ac:dyDescent="0.3">
      <c r="A787" s="4">
        <v>45526</v>
      </c>
      <c r="B787" s="5" t="s">
        <v>13</v>
      </c>
      <c r="C787" s="5" t="s">
        <v>23</v>
      </c>
      <c r="D787" s="23">
        <v>709.72</v>
      </c>
      <c r="E787" s="23">
        <v>342.37</v>
      </c>
      <c r="F787" s="23">
        <v>367.35</v>
      </c>
      <c r="G787" s="5" t="s">
        <v>6</v>
      </c>
      <c r="H787" s="5" t="s">
        <v>21</v>
      </c>
      <c r="I787" s="5" t="s">
        <v>17</v>
      </c>
      <c r="J787" s="6">
        <f>Table1[[#This Row],[Profit]]/Table1[[#This Row],[Sales]]</f>
        <v>0.51759848954517274</v>
      </c>
      <c r="K787" s="5" t="str">
        <f t="shared" si="12"/>
        <v>Low</v>
      </c>
      <c r="L787" s="5" t="str">
        <f>TEXT(Table1[[#This Row],[Order_Date]],"MMM")</f>
        <v>Aug</v>
      </c>
      <c r="M787" s="5" t="str">
        <f>IF(Table1[[#This Row],[Profit]]&gt;=1000,"Excellent",IF(Table1[[#This Row],[Profit]]&gt;=500,"Good", IF(Table1[[#This Row],[Profit]]&lt;500,"Low")))</f>
        <v>Low</v>
      </c>
      <c r="N787" s="7" t="str">
        <f>TEXT(Table1[[#This Row],[Order_Date]],"YYY")</f>
        <v>2024</v>
      </c>
    </row>
    <row r="788" spans="1:14" x14ac:dyDescent="0.3">
      <c r="A788" s="4">
        <v>45527</v>
      </c>
      <c r="B788" s="5" t="s">
        <v>18</v>
      </c>
      <c r="C788" s="5" t="s">
        <v>26</v>
      </c>
      <c r="D788" s="23">
        <v>412.59</v>
      </c>
      <c r="E788" s="23">
        <v>128.59</v>
      </c>
      <c r="F788" s="23">
        <v>284</v>
      </c>
      <c r="G788" s="5" t="s">
        <v>9</v>
      </c>
      <c r="H788" s="5" t="s">
        <v>33</v>
      </c>
      <c r="I788" s="5" t="s">
        <v>11</v>
      </c>
      <c r="J788" s="6">
        <f>Table1[[#This Row],[Profit]]/Table1[[#This Row],[Sales]]</f>
        <v>0.68833466637582108</v>
      </c>
      <c r="K788" s="5" t="str">
        <f t="shared" si="12"/>
        <v>Low</v>
      </c>
      <c r="L788" s="5" t="str">
        <f>TEXT(Table1[[#This Row],[Order_Date]],"MMM")</f>
        <v>Aug</v>
      </c>
      <c r="M788" s="5" t="str">
        <f>IF(Table1[[#This Row],[Profit]]&gt;=1000,"Excellent",IF(Table1[[#This Row],[Profit]]&gt;=500,"Good", IF(Table1[[#This Row],[Profit]]&lt;500,"Low")))</f>
        <v>Low</v>
      </c>
      <c r="N788" s="7" t="str">
        <f>TEXT(Table1[[#This Row],[Order_Date]],"YYY")</f>
        <v>2024</v>
      </c>
    </row>
    <row r="789" spans="1:14" x14ac:dyDescent="0.3">
      <c r="A789" s="4">
        <v>45529</v>
      </c>
      <c r="B789" s="5" t="s">
        <v>0</v>
      </c>
      <c r="C789" s="5" t="s">
        <v>23</v>
      </c>
      <c r="D789" s="23">
        <v>568.17999999999995</v>
      </c>
      <c r="E789" s="23">
        <v>264.58999999999997</v>
      </c>
      <c r="F789" s="23">
        <v>303.58999999999997</v>
      </c>
      <c r="G789" s="5" t="s">
        <v>32</v>
      </c>
      <c r="H789" s="5" t="s">
        <v>30</v>
      </c>
      <c r="I789" s="5" t="s">
        <v>25</v>
      </c>
      <c r="J789" s="6">
        <f>Table1[[#This Row],[Profit]]/Table1[[#This Row],[Sales]]</f>
        <v>0.53432010982435141</v>
      </c>
      <c r="K789" s="5" t="str">
        <f t="shared" si="12"/>
        <v>Low</v>
      </c>
      <c r="L789" s="5" t="str">
        <f>TEXT(Table1[[#This Row],[Order_Date]],"MMM")</f>
        <v>Aug</v>
      </c>
      <c r="M789" s="5" t="str">
        <f>IF(Table1[[#This Row],[Profit]]&gt;=1000,"Excellent",IF(Table1[[#This Row],[Profit]]&gt;=500,"Good", IF(Table1[[#This Row],[Profit]]&lt;500,"Low")))</f>
        <v>Low</v>
      </c>
      <c r="N789" s="7" t="str">
        <f>TEXT(Table1[[#This Row],[Order_Date]],"YYY")</f>
        <v>2024</v>
      </c>
    </row>
    <row r="790" spans="1:14" x14ac:dyDescent="0.3">
      <c r="A790" s="4">
        <v>45529</v>
      </c>
      <c r="B790" s="5" t="s">
        <v>0</v>
      </c>
      <c r="C790" s="5" t="s">
        <v>26</v>
      </c>
      <c r="D790" s="23">
        <v>335.93</v>
      </c>
      <c r="E790" s="23">
        <v>87.03</v>
      </c>
      <c r="F790" s="23">
        <v>248.9</v>
      </c>
      <c r="G790" s="5" t="s">
        <v>2</v>
      </c>
      <c r="H790" s="5" t="s">
        <v>35</v>
      </c>
      <c r="I790" s="5" t="s">
        <v>4</v>
      </c>
      <c r="J790" s="6">
        <f>Table1[[#This Row],[Profit]]/Table1[[#This Row],[Sales]]</f>
        <v>0.74092816955913432</v>
      </c>
      <c r="K790" s="5" t="str">
        <f t="shared" si="12"/>
        <v>Low</v>
      </c>
      <c r="L790" s="5" t="str">
        <f>TEXT(Table1[[#This Row],[Order_Date]],"MMM")</f>
        <v>Aug</v>
      </c>
      <c r="M790" s="5" t="str">
        <f>IF(Table1[[#This Row],[Profit]]&gt;=1000,"Excellent",IF(Table1[[#This Row],[Profit]]&gt;=500,"Good", IF(Table1[[#This Row],[Profit]]&lt;500,"Low")))</f>
        <v>Low</v>
      </c>
      <c r="N790" s="7" t="str">
        <f>TEXT(Table1[[#This Row],[Order_Date]],"YYY")</f>
        <v>2024</v>
      </c>
    </row>
    <row r="791" spans="1:14" x14ac:dyDescent="0.3">
      <c r="A791" s="4">
        <v>45530</v>
      </c>
      <c r="B791" s="5" t="s">
        <v>13</v>
      </c>
      <c r="C791" s="5" t="s">
        <v>5</v>
      </c>
      <c r="D791" s="23">
        <v>1093.43</v>
      </c>
      <c r="E791" s="23">
        <v>423.7</v>
      </c>
      <c r="F791" s="23">
        <v>669.73</v>
      </c>
      <c r="G791" s="5" t="s">
        <v>9</v>
      </c>
      <c r="H791" s="5" t="s">
        <v>33</v>
      </c>
      <c r="I791" s="5" t="s">
        <v>22</v>
      </c>
      <c r="J791" s="6">
        <f>Table1[[#This Row],[Profit]]/Table1[[#This Row],[Sales]]</f>
        <v>0.61250377253230659</v>
      </c>
      <c r="K791" s="5" t="str">
        <f t="shared" si="12"/>
        <v>Low</v>
      </c>
      <c r="L791" s="5" t="str">
        <f>TEXT(Table1[[#This Row],[Order_Date]],"MMM")</f>
        <v>Aug</v>
      </c>
      <c r="M791" s="5" t="str">
        <f>IF(Table1[[#This Row],[Profit]]&gt;=1000,"Excellent",IF(Table1[[#This Row],[Profit]]&gt;=500,"Good", IF(Table1[[#This Row],[Profit]]&lt;500,"Low")))</f>
        <v>Good</v>
      </c>
      <c r="N791" s="7" t="str">
        <f>TEXT(Table1[[#This Row],[Order_Date]],"YYY")</f>
        <v>2024</v>
      </c>
    </row>
    <row r="792" spans="1:14" x14ac:dyDescent="0.3">
      <c r="A792" s="4">
        <v>45530</v>
      </c>
      <c r="B792" s="5" t="s">
        <v>0</v>
      </c>
      <c r="C792" s="5" t="s">
        <v>23</v>
      </c>
      <c r="D792" s="23">
        <v>737.67</v>
      </c>
      <c r="E792" s="23">
        <v>325.63</v>
      </c>
      <c r="F792" s="23">
        <v>412.04</v>
      </c>
      <c r="G792" s="5" t="s">
        <v>2</v>
      </c>
      <c r="H792" s="5" t="s">
        <v>21</v>
      </c>
      <c r="I792" s="5" t="s">
        <v>22</v>
      </c>
      <c r="J792" s="6">
        <f>Table1[[#This Row],[Profit]]/Table1[[#This Row],[Sales]]</f>
        <v>0.55856955006981446</v>
      </c>
      <c r="K792" s="5" t="str">
        <f t="shared" si="12"/>
        <v>Low</v>
      </c>
      <c r="L792" s="5" t="str">
        <f>TEXT(Table1[[#This Row],[Order_Date]],"MMM")</f>
        <v>Aug</v>
      </c>
      <c r="M792" s="5" t="str">
        <f>IF(Table1[[#This Row],[Profit]]&gt;=1000,"Excellent",IF(Table1[[#This Row],[Profit]]&gt;=500,"Good", IF(Table1[[#This Row],[Profit]]&lt;500,"Low")))</f>
        <v>Low</v>
      </c>
      <c r="N792" s="7" t="str">
        <f>TEXT(Table1[[#This Row],[Order_Date]],"YYY")</f>
        <v>2024</v>
      </c>
    </row>
    <row r="793" spans="1:14" x14ac:dyDescent="0.3">
      <c r="A793" s="4">
        <v>45531</v>
      </c>
      <c r="B793" s="5" t="s">
        <v>8</v>
      </c>
      <c r="C793" s="5" t="s">
        <v>1</v>
      </c>
      <c r="D793" s="23">
        <v>1112.3800000000001</v>
      </c>
      <c r="E793" s="23">
        <v>501.86</v>
      </c>
      <c r="F793" s="23">
        <v>610.52</v>
      </c>
      <c r="G793" s="5" t="s">
        <v>9</v>
      </c>
      <c r="H793" s="5" t="s">
        <v>33</v>
      </c>
      <c r="I793" s="5" t="s">
        <v>27</v>
      </c>
      <c r="J793" s="6">
        <f>Table1[[#This Row],[Profit]]/Table1[[#This Row],[Sales]]</f>
        <v>0.54884122332296514</v>
      </c>
      <c r="K793" s="5" t="str">
        <f t="shared" si="12"/>
        <v>Low</v>
      </c>
      <c r="L793" s="5" t="str">
        <f>TEXT(Table1[[#This Row],[Order_Date]],"MMM")</f>
        <v>Aug</v>
      </c>
      <c r="M793" s="5" t="str">
        <f>IF(Table1[[#This Row],[Profit]]&gt;=1000,"Excellent",IF(Table1[[#This Row],[Profit]]&gt;=500,"Good", IF(Table1[[#This Row],[Profit]]&lt;500,"Low")))</f>
        <v>Good</v>
      </c>
      <c r="N793" s="7" t="str">
        <f>TEXT(Table1[[#This Row],[Order_Date]],"YYY")</f>
        <v>2024</v>
      </c>
    </row>
    <row r="794" spans="1:14" x14ac:dyDescent="0.3">
      <c r="A794" s="4">
        <v>45534</v>
      </c>
      <c r="B794" s="5" t="s">
        <v>8</v>
      </c>
      <c r="C794" s="5" t="s">
        <v>23</v>
      </c>
      <c r="D794" s="23">
        <v>695.69</v>
      </c>
      <c r="E794" s="23">
        <v>316.14</v>
      </c>
      <c r="F794" s="23">
        <v>379.55</v>
      </c>
      <c r="G794" s="5" t="s">
        <v>9</v>
      </c>
      <c r="H794" s="5" t="s">
        <v>35</v>
      </c>
      <c r="I794" s="5" t="s">
        <v>22</v>
      </c>
      <c r="J794" s="6">
        <f>Table1[[#This Row],[Profit]]/Table1[[#This Row],[Sales]]</f>
        <v>0.54557345944314273</v>
      </c>
      <c r="K794" s="5" t="str">
        <f t="shared" si="12"/>
        <v>Low</v>
      </c>
      <c r="L794" s="5" t="str">
        <f>TEXT(Table1[[#This Row],[Order_Date]],"MMM")</f>
        <v>Aug</v>
      </c>
      <c r="M794" s="5" t="str">
        <f>IF(Table1[[#This Row],[Profit]]&gt;=1000,"Excellent",IF(Table1[[#This Row],[Profit]]&gt;=500,"Good", IF(Table1[[#This Row],[Profit]]&lt;500,"Low")))</f>
        <v>Low</v>
      </c>
      <c r="N794" s="7" t="str">
        <f>TEXT(Table1[[#This Row],[Order_Date]],"YYY")</f>
        <v>2024</v>
      </c>
    </row>
    <row r="795" spans="1:14" x14ac:dyDescent="0.3">
      <c r="A795" s="4">
        <v>45534</v>
      </c>
      <c r="B795" s="5" t="s">
        <v>16</v>
      </c>
      <c r="C795" s="5" t="s">
        <v>14</v>
      </c>
      <c r="D795" s="23">
        <v>54.56</v>
      </c>
      <c r="E795" s="23">
        <v>23.05</v>
      </c>
      <c r="F795" s="23">
        <v>31.51</v>
      </c>
      <c r="G795" s="5" t="s">
        <v>32</v>
      </c>
      <c r="H795" s="5" t="s">
        <v>29</v>
      </c>
      <c r="I795" s="5" t="s">
        <v>22</v>
      </c>
      <c r="J795" s="6">
        <f>Table1[[#This Row],[Profit]]/Table1[[#This Row],[Sales]]</f>
        <v>0.57752932551319647</v>
      </c>
      <c r="K795" s="5" t="str">
        <f t="shared" si="12"/>
        <v>Low</v>
      </c>
      <c r="L795" s="5" t="str">
        <f>TEXT(Table1[[#This Row],[Order_Date]],"MMM")</f>
        <v>Aug</v>
      </c>
      <c r="M795" s="5" t="str">
        <f>IF(Table1[[#This Row],[Profit]]&gt;=1000,"Excellent",IF(Table1[[#This Row],[Profit]]&gt;=500,"Good", IF(Table1[[#This Row],[Profit]]&lt;500,"Low")))</f>
        <v>Low</v>
      </c>
      <c r="N795" s="7" t="str">
        <f>TEXT(Table1[[#This Row],[Order_Date]],"YYY")</f>
        <v>2024</v>
      </c>
    </row>
    <row r="796" spans="1:14" x14ac:dyDescent="0.3">
      <c r="A796" s="4">
        <v>45535</v>
      </c>
      <c r="B796" s="5" t="s">
        <v>18</v>
      </c>
      <c r="C796" s="5" t="s">
        <v>31</v>
      </c>
      <c r="D796" s="23">
        <v>204.95</v>
      </c>
      <c r="E796" s="23">
        <v>50.8</v>
      </c>
      <c r="F796" s="23">
        <v>154.15</v>
      </c>
      <c r="G796" s="5" t="s">
        <v>32</v>
      </c>
      <c r="H796" s="5" t="s">
        <v>7</v>
      </c>
      <c r="I796" s="5" t="s">
        <v>25</v>
      </c>
      <c r="J796" s="6">
        <f>Table1[[#This Row],[Profit]]/Table1[[#This Row],[Sales]]</f>
        <v>0.75213466699194931</v>
      </c>
      <c r="K796" s="5" t="str">
        <f t="shared" si="12"/>
        <v>Low</v>
      </c>
      <c r="L796" s="5" t="str">
        <f>TEXT(Table1[[#This Row],[Order_Date]],"MMM")</f>
        <v>Aug</v>
      </c>
      <c r="M796" s="5" t="str">
        <f>IF(Table1[[#This Row],[Profit]]&gt;=1000,"Excellent",IF(Table1[[#This Row],[Profit]]&gt;=500,"Good", IF(Table1[[#This Row],[Profit]]&lt;500,"Low")))</f>
        <v>Low</v>
      </c>
      <c r="N796" s="7" t="str">
        <f>TEXT(Table1[[#This Row],[Order_Date]],"YYY")</f>
        <v>2024</v>
      </c>
    </row>
    <row r="797" spans="1:14" x14ac:dyDescent="0.3">
      <c r="A797" s="4">
        <v>45537</v>
      </c>
      <c r="B797" s="5" t="s">
        <v>16</v>
      </c>
      <c r="C797" s="5" t="s">
        <v>23</v>
      </c>
      <c r="D797" s="23">
        <v>472.57</v>
      </c>
      <c r="E797" s="23">
        <v>218.73</v>
      </c>
      <c r="F797" s="23">
        <v>253.84</v>
      </c>
      <c r="G797" s="5" t="s">
        <v>20</v>
      </c>
      <c r="H797" s="5" t="s">
        <v>10</v>
      </c>
      <c r="I797" s="5" t="s">
        <v>25</v>
      </c>
      <c r="J797" s="6">
        <f>Table1[[#This Row],[Profit]]/Table1[[#This Row],[Sales]]</f>
        <v>0.53714793575554942</v>
      </c>
      <c r="K797" s="5" t="str">
        <f t="shared" si="12"/>
        <v>Low</v>
      </c>
      <c r="L797" s="5" t="str">
        <f>TEXT(Table1[[#This Row],[Order_Date]],"MMM")</f>
        <v>Sep</v>
      </c>
      <c r="M797" s="5" t="str">
        <f>IF(Table1[[#This Row],[Profit]]&gt;=1000,"Excellent",IF(Table1[[#This Row],[Profit]]&gt;=500,"Good", IF(Table1[[#This Row],[Profit]]&lt;500,"Low")))</f>
        <v>Low</v>
      </c>
      <c r="N797" s="7" t="str">
        <f>TEXT(Table1[[#This Row],[Order_Date]],"YYY")</f>
        <v>2024</v>
      </c>
    </row>
    <row r="798" spans="1:14" x14ac:dyDescent="0.3">
      <c r="A798" s="4">
        <v>45538</v>
      </c>
      <c r="B798" s="5" t="s">
        <v>8</v>
      </c>
      <c r="C798" s="5" t="s">
        <v>19</v>
      </c>
      <c r="D798" s="23">
        <v>132.72</v>
      </c>
      <c r="E798" s="23">
        <v>37.26</v>
      </c>
      <c r="F798" s="23">
        <v>95.46</v>
      </c>
      <c r="G798" s="5" t="s">
        <v>32</v>
      </c>
      <c r="H798" s="5" t="s">
        <v>28</v>
      </c>
      <c r="I798" s="5" t="s">
        <v>11</v>
      </c>
      <c r="J798" s="6">
        <f>Table1[[#This Row],[Profit]]/Table1[[#This Row],[Sales]]</f>
        <v>0.71925858951175403</v>
      </c>
      <c r="K798" s="5" t="str">
        <f t="shared" si="12"/>
        <v>Low</v>
      </c>
      <c r="L798" s="5" t="str">
        <f>TEXT(Table1[[#This Row],[Order_Date]],"MMM")</f>
        <v>Sep</v>
      </c>
      <c r="M798" s="5" t="str">
        <f>IF(Table1[[#This Row],[Profit]]&gt;=1000,"Excellent",IF(Table1[[#This Row],[Profit]]&gt;=500,"Good", IF(Table1[[#This Row],[Profit]]&lt;500,"Low")))</f>
        <v>Low</v>
      </c>
      <c r="N798" s="7" t="str">
        <f>TEXT(Table1[[#This Row],[Order_Date]],"YYY")</f>
        <v>2024</v>
      </c>
    </row>
    <row r="799" spans="1:14" x14ac:dyDescent="0.3">
      <c r="A799" s="4">
        <v>45538</v>
      </c>
      <c r="B799" s="5" t="s">
        <v>0</v>
      </c>
      <c r="C799" s="5" t="s">
        <v>31</v>
      </c>
      <c r="D799" s="23">
        <v>141.1</v>
      </c>
      <c r="E799" s="23">
        <v>49.83</v>
      </c>
      <c r="F799" s="23">
        <v>91.27</v>
      </c>
      <c r="G799" s="5" t="s">
        <v>9</v>
      </c>
      <c r="H799" s="5" t="s">
        <v>12</v>
      </c>
      <c r="I799" s="5" t="s">
        <v>17</v>
      </c>
      <c r="J799" s="6">
        <f>Table1[[#This Row],[Profit]]/Table1[[#This Row],[Sales]]</f>
        <v>0.64684620836286322</v>
      </c>
      <c r="K799" s="5" t="str">
        <f t="shared" si="12"/>
        <v>Low</v>
      </c>
      <c r="L799" s="5" t="str">
        <f>TEXT(Table1[[#This Row],[Order_Date]],"MMM")</f>
        <v>Sep</v>
      </c>
      <c r="M799" s="5" t="str">
        <f>IF(Table1[[#This Row],[Profit]]&gt;=1000,"Excellent",IF(Table1[[#This Row],[Profit]]&gt;=500,"Good", IF(Table1[[#This Row],[Profit]]&lt;500,"Low")))</f>
        <v>Low</v>
      </c>
      <c r="N799" s="7" t="str">
        <f>TEXT(Table1[[#This Row],[Order_Date]],"YYY")</f>
        <v>2024</v>
      </c>
    </row>
    <row r="800" spans="1:14" x14ac:dyDescent="0.3">
      <c r="A800" s="4">
        <v>45538</v>
      </c>
      <c r="B800" s="5" t="s">
        <v>16</v>
      </c>
      <c r="C800" s="5" t="s">
        <v>14</v>
      </c>
      <c r="D800" s="23">
        <v>376.79</v>
      </c>
      <c r="E800" s="23">
        <v>195.86</v>
      </c>
      <c r="F800" s="23">
        <v>180.93</v>
      </c>
      <c r="G800" s="5" t="s">
        <v>9</v>
      </c>
      <c r="H800" s="5" t="s">
        <v>30</v>
      </c>
      <c r="I800" s="5" t="s">
        <v>27</v>
      </c>
      <c r="J800" s="6">
        <f>Table1[[#This Row],[Profit]]/Table1[[#This Row],[Sales]]</f>
        <v>0.48018790307598397</v>
      </c>
      <c r="K800" s="5" t="str">
        <f t="shared" si="12"/>
        <v>Low</v>
      </c>
      <c r="L800" s="5" t="str">
        <f>TEXT(Table1[[#This Row],[Order_Date]],"MMM")</f>
        <v>Sep</v>
      </c>
      <c r="M800" s="5" t="str">
        <f>IF(Table1[[#This Row],[Profit]]&gt;=1000,"Excellent",IF(Table1[[#This Row],[Profit]]&gt;=500,"Good", IF(Table1[[#This Row],[Profit]]&lt;500,"Low")))</f>
        <v>Low</v>
      </c>
      <c r="N800" s="7" t="str">
        <f>TEXT(Table1[[#This Row],[Order_Date]],"YYY")</f>
        <v>2024</v>
      </c>
    </row>
    <row r="801" spans="1:14" x14ac:dyDescent="0.3">
      <c r="A801" s="4">
        <v>45538</v>
      </c>
      <c r="B801" s="5" t="s">
        <v>16</v>
      </c>
      <c r="C801" s="5" t="s">
        <v>23</v>
      </c>
      <c r="D801" s="23">
        <v>442.15</v>
      </c>
      <c r="E801" s="23">
        <v>186.82</v>
      </c>
      <c r="F801" s="23">
        <v>255.33</v>
      </c>
      <c r="G801" s="5" t="s">
        <v>20</v>
      </c>
      <c r="H801" s="5" t="s">
        <v>10</v>
      </c>
      <c r="I801" s="5" t="s">
        <v>4</v>
      </c>
      <c r="J801" s="6">
        <f>Table1[[#This Row],[Profit]]/Table1[[#This Row],[Sales]]</f>
        <v>0.57747370801764109</v>
      </c>
      <c r="K801" s="5" t="str">
        <f t="shared" si="12"/>
        <v>Low</v>
      </c>
      <c r="L801" s="5" t="str">
        <f>TEXT(Table1[[#This Row],[Order_Date]],"MMM")</f>
        <v>Sep</v>
      </c>
      <c r="M801" s="5" t="str">
        <f>IF(Table1[[#This Row],[Profit]]&gt;=1000,"Excellent",IF(Table1[[#This Row],[Profit]]&gt;=500,"Good", IF(Table1[[#This Row],[Profit]]&lt;500,"Low")))</f>
        <v>Low</v>
      </c>
      <c r="N801" s="7" t="str">
        <f>TEXT(Table1[[#This Row],[Order_Date]],"YYY")</f>
        <v>2024</v>
      </c>
    </row>
    <row r="802" spans="1:14" x14ac:dyDescent="0.3">
      <c r="A802" s="4">
        <v>45538</v>
      </c>
      <c r="B802" s="5" t="s">
        <v>8</v>
      </c>
      <c r="C802" s="5" t="s">
        <v>23</v>
      </c>
      <c r="D802" s="23">
        <v>390.46</v>
      </c>
      <c r="E802" s="23">
        <v>184.08</v>
      </c>
      <c r="F802" s="23">
        <v>206.38</v>
      </c>
      <c r="G802" s="5" t="s">
        <v>6</v>
      </c>
      <c r="H802" s="5" t="s">
        <v>29</v>
      </c>
      <c r="I802" s="5" t="s">
        <v>4</v>
      </c>
      <c r="J802" s="6">
        <f>Table1[[#This Row],[Profit]]/Table1[[#This Row],[Sales]]</f>
        <v>0.52855606208062289</v>
      </c>
      <c r="K802" s="5" t="str">
        <f t="shared" si="12"/>
        <v>Low</v>
      </c>
      <c r="L802" s="5" t="str">
        <f>TEXT(Table1[[#This Row],[Order_Date]],"MMM")</f>
        <v>Sep</v>
      </c>
      <c r="M802" s="5" t="str">
        <f>IF(Table1[[#This Row],[Profit]]&gt;=1000,"Excellent",IF(Table1[[#This Row],[Profit]]&gt;=500,"Good", IF(Table1[[#This Row],[Profit]]&lt;500,"Low")))</f>
        <v>Low</v>
      </c>
      <c r="N802" s="7" t="str">
        <f>TEXT(Table1[[#This Row],[Order_Date]],"YYY")</f>
        <v>2024</v>
      </c>
    </row>
    <row r="803" spans="1:14" x14ac:dyDescent="0.3">
      <c r="A803" s="4">
        <v>45539</v>
      </c>
      <c r="B803" s="5" t="s">
        <v>18</v>
      </c>
      <c r="C803" s="5" t="s">
        <v>19</v>
      </c>
      <c r="D803" s="23">
        <v>41.25</v>
      </c>
      <c r="E803" s="23">
        <v>17.22</v>
      </c>
      <c r="F803" s="23">
        <v>24.03</v>
      </c>
      <c r="G803" s="5" t="s">
        <v>20</v>
      </c>
      <c r="H803" s="5" t="s">
        <v>35</v>
      </c>
      <c r="I803" s="5" t="s">
        <v>17</v>
      </c>
      <c r="J803" s="6">
        <f>Table1[[#This Row],[Profit]]/Table1[[#This Row],[Sales]]</f>
        <v>0.58254545454545459</v>
      </c>
      <c r="K803" s="5" t="str">
        <f t="shared" si="12"/>
        <v>Low</v>
      </c>
      <c r="L803" s="5" t="str">
        <f>TEXT(Table1[[#This Row],[Order_Date]],"MMM")</f>
        <v>Sep</v>
      </c>
      <c r="M803" s="5" t="str">
        <f>IF(Table1[[#This Row],[Profit]]&gt;=1000,"Excellent",IF(Table1[[#This Row],[Profit]]&gt;=500,"Good", IF(Table1[[#This Row],[Profit]]&lt;500,"Low")))</f>
        <v>Low</v>
      </c>
      <c r="N803" s="7" t="str">
        <f>TEXT(Table1[[#This Row],[Order_Date]],"YYY")</f>
        <v>2024</v>
      </c>
    </row>
    <row r="804" spans="1:14" x14ac:dyDescent="0.3">
      <c r="A804" s="4">
        <v>45541</v>
      </c>
      <c r="B804" s="5" t="s">
        <v>0</v>
      </c>
      <c r="C804" s="5" t="s">
        <v>5</v>
      </c>
      <c r="D804" s="23">
        <v>491.89</v>
      </c>
      <c r="E804" s="23">
        <v>148.44999999999999</v>
      </c>
      <c r="F804" s="23">
        <v>343.44</v>
      </c>
      <c r="G804" s="5" t="s">
        <v>9</v>
      </c>
      <c r="H804" s="5" t="s">
        <v>10</v>
      </c>
      <c r="I804" s="5" t="s">
        <v>22</v>
      </c>
      <c r="J804" s="6">
        <f>Table1[[#This Row],[Profit]]/Table1[[#This Row],[Sales]]</f>
        <v>0.69820488320559471</v>
      </c>
      <c r="K804" s="5" t="str">
        <f t="shared" si="12"/>
        <v>Low</v>
      </c>
      <c r="L804" s="5" t="str">
        <f>TEXT(Table1[[#This Row],[Order_Date]],"MMM")</f>
        <v>Sep</v>
      </c>
      <c r="M804" s="5" t="str">
        <f>IF(Table1[[#This Row],[Profit]]&gt;=1000,"Excellent",IF(Table1[[#This Row],[Profit]]&gt;=500,"Good", IF(Table1[[#This Row],[Profit]]&lt;500,"Low")))</f>
        <v>Low</v>
      </c>
      <c r="N804" s="7" t="str">
        <f>TEXT(Table1[[#This Row],[Order_Date]],"YYY")</f>
        <v>2024</v>
      </c>
    </row>
    <row r="805" spans="1:14" x14ac:dyDescent="0.3">
      <c r="A805" s="4">
        <v>45542</v>
      </c>
      <c r="B805" s="5" t="s">
        <v>16</v>
      </c>
      <c r="C805" s="5" t="s">
        <v>31</v>
      </c>
      <c r="D805" s="23">
        <v>69.099999999999994</v>
      </c>
      <c r="E805" s="23">
        <v>20.41</v>
      </c>
      <c r="F805" s="23">
        <v>48.69</v>
      </c>
      <c r="G805" s="5" t="s">
        <v>6</v>
      </c>
      <c r="H805" s="5" t="s">
        <v>28</v>
      </c>
      <c r="I805" s="5" t="s">
        <v>17</v>
      </c>
      <c r="J805" s="6">
        <f>Table1[[#This Row],[Profit]]/Table1[[#This Row],[Sales]]</f>
        <v>0.70463096960926197</v>
      </c>
      <c r="K805" s="5" t="str">
        <f t="shared" si="12"/>
        <v>Low</v>
      </c>
      <c r="L805" s="5" t="str">
        <f>TEXT(Table1[[#This Row],[Order_Date]],"MMM")</f>
        <v>Sep</v>
      </c>
      <c r="M805" s="5" t="str">
        <f>IF(Table1[[#This Row],[Profit]]&gt;=1000,"Excellent",IF(Table1[[#This Row],[Profit]]&gt;=500,"Good", IF(Table1[[#This Row],[Profit]]&lt;500,"Low")))</f>
        <v>Low</v>
      </c>
      <c r="N805" s="7" t="str">
        <f>TEXT(Table1[[#This Row],[Order_Date]],"YYY")</f>
        <v>2024</v>
      </c>
    </row>
    <row r="806" spans="1:14" x14ac:dyDescent="0.3">
      <c r="A806" s="4">
        <v>45542</v>
      </c>
      <c r="B806" s="5" t="s">
        <v>16</v>
      </c>
      <c r="C806" s="5" t="s">
        <v>23</v>
      </c>
      <c r="D806" s="23">
        <v>781.23</v>
      </c>
      <c r="E806" s="23">
        <v>279.19</v>
      </c>
      <c r="F806" s="23">
        <v>502.04</v>
      </c>
      <c r="G806" s="5" t="s">
        <v>2</v>
      </c>
      <c r="H806" s="5" t="s">
        <v>36</v>
      </c>
      <c r="I806" s="5" t="s">
        <v>27</v>
      </c>
      <c r="J806" s="6">
        <f>Table1[[#This Row],[Profit]]/Table1[[#This Row],[Sales]]</f>
        <v>0.64262765126787247</v>
      </c>
      <c r="K806" s="5" t="str">
        <f t="shared" si="12"/>
        <v>Low</v>
      </c>
      <c r="L806" s="5" t="str">
        <f>TEXT(Table1[[#This Row],[Order_Date]],"MMM")</f>
        <v>Sep</v>
      </c>
      <c r="M806" s="5" t="str">
        <f>IF(Table1[[#This Row],[Profit]]&gt;=1000,"Excellent",IF(Table1[[#This Row],[Profit]]&gt;=500,"Good", IF(Table1[[#This Row],[Profit]]&lt;500,"Low")))</f>
        <v>Good</v>
      </c>
      <c r="N806" s="7" t="str">
        <f>TEXT(Table1[[#This Row],[Order_Date]],"YYY")</f>
        <v>2024</v>
      </c>
    </row>
    <row r="807" spans="1:14" x14ac:dyDescent="0.3">
      <c r="A807" s="4">
        <v>45543</v>
      </c>
      <c r="B807" s="5" t="s">
        <v>18</v>
      </c>
      <c r="C807" s="5" t="s">
        <v>23</v>
      </c>
      <c r="D807" s="23">
        <v>283.45999999999998</v>
      </c>
      <c r="E807" s="23">
        <v>98.52</v>
      </c>
      <c r="F807" s="23">
        <v>184.94</v>
      </c>
      <c r="G807" s="5" t="s">
        <v>2</v>
      </c>
      <c r="H807" s="5" t="s">
        <v>7</v>
      </c>
      <c r="I807" s="5" t="s">
        <v>17</v>
      </c>
      <c r="J807" s="6">
        <f>Table1[[#This Row],[Profit]]/Table1[[#This Row],[Sales]]</f>
        <v>0.65243773371904334</v>
      </c>
      <c r="K807" s="5" t="str">
        <f t="shared" si="12"/>
        <v>Low</v>
      </c>
      <c r="L807" s="5" t="str">
        <f>TEXT(Table1[[#This Row],[Order_Date]],"MMM")</f>
        <v>Sep</v>
      </c>
      <c r="M807" s="5" t="str">
        <f>IF(Table1[[#This Row],[Profit]]&gt;=1000,"Excellent",IF(Table1[[#This Row],[Profit]]&gt;=500,"Good", IF(Table1[[#This Row],[Profit]]&lt;500,"Low")))</f>
        <v>Low</v>
      </c>
      <c r="N807" s="7" t="str">
        <f>TEXT(Table1[[#This Row],[Order_Date]],"YYY")</f>
        <v>2024</v>
      </c>
    </row>
    <row r="808" spans="1:14" x14ac:dyDescent="0.3">
      <c r="A808" s="4">
        <v>45543</v>
      </c>
      <c r="B808" s="5" t="s">
        <v>16</v>
      </c>
      <c r="C808" s="5" t="s">
        <v>1</v>
      </c>
      <c r="D808" s="23">
        <v>558.41</v>
      </c>
      <c r="E808" s="23">
        <v>291.66000000000003</v>
      </c>
      <c r="F808" s="23">
        <v>266.75</v>
      </c>
      <c r="G808" s="5" t="s">
        <v>2</v>
      </c>
      <c r="H808" s="5" t="s">
        <v>37</v>
      </c>
      <c r="I808" s="5" t="s">
        <v>4</v>
      </c>
      <c r="J808" s="6">
        <f>Table1[[#This Row],[Profit]]/Table1[[#This Row],[Sales]]</f>
        <v>0.47769560000716321</v>
      </c>
      <c r="K808" s="5" t="str">
        <f t="shared" si="12"/>
        <v>Low</v>
      </c>
      <c r="L808" s="5" t="str">
        <f>TEXT(Table1[[#This Row],[Order_Date]],"MMM")</f>
        <v>Sep</v>
      </c>
      <c r="M808" s="5" t="str">
        <f>IF(Table1[[#This Row],[Profit]]&gt;=1000,"Excellent",IF(Table1[[#This Row],[Profit]]&gt;=500,"Good", IF(Table1[[#This Row],[Profit]]&lt;500,"Low")))</f>
        <v>Low</v>
      </c>
      <c r="N808" s="7" t="str">
        <f>TEXT(Table1[[#This Row],[Order_Date]],"YYY")</f>
        <v>2024</v>
      </c>
    </row>
    <row r="809" spans="1:14" x14ac:dyDescent="0.3">
      <c r="A809" s="4">
        <v>45543</v>
      </c>
      <c r="B809" s="5" t="s">
        <v>13</v>
      </c>
      <c r="C809" s="5" t="s">
        <v>31</v>
      </c>
      <c r="D809" s="23">
        <v>65.84</v>
      </c>
      <c r="E809" s="23">
        <v>22.69</v>
      </c>
      <c r="F809" s="23">
        <v>43.15</v>
      </c>
      <c r="G809" s="5" t="s">
        <v>6</v>
      </c>
      <c r="H809" s="5" t="s">
        <v>36</v>
      </c>
      <c r="I809" s="5" t="s">
        <v>17</v>
      </c>
      <c r="J809" s="6">
        <f>Table1[[#This Row],[Profit]]/Table1[[#This Row],[Sales]]</f>
        <v>0.65537667071688932</v>
      </c>
      <c r="K809" s="5" t="str">
        <f t="shared" si="12"/>
        <v>Low</v>
      </c>
      <c r="L809" s="5" t="str">
        <f>TEXT(Table1[[#This Row],[Order_Date]],"MMM")</f>
        <v>Sep</v>
      </c>
      <c r="M809" s="5" t="str">
        <f>IF(Table1[[#This Row],[Profit]]&gt;=1000,"Excellent",IF(Table1[[#This Row],[Profit]]&gt;=500,"Good", IF(Table1[[#This Row],[Profit]]&lt;500,"Low")))</f>
        <v>Low</v>
      </c>
      <c r="N809" s="7" t="str">
        <f>TEXT(Table1[[#This Row],[Order_Date]],"YYY")</f>
        <v>2024</v>
      </c>
    </row>
    <row r="810" spans="1:14" x14ac:dyDescent="0.3">
      <c r="A810" s="4">
        <v>45543</v>
      </c>
      <c r="B810" s="5" t="s">
        <v>0</v>
      </c>
      <c r="C810" s="5" t="s">
        <v>5</v>
      </c>
      <c r="D810" s="23">
        <v>946.51</v>
      </c>
      <c r="E810" s="23">
        <v>422.64</v>
      </c>
      <c r="F810" s="23">
        <v>523.87</v>
      </c>
      <c r="G810" s="5" t="s">
        <v>2</v>
      </c>
      <c r="H810" s="5" t="s">
        <v>12</v>
      </c>
      <c r="I810" s="5" t="s">
        <v>25</v>
      </c>
      <c r="J810" s="6">
        <f>Table1[[#This Row],[Profit]]/Table1[[#This Row],[Sales]]</f>
        <v>0.55347539909773802</v>
      </c>
      <c r="K810" s="5" t="str">
        <f t="shared" si="12"/>
        <v>Low</v>
      </c>
      <c r="L810" s="5" t="str">
        <f>TEXT(Table1[[#This Row],[Order_Date]],"MMM")</f>
        <v>Sep</v>
      </c>
      <c r="M810" s="5" t="str">
        <f>IF(Table1[[#This Row],[Profit]]&gt;=1000,"Excellent",IF(Table1[[#This Row],[Profit]]&gt;=500,"Good", IF(Table1[[#This Row],[Profit]]&lt;500,"Low")))</f>
        <v>Good</v>
      </c>
      <c r="N810" s="7" t="str">
        <f>TEXT(Table1[[#This Row],[Order_Date]],"YYY")</f>
        <v>2024</v>
      </c>
    </row>
    <row r="811" spans="1:14" x14ac:dyDescent="0.3">
      <c r="A811" s="4">
        <v>45543</v>
      </c>
      <c r="B811" s="5" t="s">
        <v>18</v>
      </c>
      <c r="C811" s="5" t="s">
        <v>1</v>
      </c>
      <c r="D811" s="23">
        <v>496.75</v>
      </c>
      <c r="E811" s="23">
        <v>225.15</v>
      </c>
      <c r="F811" s="23">
        <v>271.60000000000002</v>
      </c>
      <c r="G811" s="5" t="s">
        <v>2</v>
      </c>
      <c r="H811" s="5" t="s">
        <v>24</v>
      </c>
      <c r="I811" s="5" t="s">
        <v>25</v>
      </c>
      <c r="J811" s="6">
        <f>Table1[[#This Row],[Profit]]/Table1[[#This Row],[Sales]]</f>
        <v>0.54675390035228988</v>
      </c>
      <c r="K811" s="5" t="str">
        <f t="shared" si="12"/>
        <v>Low</v>
      </c>
      <c r="L811" s="5" t="str">
        <f>TEXT(Table1[[#This Row],[Order_Date]],"MMM")</f>
        <v>Sep</v>
      </c>
      <c r="M811" s="5" t="str">
        <f>IF(Table1[[#This Row],[Profit]]&gt;=1000,"Excellent",IF(Table1[[#This Row],[Profit]]&gt;=500,"Good", IF(Table1[[#This Row],[Profit]]&lt;500,"Low")))</f>
        <v>Low</v>
      </c>
      <c r="N811" s="7" t="str">
        <f>TEXT(Table1[[#This Row],[Order_Date]],"YYY")</f>
        <v>2024</v>
      </c>
    </row>
    <row r="812" spans="1:14" x14ac:dyDescent="0.3">
      <c r="A812" s="4">
        <v>45543</v>
      </c>
      <c r="B812" s="5" t="s">
        <v>0</v>
      </c>
      <c r="C812" s="5" t="s">
        <v>23</v>
      </c>
      <c r="D812" s="23">
        <v>681.09</v>
      </c>
      <c r="E812" s="23">
        <v>230.36</v>
      </c>
      <c r="F812" s="23">
        <v>450.73</v>
      </c>
      <c r="G812" s="5" t="s">
        <v>32</v>
      </c>
      <c r="H812" s="5" t="s">
        <v>15</v>
      </c>
      <c r="I812" s="5" t="s">
        <v>11</v>
      </c>
      <c r="J812" s="6">
        <f>Table1[[#This Row],[Profit]]/Table1[[#This Row],[Sales]]</f>
        <v>0.66177744497790303</v>
      </c>
      <c r="K812" s="5" t="str">
        <f t="shared" si="12"/>
        <v>Low</v>
      </c>
      <c r="L812" s="5" t="str">
        <f>TEXT(Table1[[#This Row],[Order_Date]],"MMM")</f>
        <v>Sep</v>
      </c>
      <c r="M812" s="5" t="str">
        <f>IF(Table1[[#This Row],[Profit]]&gt;=1000,"Excellent",IF(Table1[[#This Row],[Profit]]&gt;=500,"Good", IF(Table1[[#This Row],[Profit]]&lt;500,"Low")))</f>
        <v>Low</v>
      </c>
      <c r="N812" s="7" t="str">
        <f>TEXT(Table1[[#This Row],[Order_Date]],"YYY")</f>
        <v>2024</v>
      </c>
    </row>
    <row r="813" spans="1:14" x14ac:dyDescent="0.3">
      <c r="A813" s="4">
        <v>45544</v>
      </c>
      <c r="B813" s="5" t="s">
        <v>0</v>
      </c>
      <c r="C813" s="5" t="s">
        <v>1</v>
      </c>
      <c r="D813" s="23">
        <v>199.05</v>
      </c>
      <c r="E813" s="23">
        <v>100.51</v>
      </c>
      <c r="F813" s="23">
        <v>98.54</v>
      </c>
      <c r="G813" s="5" t="s">
        <v>2</v>
      </c>
      <c r="H813" s="5" t="s">
        <v>3</v>
      </c>
      <c r="I813" s="5" t="s">
        <v>11</v>
      </c>
      <c r="J813" s="6">
        <f>Table1[[#This Row],[Profit]]/Table1[[#This Row],[Sales]]</f>
        <v>0.49505149459934689</v>
      </c>
      <c r="K813" s="5" t="str">
        <f t="shared" si="12"/>
        <v>Low</v>
      </c>
      <c r="L813" s="5" t="str">
        <f>TEXT(Table1[[#This Row],[Order_Date]],"MMM")</f>
        <v>Sep</v>
      </c>
      <c r="M813" s="5" t="str">
        <f>IF(Table1[[#This Row],[Profit]]&gt;=1000,"Excellent",IF(Table1[[#This Row],[Profit]]&gt;=500,"Good", IF(Table1[[#This Row],[Profit]]&lt;500,"Low")))</f>
        <v>Low</v>
      </c>
      <c r="N813" s="7" t="str">
        <f>TEXT(Table1[[#This Row],[Order_Date]],"YYY")</f>
        <v>2024</v>
      </c>
    </row>
    <row r="814" spans="1:14" x14ac:dyDescent="0.3">
      <c r="A814" s="4">
        <v>45544</v>
      </c>
      <c r="B814" s="5" t="s">
        <v>18</v>
      </c>
      <c r="C814" s="5" t="s">
        <v>23</v>
      </c>
      <c r="D814" s="23">
        <v>534.59</v>
      </c>
      <c r="E814" s="23">
        <v>190.3</v>
      </c>
      <c r="F814" s="23">
        <v>344.29</v>
      </c>
      <c r="G814" s="5" t="s">
        <v>2</v>
      </c>
      <c r="H814" s="5" t="s">
        <v>29</v>
      </c>
      <c r="I814" s="5" t="s">
        <v>17</v>
      </c>
      <c r="J814" s="6">
        <f>Table1[[#This Row],[Profit]]/Table1[[#This Row],[Sales]]</f>
        <v>0.64402626311752931</v>
      </c>
      <c r="K814" s="5" t="str">
        <f t="shared" si="12"/>
        <v>Low</v>
      </c>
      <c r="L814" s="5" t="str">
        <f>TEXT(Table1[[#This Row],[Order_Date]],"MMM")</f>
        <v>Sep</v>
      </c>
      <c r="M814" s="5" t="str">
        <f>IF(Table1[[#This Row],[Profit]]&gt;=1000,"Excellent",IF(Table1[[#This Row],[Profit]]&gt;=500,"Good", IF(Table1[[#This Row],[Profit]]&lt;500,"Low")))</f>
        <v>Low</v>
      </c>
      <c r="N814" s="7" t="str">
        <f>TEXT(Table1[[#This Row],[Order_Date]],"YYY")</f>
        <v>2024</v>
      </c>
    </row>
    <row r="815" spans="1:14" x14ac:dyDescent="0.3">
      <c r="A815" s="4">
        <v>45544</v>
      </c>
      <c r="B815" s="5" t="s">
        <v>16</v>
      </c>
      <c r="C815" s="5" t="s">
        <v>1</v>
      </c>
      <c r="D815" s="23">
        <v>274.17</v>
      </c>
      <c r="E815" s="23">
        <v>181.2</v>
      </c>
      <c r="F815" s="23">
        <v>92.97</v>
      </c>
      <c r="G815" s="5" t="s">
        <v>2</v>
      </c>
      <c r="H815" s="5" t="s">
        <v>36</v>
      </c>
      <c r="I815" s="5" t="s">
        <v>22</v>
      </c>
      <c r="J815" s="6">
        <f>Table1[[#This Row],[Profit]]/Table1[[#This Row],[Sales]]</f>
        <v>0.33909618120144436</v>
      </c>
      <c r="K815" s="5" t="str">
        <f t="shared" si="12"/>
        <v>Low</v>
      </c>
      <c r="L815" s="5" t="str">
        <f>TEXT(Table1[[#This Row],[Order_Date]],"MMM")</f>
        <v>Sep</v>
      </c>
      <c r="M815" s="5" t="str">
        <f>IF(Table1[[#This Row],[Profit]]&gt;=1000,"Excellent",IF(Table1[[#This Row],[Profit]]&gt;=500,"Good", IF(Table1[[#This Row],[Profit]]&lt;500,"Low")))</f>
        <v>Low</v>
      </c>
      <c r="N815" s="7" t="str">
        <f>TEXT(Table1[[#This Row],[Order_Date]],"YYY")</f>
        <v>2024</v>
      </c>
    </row>
    <row r="816" spans="1:14" x14ac:dyDescent="0.3">
      <c r="A816" s="4">
        <v>45545</v>
      </c>
      <c r="B816" s="5" t="s">
        <v>16</v>
      </c>
      <c r="C816" s="5" t="s">
        <v>19</v>
      </c>
      <c r="D816" s="23">
        <v>143.83000000000001</v>
      </c>
      <c r="E816" s="23">
        <v>54.19</v>
      </c>
      <c r="F816" s="23">
        <v>89.64</v>
      </c>
      <c r="G816" s="5" t="s">
        <v>6</v>
      </c>
      <c r="H816" s="5" t="s">
        <v>7</v>
      </c>
      <c r="I816" s="5" t="s">
        <v>27</v>
      </c>
      <c r="J816" s="6">
        <f>Table1[[#This Row],[Profit]]/Table1[[#This Row],[Sales]]</f>
        <v>0.62323576444413542</v>
      </c>
      <c r="K816" s="5" t="str">
        <f t="shared" si="12"/>
        <v>Low</v>
      </c>
      <c r="L816" s="5" t="str">
        <f>TEXT(Table1[[#This Row],[Order_Date]],"MMM")</f>
        <v>Sep</v>
      </c>
      <c r="M816" s="5" t="str">
        <f>IF(Table1[[#This Row],[Profit]]&gt;=1000,"Excellent",IF(Table1[[#This Row],[Profit]]&gt;=500,"Good", IF(Table1[[#This Row],[Profit]]&lt;500,"Low")))</f>
        <v>Low</v>
      </c>
      <c r="N816" s="7" t="str">
        <f>TEXT(Table1[[#This Row],[Order_Date]],"YYY")</f>
        <v>2024</v>
      </c>
    </row>
    <row r="817" spans="1:14" x14ac:dyDescent="0.3">
      <c r="A817" s="4">
        <v>45545</v>
      </c>
      <c r="B817" s="5" t="s">
        <v>0</v>
      </c>
      <c r="C817" s="5" t="s">
        <v>1</v>
      </c>
      <c r="D817" s="23">
        <v>1116.8</v>
      </c>
      <c r="E817" s="23">
        <v>524.01</v>
      </c>
      <c r="F817" s="23">
        <v>592.79</v>
      </c>
      <c r="G817" s="5" t="s">
        <v>9</v>
      </c>
      <c r="H817" s="5" t="s">
        <v>35</v>
      </c>
      <c r="I817" s="5" t="s">
        <v>17</v>
      </c>
      <c r="J817" s="6">
        <f>Table1[[#This Row],[Profit]]/Table1[[#This Row],[Sales]]</f>
        <v>0.53079333810888252</v>
      </c>
      <c r="K817" s="5" t="str">
        <f t="shared" si="12"/>
        <v>Low</v>
      </c>
      <c r="L817" s="5" t="str">
        <f>TEXT(Table1[[#This Row],[Order_Date]],"MMM")</f>
        <v>Sep</v>
      </c>
      <c r="M817" s="5" t="str">
        <f>IF(Table1[[#This Row],[Profit]]&gt;=1000,"Excellent",IF(Table1[[#This Row],[Profit]]&gt;=500,"Good", IF(Table1[[#This Row],[Profit]]&lt;500,"Low")))</f>
        <v>Good</v>
      </c>
      <c r="N817" s="7" t="str">
        <f>TEXT(Table1[[#This Row],[Order_Date]],"YYY")</f>
        <v>2024</v>
      </c>
    </row>
    <row r="818" spans="1:14" x14ac:dyDescent="0.3">
      <c r="A818" s="4">
        <v>45545</v>
      </c>
      <c r="B818" s="5" t="s">
        <v>18</v>
      </c>
      <c r="C818" s="5" t="s">
        <v>19</v>
      </c>
      <c r="D818" s="23">
        <v>45.35</v>
      </c>
      <c r="E818" s="23">
        <v>11.23</v>
      </c>
      <c r="F818" s="23">
        <v>34.119999999999997</v>
      </c>
      <c r="G818" s="5" t="s">
        <v>6</v>
      </c>
      <c r="H818" s="5" t="s">
        <v>30</v>
      </c>
      <c r="I818" s="5" t="s">
        <v>27</v>
      </c>
      <c r="J818" s="6">
        <f>Table1[[#This Row],[Profit]]/Table1[[#This Row],[Sales]]</f>
        <v>0.75237045203969122</v>
      </c>
      <c r="K818" s="5" t="str">
        <f t="shared" si="12"/>
        <v>Low</v>
      </c>
      <c r="L818" s="5" t="str">
        <f>TEXT(Table1[[#This Row],[Order_Date]],"MMM")</f>
        <v>Sep</v>
      </c>
      <c r="M818" s="5" t="str">
        <f>IF(Table1[[#This Row],[Profit]]&gt;=1000,"Excellent",IF(Table1[[#This Row],[Profit]]&gt;=500,"Good", IF(Table1[[#This Row],[Profit]]&lt;500,"Low")))</f>
        <v>Low</v>
      </c>
      <c r="N818" s="7" t="str">
        <f>TEXT(Table1[[#This Row],[Order_Date]],"YYY")</f>
        <v>2024</v>
      </c>
    </row>
    <row r="819" spans="1:14" x14ac:dyDescent="0.3">
      <c r="A819" s="4">
        <v>45545</v>
      </c>
      <c r="B819" s="5" t="s">
        <v>13</v>
      </c>
      <c r="C819" s="5" t="s">
        <v>31</v>
      </c>
      <c r="D819" s="23">
        <v>145.63</v>
      </c>
      <c r="E819" s="23">
        <v>57.34</v>
      </c>
      <c r="F819" s="23">
        <v>88.29</v>
      </c>
      <c r="G819" s="5" t="s">
        <v>32</v>
      </c>
      <c r="H819" s="5" t="s">
        <v>28</v>
      </c>
      <c r="I819" s="5" t="s">
        <v>11</v>
      </c>
      <c r="J819" s="6">
        <f>Table1[[#This Row],[Profit]]/Table1[[#This Row],[Sales]]</f>
        <v>0.60626244592460354</v>
      </c>
      <c r="K819" s="5" t="str">
        <f t="shared" si="12"/>
        <v>Low</v>
      </c>
      <c r="L819" s="5" t="str">
        <f>TEXT(Table1[[#This Row],[Order_Date]],"MMM")</f>
        <v>Sep</v>
      </c>
      <c r="M819" s="5" t="str">
        <f>IF(Table1[[#This Row],[Profit]]&gt;=1000,"Excellent",IF(Table1[[#This Row],[Profit]]&gt;=500,"Good", IF(Table1[[#This Row],[Profit]]&lt;500,"Low")))</f>
        <v>Low</v>
      </c>
      <c r="N819" s="7" t="str">
        <f>TEXT(Table1[[#This Row],[Order_Date]],"YYY")</f>
        <v>2024</v>
      </c>
    </row>
    <row r="820" spans="1:14" x14ac:dyDescent="0.3">
      <c r="A820" s="4">
        <v>45547</v>
      </c>
      <c r="B820" s="5" t="s">
        <v>0</v>
      </c>
      <c r="C820" s="5" t="s">
        <v>31</v>
      </c>
      <c r="D820" s="23">
        <v>22.38</v>
      </c>
      <c r="E820" s="23">
        <v>8.6</v>
      </c>
      <c r="F820" s="23">
        <v>13.78</v>
      </c>
      <c r="G820" s="5" t="s">
        <v>2</v>
      </c>
      <c r="H820" s="5" t="s">
        <v>34</v>
      </c>
      <c r="I820" s="5" t="s">
        <v>11</v>
      </c>
      <c r="J820" s="6">
        <f>Table1[[#This Row],[Profit]]/Table1[[#This Row],[Sales]]</f>
        <v>0.61572832886505813</v>
      </c>
      <c r="K820" s="5" t="str">
        <f t="shared" si="12"/>
        <v>Low</v>
      </c>
      <c r="L820" s="5" t="str">
        <f>TEXT(Table1[[#This Row],[Order_Date]],"MMM")</f>
        <v>Sep</v>
      </c>
      <c r="M820" s="5" t="str">
        <f>IF(Table1[[#This Row],[Profit]]&gt;=1000,"Excellent",IF(Table1[[#This Row],[Profit]]&gt;=500,"Good", IF(Table1[[#This Row],[Profit]]&lt;500,"Low")))</f>
        <v>Low</v>
      </c>
      <c r="N820" s="7" t="str">
        <f>TEXT(Table1[[#This Row],[Order_Date]],"YYY")</f>
        <v>2024</v>
      </c>
    </row>
    <row r="821" spans="1:14" x14ac:dyDescent="0.3">
      <c r="A821" s="4">
        <v>45547</v>
      </c>
      <c r="B821" s="5" t="s">
        <v>18</v>
      </c>
      <c r="C821" s="5" t="s">
        <v>19</v>
      </c>
      <c r="D821" s="23">
        <v>13.12</v>
      </c>
      <c r="E821" s="23">
        <v>4.72</v>
      </c>
      <c r="F821" s="23">
        <v>8.4</v>
      </c>
      <c r="G821" s="5" t="s">
        <v>20</v>
      </c>
      <c r="H821" s="5" t="s">
        <v>3</v>
      </c>
      <c r="I821" s="5" t="s">
        <v>25</v>
      </c>
      <c r="J821" s="6">
        <f>Table1[[#This Row],[Profit]]/Table1[[#This Row],[Sales]]</f>
        <v>0.6402439024390244</v>
      </c>
      <c r="K821" s="5" t="str">
        <f t="shared" si="12"/>
        <v>Low</v>
      </c>
      <c r="L821" s="5" t="str">
        <f>TEXT(Table1[[#This Row],[Order_Date]],"MMM")</f>
        <v>Sep</v>
      </c>
      <c r="M821" s="5" t="str">
        <f>IF(Table1[[#This Row],[Profit]]&gt;=1000,"Excellent",IF(Table1[[#This Row],[Profit]]&gt;=500,"Good", IF(Table1[[#This Row],[Profit]]&lt;500,"Low")))</f>
        <v>Low</v>
      </c>
      <c r="N821" s="7" t="str">
        <f>TEXT(Table1[[#This Row],[Order_Date]],"YYY")</f>
        <v>2024</v>
      </c>
    </row>
    <row r="822" spans="1:14" x14ac:dyDescent="0.3">
      <c r="A822" s="4">
        <v>45548</v>
      </c>
      <c r="B822" s="5" t="s">
        <v>16</v>
      </c>
      <c r="C822" s="5" t="s">
        <v>26</v>
      </c>
      <c r="D822" s="23">
        <v>203.11</v>
      </c>
      <c r="E822" s="23">
        <v>77.849999999999994</v>
      </c>
      <c r="F822" s="23">
        <v>125.26</v>
      </c>
      <c r="G822" s="5" t="s">
        <v>9</v>
      </c>
      <c r="H822" s="5" t="s">
        <v>36</v>
      </c>
      <c r="I822" s="5" t="s">
        <v>4</v>
      </c>
      <c r="J822" s="6">
        <f>Table1[[#This Row],[Profit]]/Table1[[#This Row],[Sales]]</f>
        <v>0.6167101570577519</v>
      </c>
      <c r="K822" s="5" t="str">
        <f t="shared" si="12"/>
        <v>Low</v>
      </c>
      <c r="L822" s="5" t="str">
        <f>TEXT(Table1[[#This Row],[Order_Date]],"MMM")</f>
        <v>Sep</v>
      </c>
      <c r="M822" s="5" t="str">
        <f>IF(Table1[[#This Row],[Profit]]&gt;=1000,"Excellent",IF(Table1[[#This Row],[Profit]]&gt;=500,"Good", IF(Table1[[#This Row],[Profit]]&lt;500,"Low")))</f>
        <v>Low</v>
      </c>
      <c r="N822" s="7" t="str">
        <f>TEXT(Table1[[#This Row],[Order_Date]],"YYY")</f>
        <v>2024</v>
      </c>
    </row>
    <row r="823" spans="1:14" x14ac:dyDescent="0.3">
      <c r="A823" s="4">
        <v>45548</v>
      </c>
      <c r="B823" s="5" t="s">
        <v>16</v>
      </c>
      <c r="C823" s="5" t="s">
        <v>26</v>
      </c>
      <c r="D823" s="23">
        <v>702.32</v>
      </c>
      <c r="E823" s="23">
        <v>235.87</v>
      </c>
      <c r="F823" s="23">
        <v>466.45</v>
      </c>
      <c r="G823" s="5" t="s">
        <v>2</v>
      </c>
      <c r="H823" s="5" t="s">
        <v>10</v>
      </c>
      <c r="I823" s="5" t="s">
        <v>25</v>
      </c>
      <c r="J823" s="6">
        <f>Table1[[#This Row],[Profit]]/Table1[[#This Row],[Sales]]</f>
        <v>0.66415594031210834</v>
      </c>
      <c r="K823" s="5" t="str">
        <f t="shared" si="12"/>
        <v>Low</v>
      </c>
      <c r="L823" s="5" t="str">
        <f>TEXT(Table1[[#This Row],[Order_Date]],"MMM")</f>
        <v>Sep</v>
      </c>
      <c r="M823" s="5" t="str">
        <f>IF(Table1[[#This Row],[Profit]]&gt;=1000,"Excellent",IF(Table1[[#This Row],[Profit]]&gt;=500,"Good", IF(Table1[[#This Row],[Profit]]&lt;500,"Low")))</f>
        <v>Low</v>
      </c>
      <c r="N823" s="7" t="str">
        <f>TEXT(Table1[[#This Row],[Order_Date]],"YYY")</f>
        <v>2024</v>
      </c>
    </row>
    <row r="824" spans="1:14" x14ac:dyDescent="0.3">
      <c r="A824" s="4">
        <v>45549</v>
      </c>
      <c r="B824" s="5" t="s">
        <v>8</v>
      </c>
      <c r="C824" s="5" t="s">
        <v>19</v>
      </c>
      <c r="D824" s="23">
        <v>42.79</v>
      </c>
      <c r="E824" s="23">
        <v>10.46</v>
      </c>
      <c r="F824" s="23">
        <v>32.33</v>
      </c>
      <c r="G824" s="5" t="s">
        <v>20</v>
      </c>
      <c r="H824" s="5" t="s">
        <v>29</v>
      </c>
      <c r="I824" s="5" t="s">
        <v>11</v>
      </c>
      <c r="J824" s="6">
        <f>Table1[[#This Row],[Profit]]/Table1[[#This Row],[Sales]]</f>
        <v>0.75555036223416683</v>
      </c>
      <c r="K824" s="5" t="str">
        <f t="shared" si="12"/>
        <v>Low</v>
      </c>
      <c r="L824" s="5" t="str">
        <f>TEXT(Table1[[#This Row],[Order_Date]],"MMM")</f>
        <v>Sep</v>
      </c>
      <c r="M824" s="5" t="str">
        <f>IF(Table1[[#This Row],[Profit]]&gt;=1000,"Excellent",IF(Table1[[#This Row],[Profit]]&gt;=500,"Good", IF(Table1[[#This Row],[Profit]]&lt;500,"Low")))</f>
        <v>Low</v>
      </c>
      <c r="N824" s="7" t="str">
        <f>TEXT(Table1[[#This Row],[Order_Date]],"YYY")</f>
        <v>2024</v>
      </c>
    </row>
    <row r="825" spans="1:14" x14ac:dyDescent="0.3">
      <c r="A825" s="4">
        <v>45549</v>
      </c>
      <c r="B825" s="5" t="s">
        <v>16</v>
      </c>
      <c r="C825" s="5" t="s">
        <v>23</v>
      </c>
      <c r="D825" s="23">
        <v>473.99</v>
      </c>
      <c r="E825" s="23">
        <v>232.25</v>
      </c>
      <c r="F825" s="23">
        <v>241.74</v>
      </c>
      <c r="G825" s="5" t="s">
        <v>20</v>
      </c>
      <c r="H825" s="5" t="s">
        <v>3</v>
      </c>
      <c r="I825" s="5" t="s">
        <v>25</v>
      </c>
      <c r="J825" s="6">
        <f>Table1[[#This Row],[Profit]]/Table1[[#This Row],[Sales]]</f>
        <v>0.51001075972066923</v>
      </c>
      <c r="K825" s="5" t="str">
        <f t="shared" si="12"/>
        <v>Low</v>
      </c>
      <c r="L825" s="5" t="str">
        <f>TEXT(Table1[[#This Row],[Order_Date]],"MMM")</f>
        <v>Sep</v>
      </c>
      <c r="M825" s="5" t="str">
        <f>IF(Table1[[#This Row],[Profit]]&gt;=1000,"Excellent",IF(Table1[[#This Row],[Profit]]&gt;=500,"Good", IF(Table1[[#This Row],[Profit]]&lt;500,"Low")))</f>
        <v>Low</v>
      </c>
      <c r="N825" s="7" t="str">
        <f>TEXT(Table1[[#This Row],[Order_Date]],"YYY")</f>
        <v>2024</v>
      </c>
    </row>
    <row r="826" spans="1:14" x14ac:dyDescent="0.3">
      <c r="A826" s="4">
        <v>45549</v>
      </c>
      <c r="B826" s="5" t="s">
        <v>0</v>
      </c>
      <c r="C826" s="5" t="s">
        <v>31</v>
      </c>
      <c r="D826" s="23">
        <v>27.1</v>
      </c>
      <c r="E826" s="23">
        <v>9.85</v>
      </c>
      <c r="F826" s="23">
        <v>17.25</v>
      </c>
      <c r="G826" s="5" t="s">
        <v>9</v>
      </c>
      <c r="H826" s="5" t="s">
        <v>12</v>
      </c>
      <c r="I826" s="5" t="s">
        <v>17</v>
      </c>
      <c r="J826" s="6">
        <f>Table1[[#This Row],[Profit]]/Table1[[#This Row],[Sales]]</f>
        <v>0.63653136531365306</v>
      </c>
      <c r="K826" s="5" t="str">
        <f t="shared" si="12"/>
        <v>Low</v>
      </c>
      <c r="L826" s="5" t="str">
        <f>TEXT(Table1[[#This Row],[Order_Date]],"MMM")</f>
        <v>Sep</v>
      </c>
      <c r="M826" s="5" t="str">
        <f>IF(Table1[[#This Row],[Profit]]&gt;=1000,"Excellent",IF(Table1[[#This Row],[Profit]]&gt;=500,"Good", IF(Table1[[#This Row],[Profit]]&lt;500,"Low")))</f>
        <v>Low</v>
      </c>
      <c r="N826" s="7" t="str">
        <f>TEXT(Table1[[#This Row],[Order_Date]],"YYY")</f>
        <v>2024</v>
      </c>
    </row>
    <row r="827" spans="1:14" x14ac:dyDescent="0.3">
      <c r="A827" s="4">
        <v>45550</v>
      </c>
      <c r="B827" s="5" t="s">
        <v>0</v>
      </c>
      <c r="C827" s="5" t="s">
        <v>14</v>
      </c>
      <c r="D827" s="23">
        <v>254.11</v>
      </c>
      <c r="E827" s="23">
        <v>111.66</v>
      </c>
      <c r="F827" s="23">
        <v>142.44999999999999</v>
      </c>
      <c r="G827" s="5" t="s">
        <v>9</v>
      </c>
      <c r="H827" s="5" t="s">
        <v>30</v>
      </c>
      <c r="I827" s="5" t="s">
        <v>25</v>
      </c>
      <c r="J827" s="6">
        <f>Table1[[#This Row],[Profit]]/Table1[[#This Row],[Sales]]</f>
        <v>0.56058399905552703</v>
      </c>
      <c r="K827" s="5" t="str">
        <f t="shared" si="12"/>
        <v>Low</v>
      </c>
      <c r="L827" s="5" t="str">
        <f>TEXT(Table1[[#This Row],[Order_Date]],"MMM")</f>
        <v>Sep</v>
      </c>
      <c r="M827" s="5" t="str">
        <f>IF(Table1[[#This Row],[Profit]]&gt;=1000,"Excellent",IF(Table1[[#This Row],[Profit]]&gt;=500,"Good", IF(Table1[[#This Row],[Profit]]&lt;500,"Low")))</f>
        <v>Low</v>
      </c>
      <c r="N827" s="7" t="str">
        <f>TEXT(Table1[[#This Row],[Order_Date]],"YYY")</f>
        <v>2024</v>
      </c>
    </row>
    <row r="828" spans="1:14" x14ac:dyDescent="0.3">
      <c r="A828" s="4">
        <v>45551</v>
      </c>
      <c r="B828" s="5" t="s">
        <v>16</v>
      </c>
      <c r="C828" s="5" t="s">
        <v>14</v>
      </c>
      <c r="D828" s="23">
        <v>321.62</v>
      </c>
      <c r="E828" s="23">
        <v>99.72</v>
      </c>
      <c r="F828" s="23">
        <v>221.9</v>
      </c>
      <c r="G828" s="5" t="s">
        <v>9</v>
      </c>
      <c r="H828" s="5" t="s">
        <v>7</v>
      </c>
      <c r="I828" s="5" t="s">
        <v>25</v>
      </c>
      <c r="J828" s="6">
        <f>Table1[[#This Row],[Profit]]/Table1[[#This Row],[Sales]]</f>
        <v>0.68994465518313541</v>
      </c>
      <c r="K828" s="5" t="str">
        <f t="shared" si="12"/>
        <v>Low</v>
      </c>
      <c r="L828" s="5" t="str">
        <f>TEXT(Table1[[#This Row],[Order_Date]],"MMM")</f>
        <v>Sep</v>
      </c>
      <c r="M828" s="5" t="str">
        <f>IF(Table1[[#This Row],[Profit]]&gt;=1000,"Excellent",IF(Table1[[#This Row],[Profit]]&gt;=500,"Good", IF(Table1[[#This Row],[Profit]]&lt;500,"Low")))</f>
        <v>Low</v>
      </c>
      <c r="N828" s="7" t="str">
        <f>TEXT(Table1[[#This Row],[Order_Date]],"YYY")</f>
        <v>2024</v>
      </c>
    </row>
    <row r="829" spans="1:14" x14ac:dyDescent="0.3">
      <c r="A829" s="4">
        <v>45551</v>
      </c>
      <c r="B829" s="5" t="s">
        <v>18</v>
      </c>
      <c r="C829" s="5" t="s">
        <v>31</v>
      </c>
      <c r="D829" s="23">
        <v>146.37</v>
      </c>
      <c r="E829" s="23">
        <v>42.66</v>
      </c>
      <c r="F829" s="23">
        <v>103.71</v>
      </c>
      <c r="G829" s="5" t="s">
        <v>2</v>
      </c>
      <c r="H829" s="5" t="s">
        <v>12</v>
      </c>
      <c r="I829" s="5" t="s">
        <v>4</v>
      </c>
      <c r="J829" s="6">
        <f>Table1[[#This Row],[Profit]]/Table1[[#This Row],[Sales]]</f>
        <v>0.70854683336749325</v>
      </c>
      <c r="K829" s="5" t="str">
        <f t="shared" si="12"/>
        <v>Low</v>
      </c>
      <c r="L829" s="5" t="str">
        <f>TEXT(Table1[[#This Row],[Order_Date]],"MMM")</f>
        <v>Sep</v>
      </c>
      <c r="M829" s="5" t="str">
        <f>IF(Table1[[#This Row],[Profit]]&gt;=1000,"Excellent",IF(Table1[[#This Row],[Profit]]&gt;=500,"Good", IF(Table1[[#This Row],[Profit]]&lt;500,"Low")))</f>
        <v>Low</v>
      </c>
      <c r="N829" s="7" t="str">
        <f>TEXT(Table1[[#This Row],[Order_Date]],"YYY")</f>
        <v>2024</v>
      </c>
    </row>
    <row r="830" spans="1:14" x14ac:dyDescent="0.3">
      <c r="A830" s="4">
        <v>45554</v>
      </c>
      <c r="B830" s="5" t="s">
        <v>13</v>
      </c>
      <c r="C830" s="5" t="s">
        <v>26</v>
      </c>
      <c r="D830" s="23">
        <v>247.38</v>
      </c>
      <c r="E830" s="23">
        <v>106.54</v>
      </c>
      <c r="F830" s="23">
        <v>140.84</v>
      </c>
      <c r="G830" s="5" t="s">
        <v>6</v>
      </c>
      <c r="H830" s="5" t="s">
        <v>3</v>
      </c>
      <c r="I830" s="5" t="s">
        <v>27</v>
      </c>
      <c r="J830" s="6">
        <f>Table1[[#This Row],[Profit]]/Table1[[#This Row],[Sales]]</f>
        <v>0.5693265421618563</v>
      </c>
      <c r="K830" s="5" t="str">
        <f t="shared" si="12"/>
        <v>Low</v>
      </c>
      <c r="L830" s="5" t="str">
        <f>TEXT(Table1[[#This Row],[Order_Date]],"MMM")</f>
        <v>Sep</v>
      </c>
      <c r="M830" s="5" t="str">
        <f>IF(Table1[[#This Row],[Profit]]&gt;=1000,"Excellent",IF(Table1[[#This Row],[Profit]]&gt;=500,"Good", IF(Table1[[#This Row],[Profit]]&lt;500,"Low")))</f>
        <v>Low</v>
      </c>
      <c r="N830" s="7" t="str">
        <f>TEXT(Table1[[#This Row],[Order_Date]],"YYY")</f>
        <v>2024</v>
      </c>
    </row>
    <row r="831" spans="1:14" x14ac:dyDescent="0.3">
      <c r="A831" s="4">
        <v>45555</v>
      </c>
      <c r="B831" s="5" t="s">
        <v>18</v>
      </c>
      <c r="C831" s="5" t="s">
        <v>5</v>
      </c>
      <c r="D831" s="23">
        <v>1789.94</v>
      </c>
      <c r="E831" s="23">
        <v>760.11</v>
      </c>
      <c r="F831" s="23">
        <v>1029.83</v>
      </c>
      <c r="G831" s="5" t="s">
        <v>6</v>
      </c>
      <c r="H831" s="5" t="s">
        <v>37</v>
      </c>
      <c r="I831" s="5" t="s">
        <v>11</v>
      </c>
      <c r="J831" s="6">
        <f>Table1[[#This Row],[Profit]]/Table1[[#This Row],[Sales]]</f>
        <v>0.57534330759690266</v>
      </c>
      <c r="K831" s="5" t="str">
        <f t="shared" si="12"/>
        <v>Medium</v>
      </c>
      <c r="L831" s="5" t="str">
        <f>TEXT(Table1[[#This Row],[Order_Date]],"MMM")</f>
        <v>Sep</v>
      </c>
      <c r="M831" s="5" t="str">
        <f>IF(Table1[[#This Row],[Profit]]&gt;=1000,"Excellent",IF(Table1[[#This Row],[Profit]]&gt;=500,"Good", IF(Table1[[#This Row],[Profit]]&lt;500,"Low")))</f>
        <v>Excellent</v>
      </c>
      <c r="N831" s="7" t="str">
        <f>TEXT(Table1[[#This Row],[Order_Date]],"YYY")</f>
        <v>2024</v>
      </c>
    </row>
    <row r="832" spans="1:14" x14ac:dyDescent="0.3">
      <c r="A832" s="4">
        <v>45556</v>
      </c>
      <c r="B832" s="5" t="s">
        <v>16</v>
      </c>
      <c r="C832" s="5" t="s">
        <v>5</v>
      </c>
      <c r="D832" s="23">
        <v>520.03</v>
      </c>
      <c r="E832" s="23">
        <v>221.09</v>
      </c>
      <c r="F832" s="23">
        <v>298.94</v>
      </c>
      <c r="G832" s="5" t="s">
        <v>32</v>
      </c>
      <c r="H832" s="5" t="s">
        <v>36</v>
      </c>
      <c r="I832" s="5" t="s">
        <v>22</v>
      </c>
      <c r="J832" s="6">
        <f>Table1[[#This Row],[Profit]]/Table1[[#This Row],[Sales]]</f>
        <v>0.57485145087783396</v>
      </c>
      <c r="K832" s="5" t="str">
        <f t="shared" si="12"/>
        <v>Low</v>
      </c>
      <c r="L832" s="5" t="str">
        <f>TEXT(Table1[[#This Row],[Order_Date]],"MMM")</f>
        <v>Sep</v>
      </c>
      <c r="M832" s="5" t="str">
        <f>IF(Table1[[#This Row],[Profit]]&gt;=1000,"Excellent",IF(Table1[[#This Row],[Profit]]&gt;=500,"Good", IF(Table1[[#This Row],[Profit]]&lt;500,"Low")))</f>
        <v>Low</v>
      </c>
      <c r="N832" s="7" t="str">
        <f>TEXT(Table1[[#This Row],[Order_Date]],"YYY")</f>
        <v>2024</v>
      </c>
    </row>
    <row r="833" spans="1:14" x14ac:dyDescent="0.3">
      <c r="A833" s="4">
        <v>45556</v>
      </c>
      <c r="B833" s="5" t="s">
        <v>13</v>
      </c>
      <c r="C833" s="5" t="s">
        <v>26</v>
      </c>
      <c r="D833" s="23">
        <v>1093.5</v>
      </c>
      <c r="E833" s="23">
        <v>485.62</v>
      </c>
      <c r="F833" s="23">
        <v>607.88</v>
      </c>
      <c r="G833" s="5" t="s">
        <v>9</v>
      </c>
      <c r="H833" s="5" t="s">
        <v>34</v>
      </c>
      <c r="I833" s="5" t="s">
        <v>25</v>
      </c>
      <c r="J833" s="6">
        <f>Table1[[#This Row],[Profit]]/Table1[[#This Row],[Sales]]</f>
        <v>0.5559030635573845</v>
      </c>
      <c r="K833" s="5" t="str">
        <f t="shared" si="12"/>
        <v>Low</v>
      </c>
      <c r="L833" s="5" t="str">
        <f>TEXT(Table1[[#This Row],[Order_Date]],"MMM")</f>
        <v>Sep</v>
      </c>
      <c r="M833" s="5" t="str">
        <f>IF(Table1[[#This Row],[Profit]]&gt;=1000,"Excellent",IF(Table1[[#This Row],[Profit]]&gt;=500,"Good", IF(Table1[[#This Row],[Profit]]&lt;500,"Low")))</f>
        <v>Good</v>
      </c>
      <c r="N833" s="7" t="str">
        <f>TEXT(Table1[[#This Row],[Order_Date]],"YYY")</f>
        <v>2024</v>
      </c>
    </row>
    <row r="834" spans="1:14" x14ac:dyDescent="0.3">
      <c r="A834" s="4">
        <v>45556</v>
      </c>
      <c r="B834" s="5" t="s">
        <v>16</v>
      </c>
      <c r="C834" s="5" t="s">
        <v>31</v>
      </c>
      <c r="D834" s="23">
        <v>17</v>
      </c>
      <c r="E834" s="23">
        <v>3.58</v>
      </c>
      <c r="F834" s="23">
        <v>13.42</v>
      </c>
      <c r="G834" s="5" t="s">
        <v>32</v>
      </c>
      <c r="H834" s="5" t="s">
        <v>12</v>
      </c>
      <c r="I834" s="5" t="s">
        <v>17</v>
      </c>
      <c r="J834" s="6">
        <f>Table1[[#This Row],[Profit]]/Table1[[#This Row],[Sales]]</f>
        <v>0.78941176470588237</v>
      </c>
      <c r="K834" s="5" t="str">
        <f t="shared" ref="K834:K897" si="13">IF(D834&gt;=2000,"High",IF(D834&gt;=1500,"Medium","Low"))</f>
        <v>Low</v>
      </c>
      <c r="L834" s="5" t="str">
        <f>TEXT(Table1[[#This Row],[Order_Date]],"MMM")</f>
        <v>Sep</v>
      </c>
      <c r="M834" s="5" t="str">
        <f>IF(Table1[[#This Row],[Profit]]&gt;=1000,"Excellent",IF(Table1[[#This Row],[Profit]]&gt;=500,"Good", IF(Table1[[#This Row],[Profit]]&lt;500,"Low")))</f>
        <v>Low</v>
      </c>
      <c r="N834" s="7" t="str">
        <f>TEXT(Table1[[#This Row],[Order_Date]],"YYY")</f>
        <v>2024</v>
      </c>
    </row>
    <row r="835" spans="1:14" x14ac:dyDescent="0.3">
      <c r="A835" s="4">
        <v>45557</v>
      </c>
      <c r="B835" s="5" t="s">
        <v>8</v>
      </c>
      <c r="C835" s="5" t="s">
        <v>5</v>
      </c>
      <c r="D835" s="23">
        <v>1841.89</v>
      </c>
      <c r="E835" s="23">
        <v>691.99</v>
      </c>
      <c r="F835" s="23">
        <v>1149.9000000000001</v>
      </c>
      <c r="G835" s="5" t="s">
        <v>2</v>
      </c>
      <c r="H835" s="5" t="s">
        <v>36</v>
      </c>
      <c r="I835" s="5" t="s">
        <v>11</v>
      </c>
      <c r="J835" s="6">
        <f>Table1[[#This Row],[Profit]]/Table1[[#This Row],[Sales]]</f>
        <v>0.62430438299789892</v>
      </c>
      <c r="K835" s="5" t="str">
        <f t="shared" si="13"/>
        <v>Medium</v>
      </c>
      <c r="L835" s="5" t="str">
        <f>TEXT(Table1[[#This Row],[Order_Date]],"MMM")</f>
        <v>Sep</v>
      </c>
      <c r="M835" s="5" t="str">
        <f>IF(Table1[[#This Row],[Profit]]&gt;=1000,"Excellent",IF(Table1[[#This Row],[Profit]]&gt;=500,"Good", IF(Table1[[#This Row],[Profit]]&lt;500,"Low")))</f>
        <v>Excellent</v>
      </c>
      <c r="N835" s="7" t="str">
        <f>TEXT(Table1[[#This Row],[Order_Date]],"YYY")</f>
        <v>2024</v>
      </c>
    </row>
    <row r="836" spans="1:14" x14ac:dyDescent="0.3">
      <c r="A836" s="4">
        <v>45558</v>
      </c>
      <c r="B836" s="5" t="s">
        <v>18</v>
      </c>
      <c r="C836" s="5" t="s">
        <v>31</v>
      </c>
      <c r="D836" s="23">
        <v>262.14999999999998</v>
      </c>
      <c r="E836" s="23">
        <v>87.4</v>
      </c>
      <c r="F836" s="23">
        <v>174.75</v>
      </c>
      <c r="G836" s="5" t="s">
        <v>32</v>
      </c>
      <c r="H836" s="5" t="s">
        <v>34</v>
      </c>
      <c r="I836" s="5" t="s">
        <v>22</v>
      </c>
      <c r="J836" s="6">
        <f>Table1[[#This Row],[Profit]]/Table1[[#This Row],[Sales]]</f>
        <v>0.66660308983406458</v>
      </c>
      <c r="K836" s="5" t="str">
        <f t="shared" si="13"/>
        <v>Low</v>
      </c>
      <c r="L836" s="5" t="str">
        <f>TEXT(Table1[[#This Row],[Order_Date]],"MMM")</f>
        <v>Sep</v>
      </c>
      <c r="M836" s="5" t="str">
        <f>IF(Table1[[#This Row],[Profit]]&gt;=1000,"Excellent",IF(Table1[[#This Row],[Profit]]&gt;=500,"Good", IF(Table1[[#This Row],[Profit]]&lt;500,"Low")))</f>
        <v>Low</v>
      </c>
      <c r="N836" s="7" t="str">
        <f>TEXT(Table1[[#This Row],[Order_Date]],"YYY")</f>
        <v>2024</v>
      </c>
    </row>
    <row r="837" spans="1:14" x14ac:dyDescent="0.3">
      <c r="A837" s="4">
        <v>45558</v>
      </c>
      <c r="B837" s="5" t="s">
        <v>16</v>
      </c>
      <c r="C837" s="5" t="s">
        <v>1</v>
      </c>
      <c r="D837" s="23">
        <v>226.6</v>
      </c>
      <c r="E837" s="23">
        <v>104.36</v>
      </c>
      <c r="F837" s="23">
        <v>122.24</v>
      </c>
      <c r="G837" s="5" t="s">
        <v>32</v>
      </c>
      <c r="H837" s="5" t="s">
        <v>35</v>
      </c>
      <c r="I837" s="5" t="s">
        <v>4</v>
      </c>
      <c r="J837" s="6">
        <f>Table1[[#This Row],[Profit]]/Table1[[#This Row],[Sales]]</f>
        <v>0.53945278022947929</v>
      </c>
      <c r="K837" s="5" t="str">
        <f t="shared" si="13"/>
        <v>Low</v>
      </c>
      <c r="L837" s="5" t="str">
        <f>TEXT(Table1[[#This Row],[Order_Date]],"MMM")</f>
        <v>Sep</v>
      </c>
      <c r="M837" s="5" t="str">
        <f>IF(Table1[[#This Row],[Profit]]&gt;=1000,"Excellent",IF(Table1[[#This Row],[Profit]]&gt;=500,"Good", IF(Table1[[#This Row],[Profit]]&lt;500,"Low")))</f>
        <v>Low</v>
      </c>
      <c r="N837" s="7" t="str">
        <f>TEXT(Table1[[#This Row],[Order_Date]],"YYY")</f>
        <v>2024</v>
      </c>
    </row>
    <row r="838" spans="1:14" x14ac:dyDescent="0.3">
      <c r="A838" s="4">
        <v>45559</v>
      </c>
      <c r="B838" s="5" t="s">
        <v>13</v>
      </c>
      <c r="C838" s="5" t="s">
        <v>23</v>
      </c>
      <c r="D838" s="23">
        <v>545.97</v>
      </c>
      <c r="E838" s="23">
        <v>266.60000000000002</v>
      </c>
      <c r="F838" s="23">
        <v>279.37</v>
      </c>
      <c r="G838" s="5" t="s">
        <v>6</v>
      </c>
      <c r="H838" s="5" t="s">
        <v>24</v>
      </c>
      <c r="I838" s="5" t="s">
        <v>17</v>
      </c>
      <c r="J838" s="6">
        <f>Table1[[#This Row],[Profit]]/Table1[[#This Row],[Sales]]</f>
        <v>0.51169478176456584</v>
      </c>
      <c r="K838" s="5" t="str">
        <f t="shared" si="13"/>
        <v>Low</v>
      </c>
      <c r="L838" s="5" t="str">
        <f>TEXT(Table1[[#This Row],[Order_Date]],"MMM")</f>
        <v>Sep</v>
      </c>
      <c r="M838" s="5" t="str">
        <f>IF(Table1[[#This Row],[Profit]]&gt;=1000,"Excellent",IF(Table1[[#This Row],[Profit]]&gt;=500,"Good", IF(Table1[[#This Row],[Profit]]&lt;500,"Low")))</f>
        <v>Low</v>
      </c>
      <c r="N838" s="7" t="str">
        <f>TEXT(Table1[[#This Row],[Order_Date]],"YYY")</f>
        <v>2024</v>
      </c>
    </row>
    <row r="839" spans="1:14" x14ac:dyDescent="0.3">
      <c r="A839" s="4">
        <v>45559</v>
      </c>
      <c r="B839" s="5" t="s">
        <v>13</v>
      </c>
      <c r="C839" s="5" t="s">
        <v>14</v>
      </c>
      <c r="D839" s="23">
        <v>50.88</v>
      </c>
      <c r="E839" s="23">
        <v>18.77</v>
      </c>
      <c r="F839" s="23">
        <v>32.11</v>
      </c>
      <c r="G839" s="5" t="s">
        <v>9</v>
      </c>
      <c r="H839" s="5" t="s">
        <v>12</v>
      </c>
      <c r="I839" s="5" t="s">
        <v>11</v>
      </c>
      <c r="J839" s="6">
        <f>Table1[[#This Row],[Profit]]/Table1[[#This Row],[Sales]]</f>
        <v>0.63109276729559749</v>
      </c>
      <c r="K839" s="5" t="str">
        <f t="shared" si="13"/>
        <v>Low</v>
      </c>
      <c r="L839" s="5" t="str">
        <f>TEXT(Table1[[#This Row],[Order_Date]],"MMM")</f>
        <v>Sep</v>
      </c>
      <c r="M839" s="5" t="str">
        <f>IF(Table1[[#This Row],[Profit]]&gt;=1000,"Excellent",IF(Table1[[#This Row],[Profit]]&gt;=500,"Good", IF(Table1[[#This Row],[Profit]]&lt;500,"Low")))</f>
        <v>Low</v>
      </c>
      <c r="N839" s="7" t="str">
        <f>TEXT(Table1[[#This Row],[Order_Date]],"YYY")</f>
        <v>2024</v>
      </c>
    </row>
    <row r="840" spans="1:14" x14ac:dyDescent="0.3">
      <c r="A840" s="4">
        <v>45560</v>
      </c>
      <c r="B840" s="5" t="s">
        <v>8</v>
      </c>
      <c r="C840" s="5" t="s">
        <v>31</v>
      </c>
      <c r="D840" s="23">
        <v>193.54</v>
      </c>
      <c r="E840" s="23">
        <v>64.849999999999994</v>
      </c>
      <c r="F840" s="23">
        <v>128.69</v>
      </c>
      <c r="G840" s="5" t="s">
        <v>9</v>
      </c>
      <c r="H840" s="5" t="s">
        <v>36</v>
      </c>
      <c r="I840" s="5" t="s">
        <v>27</v>
      </c>
      <c r="J840" s="6">
        <f>Table1[[#This Row],[Profit]]/Table1[[#This Row],[Sales]]</f>
        <v>0.66492714684302989</v>
      </c>
      <c r="K840" s="5" t="str">
        <f t="shared" si="13"/>
        <v>Low</v>
      </c>
      <c r="L840" s="5" t="str">
        <f>TEXT(Table1[[#This Row],[Order_Date]],"MMM")</f>
        <v>Sep</v>
      </c>
      <c r="M840" s="5" t="str">
        <f>IF(Table1[[#This Row],[Profit]]&gt;=1000,"Excellent",IF(Table1[[#This Row],[Profit]]&gt;=500,"Good", IF(Table1[[#This Row],[Profit]]&lt;500,"Low")))</f>
        <v>Low</v>
      </c>
      <c r="N840" s="7" t="str">
        <f>TEXT(Table1[[#This Row],[Order_Date]],"YYY")</f>
        <v>2024</v>
      </c>
    </row>
    <row r="841" spans="1:14" x14ac:dyDescent="0.3">
      <c r="A841" s="4">
        <v>45560</v>
      </c>
      <c r="B841" s="5" t="s">
        <v>18</v>
      </c>
      <c r="C841" s="5" t="s">
        <v>26</v>
      </c>
      <c r="D841" s="23">
        <v>758.55</v>
      </c>
      <c r="E841" s="23">
        <v>329.28</v>
      </c>
      <c r="F841" s="23">
        <v>429.27</v>
      </c>
      <c r="G841" s="5" t="s">
        <v>20</v>
      </c>
      <c r="H841" s="5" t="s">
        <v>28</v>
      </c>
      <c r="I841" s="5" t="s">
        <v>27</v>
      </c>
      <c r="J841" s="6">
        <f>Table1[[#This Row],[Profit]]/Table1[[#This Row],[Sales]]</f>
        <v>0.56590864148704767</v>
      </c>
      <c r="K841" s="5" t="str">
        <f t="shared" si="13"/>
        <v>Low</v>
      </c>
      <c r="L841" s="5" t="str">
        <f>TEXT(Table1[[#This Row],[Order_Date]],"MMM")</f>
        <v>Sep</v>
      </c>
      <c r="M841" s="5" t="str">
        <f>IF(Table1[[#This Row],[Profit]]&gt;=1000,"Excellent",IF(Table1[[#This Row],[Profit]]&gt;=500,"Good", IF(Table1[[#This Row],[Profit]]&lt;500,"Low")))</f>
        <v>Low</v>
      </c>
      <c r="N841" s="7" t="str">
        <f>TEXT(Table1[[#This Row],[Order_Date]],"YYY")</f>
        <v>2024</v>
      </c>
    </row>
    <row r="842" spans="1:14" x14ac:dyDescent="0.3">
      <c r="A842" s="4">
        <v>45561</v>
      </c>
      <c r="B842" s="5" t="s">
        <v>16</v>
      </c>
      <c r="C842" s="5" t="s">
        <v>19</v>
      </c>
      <c r="D842" s="23">
        <v>73.849999999999994</v>
      </c>
      <c r="E842" s="23">
        <v>23.7</v>
      </c>
      <c r="F842" s="23">
        <v>50.15</v>
      </c>
      <c r="G842" s="5" t="s">
        <v>32</v>
      </c>
      <c r="H842" s="5" t="s">
        <v>30</v>
      </c>
      <c r="I842" s="5" t="s">
        <v>11</v>
      </c>
      <c r="J842" s="6">
        <f>Table1[[#This Row],[Profit]]/Table1[[#This Row],[Sales]]</f>
        <v>0.67907921462423837</v>
      </c>
      <c r="K842" s="5" t="str">
        <f t="shared" si="13"/>
        <v>Low</v>
      </c>
      <c r="L842" s="5" t="str">
        <f>TEXT(Table1[[#This Row],[Order_Date]],"MMM")</f>
        <v>Sep</v>
      </c>
      <c r="M842" s="5" t="str">
        <f>IF(Table1[[#This Row],[Profit]]&gt;=1000,"Excellent",IF(Table1[[#This Row],[Profit]]&gt;=500,"Good", IF(Table1[[#This Row],[Profit]]&lt;500,"Low")))</f>
        <v>Low</v>
      </c>
      <c r="N842" s="7" t="str">
        <f>TEXT(Table1[[#This Row],[Order_Date]],"YYY")</f>
        <v>2024</v>
      </c>
    </row>
    <row r="843" spans="1:14" x14ac:dyDescent="0.3">
      <c r="A843" s="4">
        <v>45561</v>
      </c>
      <c r="B843" s="5" t="s">
        <v>16</v>
      </c>
      <c r="C843" s="5" t="s">
        <v>1</v>
      </c>
      <c r="D843" s="23">
        <v>204.06</v>
      </c>
      <c r="E843" s="23">
        <v>120.31</v>
      </c>
      <c r="F843" s="23">
        <v>83.75</v>
      </c>
      <c r="G843" s="5" t="s">
        <v>6</v>
      </c>
      <c r="H843" s="5" t="s">
        <v>30</v>
      </c>
      <c r="I843" s="5" t="s">
        <v>25</v>
      </c>
      <c r="J843" s="6">
        <f>Table1[[#This Row],[Profit]]/Table1[[#This Row],[Sales]]</f>
        <v>0.41041850436146232</v>
      </c>
      <c r="K843" s="5" t="str">
        <f t="shared" si="13"/>
        <v>Low</v>
      </c>
      <c r="L843" s="5" t="str">
        <f>TEXT(Table1[[#This Row],[Order_Date]],"MMM")</f>
        <v>Sep</v>
      </c>
      <c r="M843" s="5" t="str">
        <f>IF(Table1[[#This Row],[Profit]]&gt;=1000,"Excellent",IF(Table1[[#This Row],[Profit]]&gt;=500,"Good", IF(Table1[[#This Row],[Profit]]&lt;500,"Low")))</f>
        <v>Low</v>
      </c>
      <c r="N843" s="7" t="str">
        <f>TEXT(Table1[[#This Row],[Order_Date]],"YYY")</f>
        <v>2024</v>
      </c>
    </row>
    <row r="844" spans="1:14" x14ac:dyDescent="0.3">
      <c r="A844" s="4">
        <v>45561</v>
      </c>
      <c r="B844" s="5" t="s">
        <v>18</v>
      </c>
      <c r="C844" s="5" t="s">
        <v>5</v>
      </c>
      <c r="D844" s="23">
        <v>1942.11</v>
      </c>
      <c r="E844" s="23">
        <v>777.01</v>
      </c>
      <c r="F844" s="23">
        <v>1165.0999999999999</v>
      </c>
      <c r="G844" s="5" t="s">
        <v>32</v>
      </c>
      <c r="H844" s="5" t="s">
        <v>33</v>
      </c>
      <c r="I844" s="5" t="s">
        <v>4</v>
      </c>
      <c r="J844" s="6">
        <f>Table1[[#This Row],[Profit]]/Table1[[#This Row],[Sales]]</f>
        <v>0.59991452595373074</v>
      </c>
      <c r="K844" s="5" t="str">
        <f t="shared" si="13"/>
        <v>Medium</v>
      </c>
      <c r="L844" s="5" t="str">
        <f>TEXT(Table1[[#This Row],[Order_Date]],"MMM")</f>
        <v>Sep</v>
      </c>
      <c r="M844" s="5" t="str">
        <f>IF(Table1[[#This Row],[Profit]]&gt;=1000,"Excellent",IF(Table1[[#This Row],[Profit]]&gt;=500,"Good", IF(Table1[[#This Row],[Profit]]&lt;500,"Low")))</f>
        <v>Excellent</v>
      </c>
      <c r="N844" s="7" t="str">
        <f>TEXT(Table1[[#This Row],[Order_Date]],"YYY")</f>
        <v>2024</v>
      </c>
    </row>
    <row r="845" spans="1:14" x14ac:dyDescent="0.3">
      <c r="A845" s="4">
        <v>45561</v>
      </c>
      <c r="B845" s="5" t="s">
        <v>0</v>
      </c>
      <c r="C845" s="5" t="s">
        <v>14</v>
      </c>
      <c r="D845" s="23">
        <v>284.64999999999998</v>
      </c>
      <c r="E845" s="23">
        <v>101.45</v>
      </c>
      <c r="F845" s="23">
        <v>183.2</v>
      </c>
      <c r="G845" s="5" t="s">
        <v>20</v>
      </c>
      <c r="H845" s="5" t="s">
        <v>21</v>
      </c>
      <c r="I845" s="5" t="s">
        <v>22</v>
      </c>
      <c r="J845" s="6">
        <f>Table1[[#This Row],[Profit]]/Table1[[#This Row],[Sales]]</f>
        <v>0.64359740031617774</v>
      </c>
      <c r="K845" s="5" t="str">
        <f t="shared" si="13"/>
        <v>Low</v>
      </c>
      <c r="L845" s="5" t="str">
        <f>TEXT(Table1[[#This Row],[Order_Date]],"MMM")</f>
        <v>Sep</v>
      </c>
      <c r="M845" s="5" t="str">
        <f>IF(Table1[[#This Row],[Profit]]&gt;=1000,"Excellent",IF(Table1[[#This Row],[Profit]]&gt;=500,"Good", IF(Table1[[#This Row],[Profit]]&lt;500,"Low")))</f>
        <v>Low</v>
      </c>
      <c r="N845" s="7" t="str">
        <f>TEXT(Table1[[#This Row],[Order_Date]],"YYY")</f>
        <v>2024</v>
      </c>
    </row>
    <row r="846" spans="1:14" x14ac:dyDescent="0.3">
      <c r="A846" s="4">
        <v>45561</v>
      </c>
      <c r="B846" s="5" t="s">
        <v>0</v>
      </c>
      <c r="C846" s="5" t="s">
        <v>26</v>
      </c>
      <c r="D846" s="23">
        <v>749.28</v>
      </c>
      <c r="E846" s="23">
        <v>310.41000000000003</v>
      </c>
      <c r="F846" s="23">
        <v>438.87</v>
      </c>
      <c r="G846" s="5" t="s">
        <v>9</v>
      </c>
      <c r="H846" s="5" t="s">
        <v>36</v>
      </c>
      <c r="I846" s="5" t="s">
        <v>11</v>
      </c>
      <c r="J846" s="6">
        <f>Table1[[#This Row],[Profit]]/Table1[[#This Row],[Sales]]</f>
        <v>0.58572229340166559</v>
      </c>
      <c r="K846" s="5" t="str">
        <f t="shared" si="13"/>
        <v>Low</v>
      </c>
      <c r="L846" s="5" t="str">
        <f>TEXT(Table1[[#This Row],[Order_Date]],"MMM")</f>
        <v>Sep</v>
      </c>
      <c r="M846" s="5" t="str">
        <f>IF(Table1[[#This Row],[Profit]]&gt;=1000,"Excellent",IF(Table1[[#This Row],[Profit]]&gt;=500,"Good", IF(Table1[[#This Row],[Profit]]&lt;500,"Low")))</f>
        <v>Low</v>
      </c>
      <c r="N846" s="7" t="str">
        <f>TEXT(Table1[[#This Row],[Order_Date]],"YYY")</f>
        <v>2024</v>
      </c>
    </row>
    <row r="847" spans="1:14" x14ac:dyDescent="0.3">
      <c r="A847" s="4">
        <v>45562</v>
      </c>
      <c r="B847" s="5" t="s">
        <v>0</v>
      </c>
      <c r="C847" s="5" t="s">
        <v>23</v>
      </c>
      <c r="D847" s="23">
        <v>863.43</v>
      </c>
      <c r="E847" s="23">
        <v>333.33</v>
      </c>
      <c r="F847" s="23">
        <v>530.1</v>
      </c>
      <c r="G847" s="5" t="s">
        <v>32</v>
      </c>
      <c r="H847" s="5" t="s">
        <v>28</v>
      </c>
      <c r="I847" s="5" t="s">
        <v>22</v>
      </c>
      <c r="J847" s="6">
        <f>Table1[[#This Row],[Profit]]/Table1[[#This Row],[Sales]]</f>
        <v>0.61394670094854253</v>
      </c>
      <c r="K847" s="5" t="str">
        <f t="shared" si="13"/>
        <v>Low</v>
      </c>
      <c r="L847" s="5" t="str">
        <f>TEXT(Table1[[#This Row],[Order_Date]],"MMM")</f>
        <v>Sep</v>
      </c>
      <c r="M847" s="5" t="str">
        <f>IF(Table1[[#This Row],[Profit]]&gt;=1000,"Excellent",IF(Table1[[#This Row],[Profit]]&gt;=500,"Good", IF(Table1[[#This Row],[Profit]]&lt;500,"Low")))</f>
        <v>Good</v>
      </c>
      <c r="N847" s="7" t="str">
        <f>TEXT(Table1[[#This Row],[Order_Date]],"YYY")</f>
        <v>2024</v>
      </c>
    </row>
    <row r="848" spans="1:14" x14ac:dyDescent="0.3">
      <c r="A848" s="4">
        <v>45562</v>
      </c>
      <c r="B848" s="5" t="s">
        <v>8</v>
      </c>
      <c r="C848" s="5" t="s">
        <v>19</v>
      </c>
      <c r="D848" s="23">
        <v>74.31</v>
      </c>
      <c r="E848" s="23">
        <v>27.77</v>
      </c>
      <c r="F848" s="23">
        <v>46.54</v>
      </c>
      <c r="G848" s="5" t="s">
        <v>20</v>
      </c>
      <c r="H848" s="5" t="s">
        <v>34</v>
      </c>
      <c r="I848" s="5" t="s">
        <v>22</v>
      </c>
      <c r="J848" s="6">
        <f>Table1[[#This Row],[Profit]]/Table1[[#This Row],[Sales]]</f>
        <v>0.62629524962992866</v>
      </c>
      <c r="K848" s="5" t="str">
        <f t="shared" si="13"/>
        <v>Low</v>
      </c>
      <c r="L848" s="5" t="str">
        <f>TEXT(Table1[[#This Row],[Order_Date]],"MMM")</f>
        <v>Sep</v>
      </c>
      <c r="M848" s="5" t="str">
        <f>IF(Table1[[#This Row],[Profit]]&gt;=1000,"Excellent",IF(Table1[[#This Row],[Profit]]&gt;=500,"Good", IF(Table1[[#This Row],[Profit]]&lt;500,"Low")))</f>
        <v>Low</v>
      </c>
      <c r="N848" s="7" t="str">
        <f>TEXT(Table1[[#This Row],[Order_Date]],"YYY")</f>
        <v>2024</v>
      </c>
    </row>
    <row r="849" spans="1:14" x14ac:dyDescent="0.3">
      <c r="A849" s="4">
        <v>45562</v>
      </c>
      <c r="B849" s="5" t="s">
        <v>0</v>
      </c>
      <c r="C849" s="5" t="s">
        <v>31</v>
      </c>
      <c r="D849" s="23">
        <v>137.69999999999999</v>
      </c>
      <c r="E849" s="23">
        <v>32.729999999999997</v>
      </c>
      <c r="F849" s="23">
        <v>104.97</v>
      </c>
      <c r="G849" s="5" t="s">
        <v>9</v>
      </c>
      <c r="H849" s="5" t="s">
        <v>24</v>
      </c>
      <c r="I849" s="5" t="s">
        <v>27</v>
      </c>
      <c r="J849" s="6">
        <f>Table1[[#This Row],[Profit]]/Table1[[#This Row],[Sales]]</f>
        <v>0.76230936819172124</v>
      </c>
      <c r="K849" s="5" t="str">
        <f t="shared" si="13"/>
        <v>Low</v>
      </c>
      <c r="L849" s="5" t="str">
        <f>TEXT(Table1[[#This Row],[Order_Date]],"MMM")</f>
        <v>Sep</v>
      </c>
      <c r="M849" s="5" t="str">
        <f>IF(Table1[[#This Row],[Profit]]&gt;=1000,"Excellent",IF(Table1[[#This Row],[Profit]]&gt;=500,"Good", IF(Table1[[#This Row],[Profit]]&lt;500,"Low")))</f>
        <v>Low</v>
      </c>
      <c r="N849" s="7" t="str">
        <f>TEXT(Table1[[#This Row],[Order_Date]],"YYY")</f>
        <v>2024</v>
      </c>
    </row>
    <row r="850" spans="1:14" x14ac:dyDescent="0.3">
      <c r="A850" s="4">
        <v>45563</v>
      </c>
      <c r="B850" s="5" t="s">
        <v>13</v>
      </c>
      <c r="C850" s="5" t="s">
        <v>23</v>
      </c>
      <c r="D850" s="23">
        <v>698.43</v>
      </c>
      <c r="E850" s="23">
        <v>340.62</v>
      </c>
      <c r="F850" s="23">
        <v>357.81</v>
      </c>
      <c r="G850" s="5" t="s">
        <v>32</v>
      </c>
      <c r="H850" s="5" t="s">
        <v>36</v>
      </c>
      <c r="I850" s="5" t="s">
        <v>27</v>
      </c>
      <c r="J850" s="6">
        <f>Table1[[#This Row],[Profit]]/Table1[[#This Row],[Sales]]</f>
        <v>0.51230617241527432</v>
      </c>
      <c r="K850" s="5" t="str">
        <f t="shared" si="13"/>
        <v>Low</v>
      </c>
      <c r="L850" s="5" t="str">
        <f>TEXT(Table1[[#This Row],[Order_Date]],"MMM")</f>
        <v>Sep</v>
      </c>
      <c r="M850" s="5" t="str">
        <f>IF(Table1[[#This Row],[Profit]]&gt;=1000,"Excellent",IF(Table1[[#This Row],[Profit]]&gt;=500,"Good", IF(Table1[[#This Row],[Profit]]&lt;500,"Low")))</f>
        <v>Low</v>
      </c>
      <c r="N850" s="7" t="str">
        <f>TEXT(Table1[[#This Row],[Order_Date]],"YYY")</f>
        <v>2024</v>
      </c>
    </row>
    <row r="851" spans="1:14" x14ac:dyDescent="0.3">
      <c r="A851" s="4">
        <v>45563</v>
      </c>
      <c r="B851" s="5" t="s">
        <v>16</v>
      </c>
      <c r="C851" s="5" t="s">
        <v>31</v>
      </c>
      <c r="D851" s="23">
        <v>243.58</v>
      </c>
      <c r="E851" s="23">
        <v>90.49</v>
      </c>
      <c r="F851" s="23">
        <v>153.09</v>
      </c>
      <c r="G851" s="5" t="s">
        <v>32</v>
      </c>
      <c r="H851" s="5" t="s">
        <v>33</v>
      </c>
      <c r="I851" s="5" t="s">
        <v>25</v>
      </c>
      <c r="J851" s="6">
        <f>Table1[[#This Row],[Profit]]/Table1[[#This Row],[Sales]]</f>
        <v>0.62849987683717878</v>
      </c>
      <c r="K851" s="5" t="str">
        <f t="shared" si="13"/>
        <v>Low</v>
      </c>
      <c r="L851" s="5" t="str">
        <f>TEXT(Table1[[#This Row],[Order_Date]],"MMM")</f>
        <v>Sep</v>
      </c>
      <c r="M851" s="5" t="str">
        <f>IF(Table1[[#This Row],[Profit]]&gt;=1000,"Excellent",IF(Table1[[#This Row],[Profit]]&gt;=500,"Good", IF(Table1[[#This Row],[Profit]]&lt;500,"Low")))</f>
        <v>Low</v>
      </c>
      <c r="N851" s="7" t="str">
        <f>TEXT(Table1[[#This Row],[Order_Date]],"YYY")</f>
        <v>2024</v>
      </c>
    </row>
    <row r="852" spans="1:14" x14ac:dyDescent="0.3">
      <c r="A852" s="4">
        <v>45564</v>
      </c>
      <c r="B852" s="5" t="s">
        <v>8</v>
      </c>
      <c r="C852" s="5" t="s">
        <v>1</v>
      </c>
      <c r="D852" s="23">
        <v>1231.8699999999999</v>
      </c>
      <c r="E852" s="23">
        <v>662.15</v>
      </c>
      <c r="F852" s="23">
        <v>569.72</v>
      </c>
      <c r="G852" s="5" t="s">
        <v>6</v>
      </c>
      <c r="H852" s="5" t="s">
        <v>24</v>
      </c>
      <c r="I852" s="5" t="s">
        <v>25</v>
      </c>
      <c r="J852" s="6">
        <f>Table1[[#This Row],[Profit]]/Table1[[#This Row],[Sales]]</f>
        <v>0.46248386599235314</v>
      </c>
      <c r="K852" s="5" t="str">
        <f t="shared" si="13"/>
        <v>Low</v>
      </c>
      <c r="L852" s="5" t="str">
        <f>TEXT(Table1[[#This Row],[Order_Date]],"MMM")</f>
        <v>Sep</v>
      </c>
      <c r="M852" s="5" t="str">
        <f>IF(Table1[[#This Row],[Profit]]&gt;=1000,"Excellent",IF(Table1[[#This Row],[Profit]]&gt;=500,"Good", IF(Table1[[#This Row],[Profit]]&lt;500,"Low")))</f>
        <v>Good</v>
      </c>
      <c r="N852" s="7" t="str">
        <f>TEXT(Table1[[#This Row],[Order_Date]],"YYY")</f>
        <v>2024</v>
      </c>
    </row>
    <row r="853" spans="1:14" x14ac:dyDescent="0.3">
      <c r="A853" s="4">
        <v>45565</v>
      </c>
      <c r="B853" s="5" t="s">
        <v>18</v>
      </c>
      <c r="C853" s="5" t="s">
        <v>31</v>
      </c>
      <c r="D853" s="23">
        <v>89.15</v>
      </c>
      <c r="E853" s="23">
        <v>27</v>
      </c>
      <c r="F853" s="23">
        <v>62.15</v>
      </c>
      <c r="G853" s="5" t="s">
        <v>2</v>
      </c>
      <c r="H853" s="5" t="s">
        <v>15</v>
      </c>
      <c r="I853" s="5" t="s">
        <v>11</v>
      </c>
      <c r="J853" s="6">
        <f>Table1[[#This Row],[Profit]]/Table1[[#This Row],[Sales]]</f>
        <v>0.69713965227145258</v>
      </c>
      <c r="K853" s="5" t="str">
        <f t="shared" si="13"/>
        <v>Low</v>
      </c>
      <c r="L853" s="5" t="str">
        <f>TEXT(Table1[[#This Row],[Order_Date]],"MMM")</f>
        <v>Sep</v>
      </c>
      <c r="M853" s="5" t="str">
        <f>IF(Table1[[#This Row],[Profit]]&gt;=1000,"Excellent",IF(Table1[[#This Row],[Profit]]&gt;=500,"Good", IF(Table1[[#This Row],[Profit]]&lt;500,"Low")))</f>
        <v>Low</v>
      </c>
      <c r="N853" s="7" t="str">
        <f>TEXT(Table1[[#This Row],[Order_Date]],"YYY")</f>
        <v>2024</v>
      </c>
    </row>
    <row r="854" spans="1:14" x14ac:dyDescent="0.3">
      <c r="A854" s="4">
        <v>45565</v>
      </c>
      <c r="B854" s="5" t="s">
        <v>0</v>
      </c>
      <c r="C854" s="5" t="s">
        <v>23</v>
      </c>
      <c r="D854" s="23">
        <v>304.69</v>
      </c>
      <c r="E854" s="23">
        <v>88.3</v>
      </c>
      <c r="F854" s="23">
        <v>216.39</v>
      </c>
      <c r="G854" s="5" t="s">
        <v>20</v>
      </c>
      <c r="H854" s="5" t="s">
        <v>28</v>
      </c>
      <c r="I854" s="5" t="s">
        <v>25</v>
      </c>
      <c r="J854" s="6">
        <f>Table1[[#This Row],[Profit]]/Table1[[#This Row],[Sales]]</f>
        <v>0.71019724966359243</v>
      </c>
      <c r="K854" s="5" t="str">
        <f t="shared" si="13"/>
        <v>Low</v>
      </c>
      <c r="L854" s="5" t="str">
        <f>TEXT(Table1[[#This Row],[Order_Date]],"MMM")</f>
        <v>Sep</v>
      </c>
      <c r="M854" s="5" t="str">
        <f>IF(Table1[[#This Row],[Profit]]&gt;=1000,"Excellent",IF(Table1[[#This Row],[Profit]]&gt;=500,"Good", IF(Table1[[#This Row],[Profit]]&lt;500,"Low")))</f>
        <v>Low</v>
      </c>
      <c r="N854" s="7" t="str">
        <f>TEXT(Table1[[#This Row],[Order_Date]],"YYY")</f>
        <v>2024</v>
      </c>
    </row>
    <row r="855" spans="1:14" x14ac:dyDescent="0.3">
      <c r="A855" s="4">
        <v>45565</v>
      </c>
      <c r="B855" s="5" t="s">
        <v>8</v>
      </c>
      <c r="C855" s="5" t="s">
        <v>23</v>
      </c>
      <c r="D855" s="23">
        <v>206.3</v>
      </c>
      <c r="E855" s="23">
        <v>87.84</v>
      </c>
      <c r="F855" s="23">
        <v>118.46</v>
      </c>
      <c r="G855" s="5" t="s">
        <v>2</v>
      </c>
      <c r="H855" s="5" t="s">
        <v>15</v>
      </c>
      <c r="I855" s="5" t="s">
        <v>25</v>
      </c>
      <c r="J855" s="6">
        <f>Table1[[#This Row],[Profit]]/Table1[[#This Row],[Sales]]</f>
        <v>0.5742123121667474</v>
      </c>
      <c r="K855" s="5" t="str">
        <f t="shared" si="13"/>
        <v>Low</v>
      </c>
      <c r="L855" s="5" t="str">
        <f>TEXT(Table1[[#This Row],[Order_Date]],"MMM")</f>
        <v>Sep</v>
      </c>
      <c r="M855" s="5" t="str">
        <f>IF(Table1[[#This Row],[Profit]]&gt;=1000,"Excellent",IF(Table1[[#This Row],[Profit]]&gt;=500,"Good", IF(Table1[[#This Row],[Profit]]&lt;500,"Low")))</f>
        <v>Low</v>
      </c>
      <c r="N855" s="7" t="str">
        <f>TEXT(Table1[[#This Row],[Order_Date]],"YYY")</f>
        <v>2024</v>
      </c>
    </row>
    <row r="856" spans="1:14" x14ac:dyDescent="0.3">
      <c r="A856" s="4">
        <v>45565</v>
      </c>
      <c r="B856" s="5" t="s">
        <v>0</v>
      </c>
      <c r="C856" s="5" t="s">
        <v>5</v>
      </c>
      <c r="D856" s="23">
        <v>1294.8</v>
      </c>
      <c r="E856" s="23">
        <v>584.12</v>
      </c>
      <c r="F856" s="23">
        <v>710.68</v>
      </c>
      <c r="G856" s="5" t="s">
        <v>2</v>
      </c>
      <c r="H856" s="5" t="s">
        <v>15</v>
      </c>
      <c r="I856" s="5" t="s">
        <v>22</v>
      </c>
      <c r="J856" s="6">
        <f>Table1[[#This Row],[Profit]]/Table1[[#This Row],[Sales]]</f>
        <v>0.54887241272783438</v>
      </c>
      <c r="K856" s="5" t="str">
        <f t="shared" si="13"/>
        <v>Low</v>
      </c>
      <c r="L856" s="5" t="str">
        <f>TEXT(Table1[[#This Row],[Order_Date]],"MMM")</f>
        <v>Sep</v>
      </c>
      <c r="M856" s="5" t="str">
        <f>IF(Table1[[#This Row],[Profit]]&gt;=1000,"Excellent",IF(Table1[[#This Row],[Profit]]&gt;=500,"Good", IF(Table1[[#This Row],[Profit]]&lt;500,"Low")))</f>
        <v>Good</v>
      </c>
      <c r="N856" s="7" t="str">
        <f>TEXT(Table1[[#This Row],[Order_Date]],"YYY")</f>
        <v>2024</v>
      </c>
    </row>
    <row r="857" spans="1:14" x14ac:dyDescent="0.3">
      <c r="A857" s="4">
        <v>45566</v>
      </c>
      <c r="B857" s="5" t="s">
        <v>18</v>
      </c>
      <c r="C857" s="5" t="s">
        <v>5</v>
      </c>
      <c r="D857" s="23">
        <v>1038.72</v>
      </c>
      <c r="E857" s="23">
        <v>358.91</v>
      </c>
      <c r="F857" s="23">
        <v>679.81</v>
      </c>
      <c r="G857" s="5" t="s">
        <v>20</v>
      </c>
      <c r="H857" s="5" t="s">
        <v>33</v>
      </c>
      <c r="I857" s="5" t="s">
        <v>4</v>
      </c>
      <c r="J857" s="6">
        <f>Table1[[#This Row],[Profit]]/Table1[[#This Row],[Sales]]</f>
        <v>0.65446896179913738</v>
      </c>
      <c r="K857" s="5" t="str">
        <f t="shared" si="13"/>
        <v>Low</v>
      </c>
      <c r="L857" s="5" t="str">
        <f>TEXT(Table1[[#This Row],[Order_Date]],"MMM")</f>
        <v>Oct</v>
      </c>
      <c r="M857" s="5" t="str">
        <f>IF(Table1[[#This Row],[Profit]]&gt;=1000,"Excellent",IF(Table1[[#This Row],[Profit]]&gt;=500,"Good", IF(Table1[[#This Row],[Profit]]&lt;500,"Low")))</f>
        <v>Good</v>
      </c>
      <c r="N857" s="7" t="str">
        <f>TEXT(Table1[[#This Row],[Order_Date]],"YYY")</f>
        <v>2024</v>
      </c>
    </row>
    <row r="858" spans="1:14" x14ac:dyDescent="0.3">
      <c r="A858" s="4">
        <v>45567</v>
      </c>
      <c r="B858" s="5" t="s">
        <v>16</v>
      </c>
      <c r="C858" s="5" t="s">
        <v>26</v>
      </c>
      <c r="D858" s="23">
        <v>913.61</v>
      </c>
      <c r="E858" s="23">
        <v>245.08</v>
      </c>
      <c r="F858" s="23">
        <v>668.53</v>
      </c>
      <c r="G858" s="5" t="s">
        <v>20</v>
      </c>
      <c r="H858" s="5" t="s">
        <v>12</v>
      </c>
      <c r="I858" s="5" t="s">
        <v>17</v>
      </c>
      <c r="J858" s="6">
        <f>Table1[[#This Row],[Profit]]/Table1[[#This Row],[Sales]]</f>
        <v>0.73174549315353377</v>
      </c>
      <c r="K858" s="5" t="str">
        <f t="shared" si="13"/>
        <v>Low</v>
      </c>
      <c r="L858" s="5" t="str">
        <f>TEXT(Table1[[#This Row],[Order_Date]],"MMM")</f>
        <v>Oct</v>
      </c>
      <c r="M858" s="5" t="str">
        <f>IF(Table1[[#This Row],[Profit]]&gt;=1000,"Excellent",IF(Table1[[#This Row],[Profit]]&gt;=500,"Good", IF(Table1[[#This Row],[Profit]]&lt;500,"Low")))</f>
        <v>Good</v>
      </c>
      <c r="N858" s="7" t="str">
        <f>TEXT(Table1[[#This Row],[Order_Date]],"YYY")</f>
        <v>2024</v>
      </c>
    </row>
    <row r="859" spans="1:14" x14ac:dyDescent="0.3">
      <c r="A859" s="4">
        <v>45568</v>
      </c>
      <c r="B859" s="5" t="s">
        <v>13</v>
      </c>
      <c r="C859" s="5" t="s">
        <v>31</v>
      </c>
      <c r="D859" s="23">
        <v>16.54</v>
      </c>
      <c r="E859" s="23">
        <v>4.83</v>
      </c>
      <c r="F859" s="23">
        <v>11.71</v>
      </c>
      <c r="G859" s="5" t="s">
        <v>2</v>
      </c>
      <c r="H859" s="5" t="s">
        <v>7</v>
      </c>
      <c r="I859" s="5" t="s">
        <v>11</v>
      </c>
      <c r="J859" s="6">
        <f>Table1[[#This Row],[Profit]]/Table1[[#This Row],[Sales]]</f>
        <v>0.70798065296251522</v>
      </c>
      <c r="K859" s="5" t="str">
        <f t="shared" si="13"/>
        <v>Low</v>
      </c>
      <c r="L859" s="5" t="str">
        <f>TEXT(Table1[[#This Row],[Order_Date]],"MMM")</f>
        <v>Oct</v>
      </c>
      <c r="M859" s="5" t="str">
        <f>IF(Table1[[#This Row],[Profit]]&gt;=1000,"Excellent",IF(Table1[[#This Row],[Profit]]&gt;=500,"Good", IF(Table1[[#This Row],[Profit]]&lt;500,"Low")))</f>
        <v>Low</v>
      </c>
      <c r="N859" s="7" t="str">
        <f>TEXT(Table1[[#This Row],[Order_Date]],"YYY")</f>
        <v>2024</v>
      </c>
    </row>
    <row r="860" spans="1:14" x14ac:dyDescent="0.3">
      <c r="A860" s="4">
        <v>45568</v>
      </c>
      <c r="B860" s="5" t="s">
        <v>13</v>
      </c>
      <c r="C860" s="5" t="s">
        <v>31</v>
      </c>
      <c r="D860" s="23">
        <v>165.27</v>
      </c>
      <c r="E860" s="23">
        <v>58</v>
      </c>
      <c r="F860" s="23">
        <v>107.27</v>
      </c>
      <c r="G860" s="5" t="s">
        <v>2</v>
      </c>
      <c r="H860" s="5" t="s">
        <v>36</v>
      </c>
      <c r="I860" s="5" t="s">
        <v>27</v>
      </c>
      <c r="J860" s="6">
        <f>Table1[[#This Row],[Profit]]/Table1[[#This Row],[Sales]]</f>
        <v>0.6490591153869425</v>
      </c>
      <c r="K860" s="5" t="str">
        <f t="shared" si="13"/>
        <v>Low</v>
      </c>
      <c r="L860" s="5" t="str">
        <f>TEXT(Table1[[#This Row],[Order_Date]],"MMM")</f>
        <v>Oct</v>
      </c>
      <c r="M860" s="5" t="str">
        <f>IF(Table1[[#This Row],[Profit]]&gt;=1000,"Excellent",IF(Table1[[#This Row],[Profit]]&gt;=500,"Good", IF(Table1[[#This Row],[Profit]]&lt;500,"Low")))</f>
        <v>Low</v>
      </c>
      <c r="N860" s="7" t="str">
        <f>TEXT(Table1[[#This Row],[Order_Date]],"YYY")</f>
        <v>2024</v>
      </c>
    </row>
    <row r="861" spans="1:14" x14ac:dyDescent="0.3">
      <c r="A861" s="4">
        <v>45569</v>
      </c>
      <c r="B861" s="5" t="s">
        <v>0</v>
      </c>
      <c r="C861" s="5" t="s">
        <v>23</v>
      </c>
      <c r="D861" s="23">
        <v>829.05</v>
      </c>
      <c r="E861" s="23">
        <v>350.75</v>
      </c>
      <c r="F861" s="23">
        <v>478.3</v>
      </c>
      <c r="G861" s="5" t="s">
        <v>9</v>
      </c>
      <c r="H861" s="5" t="s">
        <v>34</v>
      </c>
      <c r="I861" s="5" t="s">
        <v>25</v>
      </c>
      <c r="J861" s="6">
        <f>Table1[[#This Row],[Profit]]/Table1[[#This Row],[Sales]]</f>
        <v>0.5769253965382064</v>
      </c>
      <c r="K861" s="5" t="str">
        <f t="shared" si="13"/>
        <v>Low</v>
      </c>
      <c r="L861" s="5" t="str">
        <f>TEXT(Table1[[#This Row],[Order_Date]],"MMM")</f>
        <v>Oct</v>
      </c>
      <c r="M861" s="5" t="str">
        <f>IF(Table1[[#This Row],[Profit]]&gt;=1000,"Excellent",IF(Table1[[#This Row],[Profit]]&gt;=500,"Good", IF(Table1[[#This Row],[Profit]]&lt;500,"Low")))</f>
        <v>Low</v>
      </c>
      <c r="N861" s="7" t="str">
        <f>TEXT(Table1[[#This Row],[Order_Date]],"YYY")</f>
        <v>2024</v>
      </c>
    </row>
    <row r="862" spans="1:14" x14ac:dyDescent="0.3">
      <c r="A862" s="4">
        <v>45570</v>
      </c>
      <c r="B862" s="5" t="s">
        <v>16</v>
      </c>
      <c r="C862" s="5" t="s">
        <v>1</v>
      </c>
      <c r="D862" s="23">
        <v>599.02</v>
      </c>
      <c r="E862" s="23">
        <v>296.95</v>
      </c>
      <c r="F862" s="23">
        <v>302.07</v>
      </c>
      <c r="G862" s="5" t="s">
        <v>32</v>
      </c>
      <c r="H862" s="5" t="s">
        <v>29</v>
      </c>
      <c r="I862" s="5" t="s">
        <v>17</v>
      </c>
      <c r="J862" s="6">
        <f>Table1[[#This Row],[Profit]]/Table1[[#This Row],[Sales]]</f>
        <v>0.50427364695669596</v>
      </c>
      <c r="K862" s="5" t="str">
        <f t="shared" si="13"/>
        <v>Low</v>
      </c>
      <c r="L862" s="5" t="str">
        <f>TEXT(Table1[[#This Row],[Order_Date]],"MMM")</f>
        <v>Oct</v>
      </c>
      <c r="M862" s="5" t="str">
        <f>IF(Table1[[#This Row],[Profit]]&gt;=1000,"Excellent",IF(Table1[[#This Row],[Profit]]&gt;=500,"Good", IF(Table1[[#This Row],[Profit]]&lt;500,"Low")))</f>
        <v>Low</v>
      </c>
      <c r="N862" s="7" t="str">
        <f>TEXT(Table1[[#This Row],[Order_Date]],"YYY")</f>
        <v>2024</v>
      </c>
    </row>
    <row r="863" spans="1:14" x14ac:dyDescent="0.3">
      <c r="A863" s="4">
        <v>45570</v>
      </c>
      <c r="B863" s="5" t="s">
        <v>18</v>
      </c>
      <c r="C863" s="5" t="s">
        <v>5</v>
      </c>
      <c r="D863" s="23">
        <v>1444.36</v>
      </c>
      <c r="E863" s="23">
        <v>543.15</v>
      </c>
      <c r="F863" s="23">
        <v>901.21</v>
      </c>
      <c r="G863" s="5" t="s">
        <v>2</v>
      </c>
      <c r="H863" s="5" t="s">
        <v>33</v>
      </c>
      <c r="I863" s="5" t="s">
        <v>11</v>
      </c>
      <c r="J863" s="6">
        <f>Table1[[#This Row],[Profit]]/Table1[[#This Row],[Sales]]</f>
        <v>0.62395109252540926</v>
      </c>
      <c r="K863" s="5" t="str">
        <f t="shared" si="13"/>
        <v>Low</v>
      </c>
      <c r="L863" s="5" t="str">
        <f>TEXT(Table1[[#This Row],[Order_Date]],"MMM")</f>
        <v>Oct</v>
      </c>
      <c r="M863" s="5" t="str">
        <f>IF(Table1[[#This Row],[Profit]]&gt;=1000,"Excellent",IF(Table1[[#This Row],[Profit]]&gt;=500,"Good", IF(Table1[[#This Row],[Profit]]&lt;500,"Low")))</f>
        <v>Good</v>
      </c>
      <c r="N863" s="7" t="str">
        <f>TEXT(Table1[[#This Row],[Order_Date]],"YYY")</f>
        <v>2024</v>
      </c>
    </row>
    <row r="864" spans="1:14" x14ac:dyDescent="0.3">
      <c r="A864" s="4">
        <v>45571</v>
      </c>
      <c r="B864" s="5" t="s">
        <v>16</v>
      </c>
      <c r="C864" s="5" t="s">
        <v>23</v>
      </c>
      <c r="D864" s="23">
        <v>182.56</v>
      </c>
      <c r="E864" s="23">
        <v>78.959999999999994</v>
      </c>
      <c r="F864" s="23">
        <v>103.6</v>
      </c>
      <c r="G864" s="5" t="s">
        <v>6</v>
      </c>
      <c r="H864" s="5" t="s">
        <v>37</v>
      </c>
      <c r="I864" s="5" t="s">
        <v>22</v>
      </c>
      <c r="J864" s="6">
        <f>Table1[[#This Row],[Profit]]/Table1[[#This Row],[Sales]]</f>
        <v>0.56748466257668706</v>
      </c>
      <c r="K864" s="5" t="str">
        <f t="shared" si="13"/>
        <v>Low</v>
      </c>
      <c r="L864" s="5" t="str">
        <f>TEXT(Table1[[#This Row],[Order_Date]],"MMM")</f>
        <v>Oct</v>
      </c>
      <c r="M864" s="5" t="str">
        <f>IF(Table1[[#This Row],[Profit]]&gt;=1000,"Excellent",IF(Table1[[#This Row],[Profit]]&gt;=500,"Good", IF(Table1[[#This Row],[Profit]]&lt;500,"Low")))</f>
        <v>Low</v>
      </c>
      <c r="N864" s="7" t="str">
        <f>TEXT(Table1[[#This Row],[Order_Date]],"YYY")</f>
        <v>2024</v>
      </c>
    </row>
    <row r="865" spans="1:14" x14ac:dyDescent="0.3">
      <c r="A865" s="4">
        <v>45572</v>
      </c>
      <c r="B865" s="5" t="s">
        <v>18</v>
      </c>
      <c r="C865" s="5" t="s">
        <v>5</v>
      </c>
      <c r="D865" s="23">
        <v>1478.22</v>
      </c>
      <c r="E865" s="23">
        <v>723.38</v>
      </c>
      <c r="F865" s="23">
        <v>754.84</v>
      </c>
      <c r="G865" s="5" t="s">
        <v>20</v>
      </c>
      <c r="H865" s="5" t="s">
        <v>29</v>
      </c>
      <c r="I865" s="5" t="s">
        <v>17</v>
      </c>
      <c r="J865" s="6">
        <f>Table1[[#This Row],[Profit]]/Table1[[#This Row],[Sales]]</f>
        <v>0.51064117655017527</v>
      </c>
      <c r="K865" s="5" t="str">
        <f t="shared" si="13"/>
        <v>Low</v>
      </c>
      <c r="L865" s="5" t="str">
        <f>TEXT(Table1[[#This Row],[Order_Date]],"MMM")</f>
        <v>Oct</v>
      </c>
      <c r="M865" s="5" t="str">
        <f>IF(Table1[[#This Row],[Profit]]&gt;=1000,"Excellent",IF(Table1[[#This Row],[Profit]]&gt;=500,"Good", IF(Table1[[#This Row],[Profit]]&lt;500,"Low")))</f>
        <v>Good</v>
      </c>
      <c r="N865" s="7" t="str">
        <f>TEXT(Table1[[#This Row],[Order_Date]],"YYY")</f>
        <v>2024</v>
      </c>
    </row>
    <row r="866" spans="1:14" x14ac:dyDescent="0.3">
      <c r="A866" s="4">
        <v>45572</v>
      </c>
      <c r="B866" s="5" t="s">
        <v>0</v>
      </c>
      <c r="C866" s="5" t="s">
        <v>5</v>
      </c>
      <c r="D866" s="23">
        <v>1629.02</v>
      </c>
      <c r="E866" s="23">
        <v>757.71</v>
      </c>
      <c r="F866" s="23">
        <v>871.31</v>
      </c>
      <c r="G866" s="5" t="s">
        <v>2</v>
      </c>
      <c r="H866" s="5" t="s">
        <v>12</v>
      </c>
      <c r="I866" s="5" t="s">
        <v>22</v>
      </c>
      <c r="J866" s="6">
        <f>Table1[[#This Row],[Profit]]/Table1[[#This Row],[Sales]]</f>
        <v>0.53486758910265064</v>
      </c>
      <c r="K866" s="5" t="str">
        <f t="shared" si="13"/>
        <v>Medium</v>
      </c>
      <c r="L866" s="5" t="str">
        <f>TEXT(Table1[[#This Row],[Order_Date]],"MMM")</f>
        <v>Oct</v>
      </c>
      <c r="M866" s="5" t="str">
        <f>IF(Table1[[#This Row],[Profit]]&gt;=1000,"Excellent",IF(Table1[[#This Row],[Profit]]&gt;=500,"Good", IF(Table1[[#This Row],[Profit]]&lt;500,"Low")))</f>
        <v>Good</v>
      </c>
      <c r="N866" s="7" t="str">
        <f>TEXT(Table1[[#This Row],[Order_Date]],"YYY")</f>
        <v>2024</v>
      </c>
    </row>
    <row r="867" spans="1:14" x14ac:dyDescent="0.3">
      <c r="A867" s="4">
        <v>45573</v>
      </c>
      <c r="B867" s="5" t="s">
        <v>8</v>
      </c>
      <c r="C867" s="5" t="s">
        <v>23</v>
      </c>
      <c r="D867" s="23">
        <v>862.84</v>
      </c>
      <c r="E867" s="23">
        <v>423.78</v>
      </c>
      <c r="F867" s="23">
        <v>439.06</v>
      </c>
      <c r="G867" s="5" t="s">
        <v>32</v>
      </c>
      <c r="H867" s="5" t="s">
        <v>34</v>
      </c>
      <c r="I867" s="5" t="s">
        <v>22</v>
      </c>
      <c r="J867" s="6">
        <f>Table1[[#This Row],[Profit]]/Table1[[#This Row],[Sales]]</f>
        <v>0.50885448055259375</v>
      </c>
      <c r="K867" s="5" t="str">
        <f t="shared" si="13"/>
        <v>Low</v>
      </c>
      <c r="L867" s="5" t="str">
        <f>TEXT(Table1[[#This Row],[Order_Date]],"MMM")</f>
        <v>Oct</v>
      </c>
      <c r="M867" s="5" t="str">
        <f>IF(Table1[[#This Row],[Profit]]&gt;=1000,"Excellent",IF(Table1[[#This Row],[Profit]]&gt;=500,"Good", IF(Table1[[#This Row],[Profit]]&lt;500,"Low")))</f>
        <v>Low</v>
      </c>
      <c r="N867" s="7" t="str">
        <f>TEXT(Table1[[#This Row],[Order_Date]],"YYY")</f>
        <v>2024</v>
      </c>
    </row>
    <row r="868" spans="1:14" x14ac:dyDescent="0.3">
      <c r="A868" s="4">
        <v>45573</v>
      </c>
      <c r="B868" s="5" t="s">
        <v>0</v>
      </c>
      <c r="C868" s="5" t="s">
        <v>31</v>
      </c>
      <c r="D868" s="23">
        <v>222.88</v>
      </c>
      <c r="E868" s="23">
        <v>62.87</v>
      </c>
      <c r="F868" s="23">
        <v>160.01</v>
      </c>
      <c r="G868" s="5" t="s">
        <v>9</v>
      </c>
      <c r="H868" s="5" t="s">
        <v>30</v>
      </c>
      <c r="I868" s="5" t="s">
        <v>27</v>
      </c>
      <c r="J868" s="6">
        <f>Table1[[#This Row],[Profit]]/Table1[[#This Row],[Sales]]</f>
        <v>0.71791995692749455</v>
      </c>
      <c r="K868" s="5" t="str">
        <f t="shared" si="13"/>
        <v>Low</v>
      </c>
      <c r="L868" s="5" t="str">
        <f>TEXT(Table1[[#This Row],[Order_Date]],"MMM")</f>
        <v>Oct</v>
      </c>
      <c r="M868" s="5" t="str">
        <f>IF(Table1[[#This Row],[Profit]]&gt;=1000,"Excellent",IF(Table1[[#This Row],[Profit]]&gt;=500,"Good", IF(Table1[[#This Row],[Profit]]&lt;500,"Low")))</f>
        <v>Low</v>
      </c>
      <c r="N868" s="7" t="str">
        <f>TEXT(Table1[[#This Row],[Order_Date]],"YYY")</f>
        <v>2024</v>
      </c>
    </row>
    <row r="869" spans="1:14" x14ac:dyDescent="0.3">
      <c r="A869" s="4">
        <v>45573</v>
      </c>
      <c r="B869" s="5" t="s">
        <v>8</v>
      </c>
      <c r="C869" s="5" t="s">
        <v>26</v>
      </c>
      <c r="D869" s="23">
        <v>1119.27</v>
      </c>
      <c r="E869" s="23">
        <v>358.81</v>
      </c>
      <c r="F869" s="23">
        <v>760.46</v>
      </c>
      <c r="G869" s="5" t="s">
        <v>9</v>
      </c>
      <c r="H869" s="5" t="s">
        <v>10</v>
      </c>
      <c r="I869" s="5" t="s">
        <v>25</v>
      </c>
      <c r="J869" s="6">
        <f>Table1[[#This Row],[Profit]]/Table1[[#This Row],[Sales]]</f>
        <v>0.67942498235457038</v>
      </c>
      <c r="K869" s="5" t="str">
        <f t="shared" si="13"/>
        <v>Low</v>
      </c>
      <c r="L869" s="5" t="str">
        <f>TEXT(Table1[[#This Row],[Order_Date]],"MMM")</f>
        <v>Oct</v>
      </c>
      <c r="M869" s="5" t="str">
        <f>IF(Table1[[#This Row],[Profit]]&gt;=1000,"Excellent",IF(Table1[[#This Row],[Profit]]&gt;=500,"Good", IF(Table1[[#This Row],[Profit]]&lt;500,"Low")))</f>
        <v>Good</v>
      </c>
      <c r="N869" s="7" t="str">
        <f>TEXT(Table1[[#This Row],[Order_Date]],"YYY")</f>
        <v>2024</v>
      </c>
    </row>
    <row r="870" spans="1:14" x14ac:dyDescent="0.3">
      <c r="A870" s="4">
        <v>45573</v>
      </c>
      <c r="B870" s="5" t="s">
        <v>0</v>
      </c>
      <c r="C870" s="5" t="s">
        <v>14</v>
      </c>
      <c r="D870" s="23">
        <v>220.37</v>
      </c>
      <c r="E870" s="23">
        <v>85.55</v>
      </c>
      <c r="F870" s="23">
        <v>134.82</v>
      </c>
      <c r="G870" s="5" t="s">
        <v>32</v>
      </c>
      <c r="H870" s="5" t="s">
        <v>12</v>
      </c>
      <c r="I870" s="5" t="s">
        <v>17</v>
      </c>
      <c r="J870" s="6">
        <f>Table1[[#This Row],[Profit]]/Table1[[#This Row],[Sales]]</f>
        <v>0.6117892635113672</v>
      </c>
      <c r="K870" s="5" t="str">
        <f t="shared" si="13"/>
        <v>Low</v>
      </c>
      <c r="L870" s="5" t="str">
        <f>TEXT(Table1[[#This Row],[Order_Date]],"MMM")</f>
        <v>Oct</v>
      </c>
      <c r="M870" s="5" t="str">
        <f>IF(Table1[[#This Row],[Profit]]&gt;=1000,"Excellent",IF(Table1[[#This Row],[Profit]]&gt;=500,"Good", IF(Table1[[#This Row],[Profit]]&lt;500,"Low")))</f>
        <v>Low</v>
      </c>
      <c r="N870" s="7" t="str">
        <f>TEXT(Table1[[#This Row],[Order_Date]],"YYY")</f>
        <v>2024</v>
      </c>
    </row>
    <row r="871" spans="1:14" x14ac:dyDescent="0.3">
      <c r="A871" s="4">
        <v>45573</v>
      </c>
      <c r="B871" s="5" t="s">
        <v>8</v>
      </c>
      <c r="C871" s="5" t="s">
        <v>5</v>
      </c>
      <c r="D871" s="23">
        <v>2304.14</v>
      </c>
      <c r="E871" s="23">
        <v>906.72</v>
      </c>
      <c r="F871" s="23">
        <v>1397.42</v>
      </c>
      <c r="G871" s="5" t="s">
        <v>6</v>
      </c>
      <c r="H871" s="5" t="s">
        <v>24</v>
      </c>
      <c r="I871" s="5" t="s">
        <v>17</v>
      </c>
      <c r="J871" s="6">
        <f>Table1[[#This Row],[Profit]]/Table1[[#This Row],[Sales]]</f>
        <v>0.60648224500247383</v>
      </c>
      <c r="K871" s="5" t="str">
        <f t="shared" si="13"/>
        <v>High</v>
      </c>
      <c r="L871" s="5" t="str">
        <f>TEXT(Table1[[#This Row],[Order_Date]],"MMM")</f>
        <v>Oct</v>
      </c>
      <c r="M871" s="5" t="str">
        <f>IF(Table1[[#This Row],[Profit]]&gt;=1000,"Excellent",IF(Table1[[#This Row],[Profit]]&gt;=500,"Good", IF(Table1[[#This Row],[Profit]]&lt;500,"Low")))</f>
        <v>Excellent</v>
      </c>
      <c r="N871" s="7" t="str">
        <f>TEXT(Table1[[#This Row],[Order_Date]],"YYY")</f>
        <v>2024</v>
      </c>
    </row>
    <row r="872" spans="1:14" x14ac:dyDescent="0.3">
      <c r="A872" s="4">
        <v>45574</v>
      </c>
      <c r="B872" s="5" t="s">
        <v>0</v>
      </c>
      <c r="C872" s="5" t="s">
        <v>31</v>
      </c>
      <c r="D872" s="23">
        <v>17.079999999999998</v>
      </c>
      <c r="E872" s="23">
        <v>6</v>
      </c>
      <c r="F872" s="23">
        <v>11.08</v>
      </c>
      <c r="G872" s="5" t="s">
        <v>2</v>
      </c>
      <c r="H872" s="5" t="s">
        <v>3</v>
      </c>
      <c r="I872" s="5" t="s">
        <v>25</v>
      </c>
      <c r="J872" s="6">
        <f>Table1[[#This Row],[Profit]]/Table1[[#This Row],[Sales]]</f>
        <v>0.64871194379391106</v>
      </c>
      <c r="K872" s="5" t="str">
        <f t="shared" si="13"/>
        <v>Low</v>
      </c>
      <c r="L872" s="5" t="str">
        <f>TEXT(Table1[[#This Row],[Order_Date]],"MMM")</f>
        <v>Oct</v>
      </c>
      <c r="M872" s="5" t="str">
        <f>IF(Table1[[#This Row],[Profit]]&gt;=1000,"Excellent",IF(Table1[[#This Row],[Profit]]&gt;=500,"Good", IF(Table1[[#This Row],[Profit]]&lt;500,"Low")))</f>
        <v>Low</v>
      </c>
      <c r="N872" s="7" t="str">
        <f>TEXT(Table1[[#This Row],[Order_Date]],"YYY")</f>
        <v>2024</v>
      </c>
    </row>
    <row r="873" spans="1:14" x14ac:dyDescent="0.3">
      <c r="A873" s="4">
        <v>45574</v>
      </c>
      <c r="B873" s="5" t="s">
        <v>0</v>
      </c>
      <c r="C873" s="5" t="s">
        <v>5</v>
      </c>
      <c r="D873" s="23">
        <v>2083.91</v>
      </c>
      <c r="E873" s="23">
        <v>1012.19</v>
      </c>
      <c r="F873" s="23">
        <v>1071.72</v>
      </c>
      <c r="G873" s="5" t="s">
        <v>9</v>
      </c>
      <c r="H873" s="5" t="s">
        <v>36</v>
      </c>
      <c r="I873" s="5" t="s">
        <v>27</v>
      </c>
      <c r="J873" s="6">
        <f>Table1[[#This Row],[Profit]]/Table1[[#This Row],[Sales]]</f>
        <v>0.5142832463973972</v>
      </c>
      <c r="K873" s="5" t="str">
        <f t="shared" si="13"/>
        <v>High</v>
      </c>
      <c r="L873" s="5" t="str">
        <f>TEXT(Table1[[#This Row],[Order_Date]],"MMM")</f>
        <v>Oct</v>
      </c>
      <c r="M873" s="5" t="str">
        <f>IF(Table1[[#This Row],[Profit]]&gt;=1000,"Excellent",IF(Table1[[#This Row],[Profit]]&gt;=500,"Good", IF(Table1[[#This Row],[Profit]]&lt;500,"Low")))</f>
        <v>Excellent</v>
      </c>
      <c r="N873" s="7" t="str">
        <f>TEXT(Table1[[#This Row],[Order_Date]],"YYY")</f>
        <v>2024</v>
      </c>
    </row>
    <row r="874" spans="1:14" x14ac:dyDescent="0.3">
      <c r="A874" s="4">
        <v>45574</v>
      </c>
      <c r="B874" s="5" t="s">
        <v>13</v>
      </c>
      <c r="C874" s="5" t="s">
        <v>23</v>
      </c>
      <c r="D874" s="23">
        <v>281.43</v>
      </c>
      <c r="E874" s="23">
        <v>127.88</v>
      </c>
      <c r="F874" s="23">
        <v>153.55000000000001</v>
      </c>
      <c r="G874" s="5" t="s">
        <v>2</v>
      </c>
      <c r="H874" s="5" t="s">
        <v>15</v>
      </c>
      <c r="I874" s="5" t="s">
        <v>17</v>
      </c>
      <c r="J874" s="6">
        <f>Table1[[#This Row],[Profit]]/Table1[[#This Row],[Sales]]</f>
        <v>0.54560636748036817</v>
      </c>
      <c r="K874" s="5" t="str">
        <f t="shared" si="13"/>
        <v>Low</v>
      </c>
      <c r="L874" s="5" t="str">
        <f>TEXT(Table1[[#This Row],[Order_Date]],"MMM")</f>
        <v>Oct</v>
      </c>
      <c r="M874" s="5" t="str">
        <f>IF(Table1[[#This Row],[Profit]]&gt;=1000,"Excellent",IF(Table1[[#This Row],[Profit]]&gt;=500,"Good", IF(Table1[[#This Row],[Profit]]&lt;500,"Low")))</f>
        <v>Low</v>
      </c>
      <c r="N874" s="7" t="str">
        <f>TEXT(Table1[[#This Row],[Order_Date]],"YYY")</f>
        <v>2024</v>
      </c>
    </row>
    <row r="875" spans="1:14" x14ac:dyDescent="0.3">
      <c r="A875" s="4">
        <v>45574</v>
      </c>
      <c r="B875" s="5" t="s">
        <v>16</v>
      </c>
      <c r="C875" s="5" t="s">
        <v>26</v>
      </c>
      <c r="D875" s="23">
        <v>243</v>
      </c>
      <c r="E875" s="23">
        <v>73.790000000000006</v>
      </c>
      <c r="F875" s="23">
        <v>169.21</v>
      </c>
      <c r="G875" s="5" t="s">
        <v>20</v>
      </c>
      <c r="H875" s="5" t="s">
        <v>35</v>
      </c>
      <c r="I875" s="5" t="s">
        <v>27</v>
      </c>
      <c r="J875" s="6">
        <f>Table1[[#This Row],[Profit]]/Table1[[#This Row],[Sales]]</f>
        <v>0.69633744855967084</v>
      </c>
      <c r="K875" s="5" t="str">
        <f t="shared" si="13"/>
        <v>Low</v>
      </c>
      <c r="L875" s="5" t="str">
        <f>TEXT(Table1[[#This Row],[Order_Date]],"MMM")</f>
        <v>Oct</v>
      </c>
      <c r="M875" s="5" t="str">
        <f>IF(Table1[[#This Row],[Profit]]&gt;=1000,"Excellent",IF(Table1[[#This Row],[Profit]]&gt;=500,"Good", IF(Table1[[#This Row],[Profit]]&lt;500,"Low")))</f>
        <v>Low</v>
      </c>
      <c r="N875" s="7" t="str">
        <f>TEXT(Table1[[#This Row],[Order_Date]],"YYY")</f>
        <v>2024</v>
      </c>
    </row>
    <row r="876" spans="1:14" x14ac:dyDescent="0.3">
      <c r="A876" s="4">
        <v>45575</v>
      </c>
      <c r="B876" s="5" t="s">
        <v>13</v>
      </c>
      <c r="C876" s="5" t="s">
        <v>23</v>
      </c>
      <c r="D876" s="23">
        <v>645.59</v>
      </c>
      <c r="E876" s="23">
        <v>208.35</v>
      </c>
      <c r="F876" s="23">
        <v>437.24</v>
      </c>
      <c r="G876" s="5" t="s">
        <v>32</v>
      </c>
      <c r="H876" s="5" t="s">
        <v>28</v>
      </c>
      <c r="I876" s="5" t="s">
        <v>17</v>
      </c>
      <c r="J876" s="6">
        <f>Table1[[#This Row],[Profit]]/Table1[[#This Row],[Sales]]</f>
        <v>0.67727195278737273</v>
      </c>
      <c r="K876" s="5" t="str">
        <f t="shared" si="13"/>
        <v>Low</v>
      </c>
      <c r="L876" s="5" t="str">
        <f>TEXT(Table1[[#This Row],[Order_Date]],"MMM")</f>
        <v>Oct</v>
      </c>
      <c r="M876" s="5" t="str">
        <f>IF(Table1[[#This Row],[Profit]]&gt;=1000,"Excellent",IF(Table1[[#This Row],[Profit]]&gt;=500,"Good", IF(Table1[[#This Row],[Profit]]&lt;500,"Low")))</f>
        <v>Low</v>
      </c>
      <c r="N876" s="7" t="str">
        <f>TEXT(Table1[[#This Row],[Order_Date]],"YYY")</f>
        <v>2024</v>
      </c>
    </row>
    <row r="877" spans="1:14" x14ac:dyDescent="0.3">
      <c r="A877" s="4">
        <v>45575</v>
      </c>
      <c r="B877" s="5" t="s">
        <v>0</v>
      </c>
      <c r="C877" s="5" t="s">
        <v>14</v>
      </c>
      <c r="D877" s="23">
        <v>48.01</v>
      </c>
      <c r="E877" s="23">
        <v>16.25</v>
      </c>
      <c r="F877" s="23">
        <v>31.76</v>
      </c>
      <c r="G877" s="5" t="s">
        <v>6</v>
      </c>
      <c r="H877" s="5" t="s">
        <v>24</v>
      </c>
      <c r="I877" s="5" t="s">
        <v>27</v>
      </c>
      <c r="J877" s="6">
        <f>Table1[[#This Row],[Profit]]/Table1[[#This Row],[Sales]]</f>
        <v>0.66152884815663404</v>
      </c>
      <c r="K877" s="5" t="str">
        <f t="shared" si="13"/>
        <v>Low</v>
      </c>
      <c r="L877" s="5" t="str">
        <f>TEXT(Table1[[#This Row],[Order_Date]],"MMM")</f>
        <v>Oct</v>
      </c>
      <c r="M877" s="5" t="str">
        <f>IF(Table1[[#This Row],[Profit]]&gt;=1000,"Excellent",IF(Table1[[#This Row],[Profit]]&gt;=500,"Good", IF(Table1[[#This Row],[Profit]]&lt;500,"Low")))</f>
        <v>Low</v>
      </c>
      <c r="N877" s="7" t="str">
        <f>TEXT(Table1[[#This Row],[Order_Date]],"YYY")</f>
        <v>2024</v>
      </c>
    </row>
    <row r="878" spans="1:14" x14ac:dyDescent="0.3">
      <c r="A878" s="4">
        <v>45575</v>
      </c>
      <c r="B878" s="5" t="s">
        <v>0</v>
      </c>
      <c r="C878" s="5" t="s">
        <v>5</v>
      </c>
      <c r="D878" s="23">
        <v>1663.81</v>
      </c>
      <c r="E878" s="23">
        <v>661.1</v>
      </c>
      <c r="F878" s="23">
        <v>1002.71</v>
      </c>
      <c r="G878" s="5" t="s">
        <v>32</v>
      </c>
      <c r="H878" s="5" t="s">
        <v>29</v>
      </c>
      <c r="I878" s="5" t="s">
        <v>22</v>
      </c>
      <c r="J878" s="6">
        <f>Table1[[#This Row],[Profit]]/Table1[[#This Row],[Sales]]</f>
        <v>0.60265895745307463</v>
      </c>
      <c r="K878" s="5" t="str">
        <f t="shared" si="13"/>
        <v>Medium</v>
      </c>
      <c r="L878" s="5" t="str">
        <f>TEXT(Table1[[#This Row],[Order_Date]],"MMM")</f>
        <v>Oct</v>
      </c>
      <c r="M878" s="5" t="str">
        <f>IF(Table1[[#This Row],[Profit]]&gt;=1000,"Excellent",IF(Table1[[#This Row],[Profit]]&gt;=500,"Good", IF(Table1[[#This Row],[Profit]]&lt;500,"Low")))</f>
        <v>Excellent</v>
      </c>
      <c r="N878" s="7" t="str">
        <f>TEXT(Table1[[#This Row],[Order_Date]],"YYY")</f>
        <v>2024</v>
      </c>
    </row>
    <row r="879" spans="1:14" x14ac:dyDescent="0.3">
      <c r="A879" s="4">
        <v>45575</v>
      </c>
      <c r="B879" s="5" t="s">
        <v>13</v>
      </c>
      <c r="C879" s="5" t="s">
        <v>14</v>
      </c>
      <c r="D879" s="23">
        <v>77.19</v>
      </c>
      <c r="E879" s="23">
        <v>25.94</v>
      </c>
      <c r="F879" s="23">
        <v>51.25</v>
      </c>
      <c r="G879" s="5" t="s">
        <v>20</v>
      </c>
      <c r="H879" s="5" t="s">
        <v>7</v>
      </c>
      <c r="I879" s="5" t="s">
        <v>27</v>
      </c>
      <c r="J879" s="6">
        <f>Table1[[#This Row],[Profit]]/Table1[[#This Row],[Sales]]</f>
        <v>0.66394610700867995</v>
      </c>
      <c r="K879" s="5" t="str">
        <f t="shared" si="13"/>
        <v>Low</v>
      </c>
      <c r="L879" s="5" t="str">
        <f>TEXT(Table1[[#This Row],[Order_Date]],"MMM")</f>
        <v>Oct</v>
      </c>
      <c r="M879" s="5" t="str">
        <f>IF(Table1[[#This Row],[Profit]]&gt;=1000,"Excellent",IF(Table1[[#This Row],[Profit]]&gt;=500,"Good", IF(Table1[[#This Row],[Profit]]&lt;500,"Low")))</f>
        <v>Low</v>
      </c>
      <c r="N879" s="7" t="str">
        <f>TEXT(Table1[[#This Row],[Order_Date]],"YYY")</f>
        <v>2024</v>
      </c>
    </row>
    <row r="880" spans="1:14" x14ac:dyDescent="0.3">
      <c r="A880" s="4">
        <v>45576</v>
      </c>
      <c r="B880" s="5" t="s">
        <v>16</v>
      </c>
      <c r="C880" s="5" t="s">
        <v>14</v>
      </c>
      <c r="D880" s="23">
        <v>191.2</v>
      </c>
      <c r="E880" s="23">
        <v>84</v>
      </c>
      <c r="F880" s="23">
        <v>107.2</v>
      </c>
      <c r="G880" s="5" t="s">
        <v>20</v>
      </c>
      <c r="H880" s="5" t="s">
        <v>21</v>
      </c>
      <c r="I880" s="5" t="s">
        <v>27</v>
      </c>
      <c r="J880" s="6">
        <f>Table1[[#This Row],[Profit]]/Table1[[#This Row],[Sales]]</f>
        <v>0.56066945606694563</v>
      </c>
      <c r="K880" s="5" t="str">
        <f t="shared" si="13"/>
        <v>Low</v>
      </c>
      <c r="L880" s="5" t="str">
        <f>TEXT(Table1[[#This Row],[Order_Date]],"MMM")</f>
        <v>Oct</v>
      </c>
      <c r="M880" s="5" t="str">
        <f>IF(Table1[[#This Row],[Profit]]&gt;=1000,"Excellent",IF(Table1[[#This Row],[Profit]]&gt;=500,"Good", IF(Table1[[#This Row],[Profit]]&lt;500,"Low")))</f>
        <v>Low</v>
      </c>
      <c r="N880" s="7" t="str">
        <f>TEXT(Table1[[#This Row],[Order_Date]],"YYY")</f>
        <v>2024</v>
      </c>
    </row>
    <row r="881" spans="1:14" x14ac:dyDescent="0.3">
      <c r="A881" s="4">
        <v>45576</v>
      </c>
      <c r="B881" s="5" t="s">
        <v>13</v>
      </c>
      <c r="C881" s="5" t="s">
        <v>1</v>
      </c>
      <c r="D881" s="23">
        <v>1250.69</v>
      </c>
      <c r="E881" s="23">
        <v>850.28</v>
      </c>
      <c r="F881" s="23">
        <v>400.41</v>
      </c>
      <c r="G881" s="5" t="s">
        <v>32</v>
      </c>
      <c r="H881" s="5" t="s">
        <v>30</v>
      </c>
      <c r="I881" s="5" t="s">
        <v>17</v>
      </c>
      <c r="J881" s="6">
        <f>Table1[[#This Row],[Profit]]/Table1[[#This Row],[Sales]]</f>
        <v>0.32015127649537456</v>
      </c>
      <c r="K881" s="5" t="str">
        <f t="shared" si="13"/>
        <v>Low</v>
      </c>
      <c r="L881" s="5" t="str">
        <f>TEXT(Table1[[#This Row],[Order_Date]],"MMM")</f>
        <v>Oct</v>
      </c>
      <c r="M881" s="5" t="str">
        <f>IF(Table1[[#This Row],[Profit]]&gt;=1000,"Excellent",IF(Table1[[#This Row],[Profit]]&gt;=500,"Good", IF(Table1[[#This Row],[Profit]]&lt;500,"Low")))</f>
        <v>Low</v>
      </c>
      <c r="N881" s="7" t="str">
        <f>TEXT(Table1[[#This Row],[Order_Date]],"YYY")</f>
        <v>2024</v>
      </c>
    </row>
    <row r="882" spans="1:14" x14ac:dyDescent="0.3">
      <c r="A882" s="4">
        <v>45577</v>
      </c>
      <c r="B882" s="5" t="s">
        <v>18</v>
      </c>
      <c r="C882" s="5" t="s">
        <v>23</v>
      </c>
      <c r="D882" s="23">
        <v>518.04</v>
      </c>
      <c r="E882" s="23">
        <v>171.56</v>
      </c>
      <c r="F882" s="23">
        <v>346.48</v>
      </c>
      <c r="G882" s="5" t="s">
        <v>20</v>
      </c>
      <c r="H882" s="5" t="s">
        <v>3</v>
      </c>
      <c r="I882" s="5" t="s">
        <v>11</v>
      </c>
      <c r="J882" s="6">
        <f>Table1[[#This Row],[Profit]]/Table1[[#This Row],[Sales]]</f>
        <v>0.66882866187939161</v>
      </c>
      <c r="K882" s="5" t="str">
        <f t="shared" si="13"/>
        <v>Low</v>
      </c>
      <c r="L882" s="5" t="str">
        <f>TEXT(Table1[[#This Row],[Order_Date]],"MMM")</f>
        <v>Oct</v>
      </c>
      <c r="M882" s="5" t="str">
        <f>IF(Table1[[#This Row],[Profit]]&gt;=1000,"Excellent",IF(Table1[[#This Row],[Profit]]&gt;=500,"Good", IF(Table1[[#This Row],[Profit]]&lt;500,"Low")))</f>
        <v>Low</v>
      </c>
      <c r="N882" s="7" t="str">
        <f>TEXT(Table1[[#This Row],[Order_Date]],"YYY")</f>
        <v>2024</v>
      </c>
    </row>
    <row r="883" spans="1:14" x14ac:dyDescent="0.3">
      <c r="A883" s="4">
        <v>45578</v>
      </c>
      <c r="B883" s="5" t="s">
        <v>18</v>
      </c>
      <c r="C883" s="5" t="s">
        <v>5</v>
      </c>
      <c r="D883" s="23">
        <v>2429.7399999999998</v>
      </c>
      <c r="E883" s="23">
        <v>840.81</v>
      </c>
      <c r="F883" s="23">
        <v>1588.93</v>
      </c>
      <c r="G883" s="5" t="s">
        <v>32</v>
      </c>
      <c r="H883" s="5" t="s">
        <v>37</v>
      </c>
      <c r="I883" s="5" t="s">
        <v>27</v>
      </c>
      <c r="J883" s="6">
        <f>Table1[[#This Row],[Profit]]/Table1[[#This Row],[Sales]]</f>
        <v>0.65395062846230467</v>
      </c>
      <c r="K883" s="5" t="str">
        <f t="shared" si="13"/>
        <v>High</v>
      </c>
      <c r="L883" s="5" t="str">
        <f>TEXT(Table1[[#This Row],[Order_Date]],"MMM")</f>
        <v>Oct</v>
      </c>
      <c r="M883" s="5" t="str">
        <f>IF(Table1[[#This Row],[Profit]]&gt;=1000,"Excellent",IF(Table1[[#This Row],[Profit]]&gt;=500,"Good", IF(Table1[[#This Row],[Profit]]&lt;500,"Low")))</f>
        <v>Excellent</v>
      </c>
      <c r="N883" s="7" t="str">
        <f>TEXT(Table1[[#This Row],[Order_Date]],"YYY")</f>
        <v>2024</v>
      </c>
    </row>
    <row r="884" spans="1:14" x14ac:dyDescent="0.3">
      <c r="A884" s="4">
        <v>45578</v>
      </c>
      <c r="B884" s="5" t="s">
        <v>18</v>
      </c>
      <c r="C884" s="5" t="s">
        <v>31</v>
      </c>
      <c r="D884" s="23">
        <v>253.64</v>
      </c>
      <c r="E884" s="23">
        <v>83.55</v>
      </c>
      <c r="F884" s="23">
        <v>170.09</v>
      </c>
      <c r="G884" s="5" t="s">
        <v>2</v>
      </c>
      <c r="H884" s="5" t="s">
        <v>21</v>
      </c>
      <c r="I884" s="5" t="s">
        <v>17</v>
      </c>
      <c r="J884" s="6">
        <f>Table1[[#This Row],[Profit]]/Table1[[#This Row],[Sales]]</f>
        <v>0.67059612048572781</v>
      </c>
      <c r="K884" s="5" t="str">
        <f t="shared" si="13"/>
        <v>Low</v>
      </c>
      <c r="L884" s="5" t="str">
        <f>TEXT(Table1[[#This Row],[Order_Date]],"MMM")</f>
        <v>Oct</v>
      </c>
      <c r="M884" s="5" t="str">
        <f>IF(Table1[[#This Row],[Profit]]&gt;=1000,"Excellent",IF(Table1[[#This Row],[Profit]]&gt;=500,"Good", IF(Table1[[#This Row],[Profit]]&lt;500,"Low")))</f>
        <v>Low</v>
      </c>
      <c r="N884" s="7" t="str">
        <f>TEXT(Table1[[#This Row],[Order_Date]],"YYY")</f>
        <v>2024</v>
      </c>
    </row>
    <row r="885" spans="1:14" x14ac:dyDescent="0.3">
      <c r="A885" s="4">
        <v>45579</v>
      </c>
      <c r="B885" s="5" t="s">
        <v>18</v>
      </c>
      <c r="C885" s="5" t="s">
        <v>31</v>
      </c>
      <c r="D885" s="23">
        <v>88.83</v>
      </c>
      <c r="E885" s="23">
        <v>33.9</v>
      </c>
      <c r="F885" s="23">
        <v>54.93</v>
      </c>
      <c r="G885" s="5" t="s">
        <v>2</v>
      </c>
      <c r="H885" s="5" t="s">
        <v>37</v>
      </c>
      <c r="I885" s="5" t="s">
        <v>11</v>
      </c>
      <c r="J885" s="6">
        <f>Table1[[#This Row],[Profit]]/Table1[[#This Row],[Sales]]</f>
        <v>0.61837217156366098</v>
      </c>
      <c r="K885" s="5" t="str">
        <f t="shared" si="13"/>
        <v>Low</v>
      </c>
      <c r="L885" s="5" t="str">
        <f>TEXT(Table1[[#This Row],[Order_Date]],"MMM")</f>
        <v>Oct</v>
      </c>
      <c r="M885" s="5" t="str">
        <f>IF(Table1[[#This Row],[Profit]]&gt;=1000,"Excellent",IF(Table1[[#This Row],[Profit]]&gt;=500,"Good", IF(Table1[[#This Row],[Profit]]&lt;500,"Low")))</f>
        <v>Low</v>
      </c>
      <c r="N885" s="7" t="str">
        <f>TEXT(Table1[[#This Row],[Order_Date]],"YYY")</f>
        <v>2024</v>
      </c>
    </row>
    <row r="886" spans="1:14" x14ac:dyDescent="0.3">
      <c r="A886" s="4">
        <v>45580</v>
      </c>
      <c r="B886" s="5" t="s">
        <v>8</v>
      </c>
      <c r="C886" s="5" t="s">
        <v>1</v>
      </c>
      <c r="D886" s="23">
        <v>1488.36</v>
      </c>
      <c r="E886" s="23">
        <v>678.96</v>
      </c>
      <c r="F886" s="23">
        <v>809.4</v>
      </c>
      <c r="G886" s="5" t="s">
        <v>32</v>
      </c>
      <c r="H886" s="5" t="s">
        <v>7</v>
      </c>
      <c r="I886" s="5" t="s">
        <v>27</v>
      </c>
      <c r="J886" s="6">
        <f>Table1[[#This Row],[Profit]]/Table1[[#This Row],[Sales]]</f>
        <v>0.54382004353785374</v>
      </c>
      <c r="K886" s="5" t="str">
        <f t="shared" si="13"/>
        <v>Low</v>
      </c>
      <c r="L886" s="5" t="str">
        <f>TEXT(Table1[[#This Row],[Order_Date]],"MMM")</f>
        <v>Oct</v>
      </c>
      <c r="M886" s="5" t="str">
        <f>IF(Table1[[#This Row],[Profit]]&gt;=1000,"Excellent",IF(Table1[[#This Row],[Profit]]&gt;=500,"Good", IF(Table1[[#This Row],[Profit]]&lt;500,"Low")))</f>
        <v>Good</v>
      </c>
      <c r="N886" s="7" t="str">
        <f>TEXT(Table1[[#This Row],[Order_Date]],"YYY")</f>
        <v>2024</v>
      </c>
    </row>
    <row r="887" spans="1:14" x14ac:dyDescent="0.3">
      <c r="A887" s="4">
        <v>45580</v>
      </c>
      <c r="B887" s="5" t="s">
        <v>18</v>
      </c>
      <c r="C887" s="5" t="s">
        <v>5</v>
      </c>
      <c r="D887" s="23">
        <v>899.23</v>
      </c>
      <c r="E887" s="23">
        <v>327.74</v>
      </c>
      <c r="F887" s="23">
        <v>571.49</v>
      </c>
      <c r="G887" s="5" t="s">
        <v>6</v>
      </c>
      <c r="H887" s="5" t="s">
        <v>12</v>
      </c>
      <c r="I887" s="5" t="s">
        <v>4</v>
      </c>
      <c r="J887" s="6">
        <f>Table1[[#This Row],[Profit]]/Table1[[#This Row],[Sales]]</f>
        <v>0.63553262235468122</v>
      </c>
      <c r="K887" s="5" t="str">
        <f t="shared" si="13"/>
        <v>Low</v>
      </c>
      <c r="L887" s="5" t="str">
        <f>TEXT(Table1[[#This Row],[Order_Date]],"MMM")</f>
        <v>Oct</v>
      </c>
      <c r="M887" s="5" t="str">
        <f>IF(Table1[[#This Row],[Profit]]&gt;=1000,"Excellent",IF(Table1[[#This Row],[Profit]]&gt;=500,"Good", IF(Table1[[#This Row],[Profit]]&lt;500,"Low")))</f>
        <v>Good</v>
      </c>
      <c r="N887" s="7" t="str">
        <f>TEXT(Table1[[#This Row],[Order_Date]],"YYY")</f>
        <v>2024</v>
      </c>
    </row>
    <row r="888" spans="1:14" x14ac:dyDescent="0.3">
      <c r="A888" s="4">
        <v>45581</v>
      </c>
      <c r="B888" s="5" t="s">
        <v>13</v>
      </c>
      <c r="C888" s="5" t="s">
        <v>5</v>
      </c>
      <c r="D888" s="23">
        <v>1667.23</v>
      </c>
      <c r="E888" s="23">
        <v>596.72</v>
      </c>
      <c r="F888" s="23">
        <v>1070.51</v>
      </c>
      <c r="G888" s="5" t="s">
        <v>20</v>
      </c>
      <c r="H888" s="5" t="s">
        <v>7</v>
      </c>
      <c r="I888" s="5" t="s">
        <v>17</v>
      </c>
      <c r="J888" s="6">
        <f>Table1[[#This Row],[Profit]]/Table1[[#This Row],[Sales]]</f>
        <v>0.64208897392681274</v>
      </c>
      <c r="K888" s="5" t="str">
        <f t="shared" si="13"/>
        <v>Medium</v>
      </c>
      <c r="L888" s="5" t="str">
        <f>TEXT(Table1[[#This Row],[Order_Date]],"MMM")</f>
        <v>Oct</v>
      </c>
      <c r="M888" s="5" t="str">
        <f>IF(Table1[[#This Row],[Profit]]&gt;=1000,"Excellent",IF(Table1[[#This Row],[Profit]]&gt;=500,"Good", IF(Table1[[#This Row],[Profit]]&lt;500,"Low")))</f>
        <v>Excellent</v>
      </c>
      <c r="N888" s="7" t="str">
        <f>TEXT(Table1[[#This Row],[Order_Date]],"YYY")</f>
        <v>2024</v>
      </c>
    </row>
    <row r="889" spans="1:14" x14ac:dyDescent="0.3">
      <c r="A889" s="4">
        <v>45581</v>
      </c>
      <c r="B889" s="5" t="s">
        <v>13</v>
      </c>
      <c r="C889" s="5" t="s">
        <v>23</v>
      </c>
      <c r="D889" s="23">
        <v>379.7</v>
      </c>
      <c r="E889" s="23">
        <v>176.82</v>
      </c>
      <c r="F889" s="23">
        <v>202.88</v>
      </c>
      <c r="G889" s="5" t="s">
        <v>20</v>
      </c>
      <c r="H889" s="5" t="s">
        <v>34</v>
      </c>
      <c r="I889" s="5" t="s">
        <v>4</v>
      </c>
      <c r="J889" s="6">
        <f>Table1[[#This Row],[Profit]]/Table1[[#This Row],[Sales]]</f>
        <v>0.53431656570977093</v>
      </c>
      <c r="K889" s="5" t="str">
        <f t="shared" si="13"/>
        <v>Low</v>
      </c>
      <c r="L889" s="5" t="str">
        <f>TEXT(Table1[[#This Row],[Order_Date]],"MMM")</f>
        <v>Oct</v>
      </c>
      <c r="M889" s="5" t="str">
        <f>IF(Table1[[#This Row],[Profit]]&gt;=1000,"Excellent",IF(Table1[[#This Row],[Profit]]&gt;=500,"Good", IF(Table1[[#This Row],[Profit]]&lt;500,"Low")))</f>
        <v>Low</v>
      </c>
      <c r="N889" s="7" t="str">
        <f>TEXT(Table1[[#This Row],[Order_Date]],"YYY")</f>
        <v>2024</v>
      </c>
    </row>
    <row r="890" spans="1:14" x14ac:dyDescent="0.3">
      <c r="A890" s="4">
        <v>45582</v>
      </c>
      <c r="B890" s="5" t="s">
        <v>8</v>
      </c>
      <c r="C890" s="5" t="s">
        <v>1</v>
      </c>
      <c r="D890" s="23">
        <v>441.43</v>
      </c>
      <c r="E890" s="23">
        <v>282.98</v>
      </c>
      <c r="F890" s="23">
        <v>158.44999999999999</v>
      </c>
      <c r="G890" s="5" t="s">
        <v>2</v>
      </c>
      <c r="H890" s="5" t="s">
        <v>35</v>
      </c>
      <c r="I890" s="5" t="s">
        <v>17</v>
      </c>
      <c r="J890" s="6">
        <f>Table1[[#This Row],[Profit]]/Table1[[#This Row],[Sales]]</f>
        <v>0.35894705842375912</v>
      </c>
      <c r="K890" s="5" t="str">
        <f t="shared" si="13"/>
        <v>Low</v>
      </c>
      <c r="L890" s="5" t="str">
        <f>TEXT(Table1[[#This Row],[Order_Date]],"MMM")</f>
        <v>Oct</v>
      </c>
      <c r="M890" s="5" t="str">
        <f>IF(Table1[[#This Row],[Profit]]&gt;=1000,"Excellent",IF(Table1[[#This Row],[Profit]]&gt;=500,"Good", IF(Table1[[#This Row],[Profit]]&lt;500,"Low")))</f>
        <v>Low</v>
      </c>
      <c r="N890" s="7" t="str">
        <f>TEXT(Table1[[#This Row],[Order_Date]],"YYY")</f>
        <v>2024</v>
      </c>
    </row>
    <row r="891" spans="1:14" x14ac:dyDescent="0.3">
      <c r="A891" s="4">
        <v>45583</v>
      </c>
      <c r="B891" s="5" t="s">
        <v>13</v>
      </c>
      <c r="C891" s="5" t="s">
        <v>23</v>
      </c>
      <c r="D891" s="23">
        <v>170.42</v>
      </c>
      <c r="E891" s="23">
        <v>71.19</v>
      </c>
      <c r="F891" s="23">
        <v>99.23</v>
      </c>
      <c r="G891" s="5" t="s">
        <v>2</v>
      </c>
      <c r="H891" s="5" t="s">
        <v>34</v>
      </c>
      <c r="I891" s="5" t="s">
        <v>4</v>
      </c>
      <c r="J891" s="6">
        <f>Table1[[#This Row],[Profit]]/Table1[[#This Row],[Sales]]</f>
        <v>0.58226733951414156</v>
      </c>
      <c r="K891" s="5" t="str">
        <f t="shared" si="13"/>
        <v>Low</v>
      </c>
      <c r="L891" s="5" t="str">
        <f>TEXT(Table1[[#This Row],[Order_Date]],"MMM")</f>
        <v>Oct</v>
      </c>
      <c r="M891" s="5" t="str">
        <f>IF(Table1[[#This Row],[Profit]]&gt;=1000,"Excellent",IF(Table1[[#This Row],[Profit]]&gt;=500,"Good", IF(Table1[[#This Row],[Profit]]&lt;500,"Low")))</f>
        <v>Low</v>
      </c>
      <c r="N891" s="7" t="str">
        <f>TEXT(Table1[[#This Row],[Order_Date]],"YYY")</f>
        <v>2024</v>
      </c>
    </row>
    <row r="892" spans="1:14" x14ac:dyDescent="0.3">
      <c r="A892" s="4">
        <v>45584</v>
      </c>
      <c r="B892" s="5" t="s">
        <v>0</v>
      </c>
      <c r="C892" s="5" t="s">
        <v>14</v>
      </c>
      <c r="D892" s="23">
        <v>151.54</v>
      </c>
      <c r="E892" s="23">
        <v>72.900000000000006</v>
      </c>
      <c r="F892" s="23">
        <v>78.64</v>
      </c>
      <c r="G892" s="5" t="s">
        <v>32</v>
      </c>
      <c r="H892" s="5" t="s">
        <v>24</v>
      </c>
      <c r="I892" s="5" t="s">
        <v>11</v>
      </c>
      <c r="J892" s="6">
        <f>Table1[[#This Row],[Profit]]/Table1[[#This Row],[Sales]]</f>
        <v>0.51893889402138049</v>
      </c>
      <c r="K892" s="5" t="str">
        <f t="shared" si="13"/>
        <v>Low</v>
      </c>
      <c r="L892" s="5" t="str">
        <f>TEXT(Table1[[#This Row],[Order_Date]],"MMM")</f>
        <v>Oct</v>
      </c>
      <c r="M892" s="5" t="str">
        <f>IF(Table1[[#This Row],[Profit]]&gt;=1000,"Excellent",IF(Table1[[#This Row],[Profit]]&gt;=500,"Good", IF(Table1[[#This Row],[Profit]]&lt;500,"Low")))</f>
        <v>Low</v>
      </c>
      <c r="N892" s="7" t="str">
        <f>TEXT(Table1[[#This Row],[Order_Date]],"YYY")</f>
        <v>2024</v>
      </c>
    </row>
    <row r="893" spans="1:14" x14ac:dyDescent="0.3">
      <c r="A893" s="4">
        <v>45584</v>
      </c>
      <c r="B893" s="5" t="s">
        <v>0</v>
      </c>
      <c r="C893" s="5" t="s">
        <v>23</v>
      </c>
      <c r="D893" s="23">
        <v>632.29</v>
      </c>
      <c r="E893" s="23">
        <v>237.3</v>
      </c>
      <c r="F893" s="23">
        <v>394.99</v>
      </c>
      <c r="G893" s="5" t="s">
        <v>6</v>
      </c>
      <c r="H893" s="5" t="s">
        <v>24</v>
      </c>
      <c r="I893" s="5" t="s">
        <v>25</v>
      </c>
      <c r="J893" s="6">
        <f>Table1[[#This Row],[Profit]]/Table1[[#This Row],[Sales]]</f>
        <v>0.62469752803302292</v>
      </c>
      <c r="K893" s="5" t="str">
        <f t="shared" si="13"/>
        <v>Low</v>
      </c>
      <c r="L893" s="5" t="str">
        <f>TEXT(Table1[[#This Row],[Order_Date]],"MMM")</f>
        <v>Oct</v>
      </c>
      <c r="M893" s="5" t="str">
        <f>IF(Table1[[#This Row],[Profit]]&gt;=1000,"Excellent",IF(Table1[[#This Row],[Profit]]&gt;=500,"Good", IF(Table1[[#This Row],[Profit]]&lt;500,"Low")))</f>
        <v>Low</v>
      </c>
      <c r="N893" s="7" t="str">
        <f>TEXT(Table1[[#This Row],[Order_Date]],"YYY")</f>
        <v>2024</v>
      </c>
    </row>
    <row r="894" spans="1:14" x14ac:dyDescent="0.3">
      <c r="A894" s="4">
        <v>45585</v>
      </c>
      <c r="B894" s="5" t="s">
        <v>16</v>
      </c>
      <c r="C894" s="5" t="s">
        <v>31</v>
      </c>
      <c r="D894" s="23">
        <v>12.09</v>
      </c>
      <c r="E894" s="23">
        <v>3.12</v>
      </c>
      <c r="F894" s="23">
        <v>8.9700000000000006</v>
      </c>
      <c r="G894" s="5" t="s">
        <v>32</v>
      </c>
      <c r="H894" s="5" t="s">
        <v>34</v>
      </c>
      <c r="I894" s="5" t="s">
        <v>25</v>
      </c>
      <c r="J894" s="6">
        <f>Table1[[#This Row],[Profit]]/Table1[[#This Row],[Sales]]</f>
        <v>0.74193548387096775</v>
      </c>
      <c r="K894" s="5" t="str">
        <f t="shared" si="13"/>
        <v>Low</v>
      </c>
      <c r="L894" s="5" t="str">
        <f>TEXT(Table1[[#This Row],[Order_Date]],"MMM")</f>
        <v>Oct</v>
      </c>
      <c r="M894" s="5" t="str">
        <f>IF(Table1[[#This Row],[Profit]]&gt;=1000,"Excellent",IF(Table1[[#This Row],[Profit]]&gt;=500,"Good", IF(Table1[[#This Row],[Profit]]&lt;500,"Low")))</f>
        <v>Low</v>
      </c>
      <c r="N894" s="7" t="str">
        <f>TEXT(Table1[[#This Row],[Order_Date]],"YYY")</f>
        <v>2024</v>
      </c>
    </row>
    <row r="895" spans="1:14" x14ac:dyDescent="0.3">
      <c r="A895" s="4">
        <v>45585</v>
      </c>
      <c r="B895" s="5" t="s">
        <v>18</v>
      </c>
      <c r="C895" s="5" t="s">
        <v>19</v>
      </c>
      <c r="D895" s="23">
        <v>35.909999999999997</v>
      </c>
      <c r="E895" s="23">
        <v>12.19</v>
      </c>
      <c r="F895" s="23">
        <v>23.72</v>
      </c>
      <c r="G895" s="5" t="s">
        <v>6</v>
      </c>
      <c r="H895" s="5" t="s">
        <v>36</v>
      </c>
      <c r="I895" s="5" t="s">
        <v>11</v>
      </c>
      <c r="J895" s="6">
        <f>Table1[[#This Row],[Profit]]/Table1[[#This Row],[Sales]]</f>
        <v>0.66054023948760798</v>
      </c>
      <c r="K895" s="5" t="str">
        <f t="shared" si="13"/>
        <v>Low</v>
      </c>
      <c r="L895" s="5" t="str">
        <f>TEXT(Table1[[#This Row],[Order_Date]],"MMM")</f>
        <v>Oct</v>
      </c>
      <c r="M895" s="5" t="str">
        <f>IF(Table1[[#This Row],[Profit]]&gt;=1000,"Excellent",IF(Table1[[#This Row],[Profit]]&gt;=500,"Good", IF(Table1[[#This Row],[Profit]]&lt;500,"Low")))</f>
        <v>Low</v>
      </c>
      <c r="N895" s="7" t="str">
        <f>TEXT(Table1[[#This Row],[Order_Date]],"YYY")</f>
        <v>2024</v>
      </c>
    </row>
    <row r="896" spans="1:14" x14ac:dyDescent="0.3">
      <c r="A896" s="4">
        <v>45585</v>
      </c>
      <c r="B896" s="5" t="s">
        <v>18</v>
      </c>
      <c r="C896" s="5" t="s">
        <v>23</v>
      </c>
      <c r="D896" s="23">
        <v>394.4</v>
      </c>
      <c r="E896" s="23">
        <v>147.80000000000001</v>
      </c>
      <c r="F896" s="23">
        <v>246.6</v>
      </c>
      <c r="G896" s="5" t="s">
        <v>9</v>
      </c>
      <c r="H896" s="5" t="s">
        <v>10</v>
      </c>
      <c r="I896" s="5" t="s">
        <v>4</v>
      </c>
      <c r="J896" s="6">
        <f>Table1[[#This Row],[Profit]]/Table1[[#This Row],[Sales]]</f>
        <v>0.62525354969574043</v>
      </c>
      <c r="K896" s="5" t="str">
        <f t="shared" si="13"/>
        <v>Low</v>
      </c>
      <c r="L896" s="5" t="str">
        <f>TEXT(Table1[[#This Row],[Order_Date]],"MMM")</f>
        <v>Oct</v>
      </c>
      <c r="M896" s="5" t="str">
        <f>IF(Table1[[#This Row],[Profit]]&gt;=1000,"Excellent",IF(Table1[[#This Row],[Profit]]&gt;=500,"Good", IF(Table1[[#This Row],[Profit]]&lt;500,"Low")))</f>
        <v>Low</v>
      </c>
      <c r="N896" s="7" t="str">
        <f>TEXT(Table1[[#This Row],[Order_Date]],"YYY")</f>
        <v>2024</v>
      </c>
    </row>
    <row r="897" spans="1:14" x14ac:dyDescent="0.3">
      <c r="A897" s="4">
        <v>45587</v>
      </c>
      <c r="B897" s="5" t="s">
        <v>18</v>
      </c>
      <c r="C897" s="5" t="s">
        <v>5</v>
      </c>
      <c r="D897" s="23">
        <v>733.9</v>
      </c>
      <c r="E897" s="23">
        <v>359.6</v>
      </c>
      <c r="F897" s="23">
        <v>374.3</v>
      </c>
      <c r="G897" s="5" t="s">
        <v>9</v>
      </c>
      <c r="H897" s="5" t="s">
        <v>35</v>
      </c>
      <c r="I897" s="5" t="s">
        <v>25</v>
      </c>
      <c r="J897" s="6">
        <f>Table1[[#This Row],[Profit]]/Table1[[#This Row],[Sales]]</f>
        <v>0.5100149884180406</v>
      </c>
      <c r="K897" s="5" t="str">
        <f t="shared" si="13"/>
        <v>Low</v>
      </c>
      <c r="L897" s="5" t="str">
        <f>TEXT(Table1[[#This Row],[Order_Date]],"MMM")</f>
        <v>Oct</v>
      </c>
      <c r="M897" s="5" t="str">
        <f>IF(Table1[[#This Row],[Profit]]&gt;=1000,"Excellent",IF(Table1[[#This Row],[Profit]]&gt;=500,"Good", IF(Table1[[#This Row],[Profit]]&lt;500,"Low")))</f>
        <v>Low</v>
      </c>
      <c r="N897" s="7" t="str">
        <f>TEXT(Table1[[#This Row],[Order_Date]],"YYY")</f>
        <v>2024</v>
      </c>
    </row>
    <row r="898" spans="1:14" x14ac:dyDescent="0.3">
      <c r="A898" s="4">
        <v>45588</v>
      </c>
      <c r="B898" s="5" t="s">
        <v>18</v>
      </c>
      <c r="C898" s="5" t="s">
        <v>5</v>
      </c>
      <c r="D898" s="23">
        <v>456</v>
      </c>
      <c r="E898" s="23">
        <v>184.31</v>
      </c>
      <c r="F898" s="23">
        <v>271.69</v>
      </c>
      <c r="G898" s="5" t="s">
        <v>2</v>
      </c>
      <c r="H898" s="5" t="s">
        <v>37</v>
      </c>
      <c r="I898" s="5" t="s">
        <v>17</v>
      </c>
      <c r="J898" s="6">
        <f>Table1[[#This Row],[Profit]]/Table1[[#This Row],[Sales]]</f>
        <v>0.59581140350877193</v>
      </c>
      <c r="K898" s="5" t="str">
        <f t="shared" ref="K898:K961" si="14">IF(D898&gt;=2000,"High",IF(D898&gt;=1500,"Medium","Low"))</f>
        <v>Low</v>
      </c>
      <c r="L898" s="5" t="str">
        <f>TEXT(Table1[[#This Row],[Order_Date]],"MMM")</f>
        <v>Oct</v>
      </c>
      <c r="M898" s="5" t="str">
        <f>IF(Table1[[#This Row],[Profit]]&gt;=1000,"Excellent",IF(Table1[[#This Row],[Profit]]&gt;=500,"Good", IF(Table1[[#This Row],[Profit]]&lt;500,"Low")))</f>
        <v>Low</v>
      </c>
      <c r="N898" s="7" t="str">
        <f>TEXT(Table1[[#This Row],[Order_Date]],"YYY")</f>
        <v>2024</v>
      </c>
    </row>
    <row r="899" spans="1:14" x14ac:dyDescent="0.3">
      <c r="A899" s="4">
        <v>45588</v>
      </c>
      <c r="B899" s="5" t="s">
        <v>13</v>
      </c>
      <c r="C899" s="5" t="s">
        <v>1</v>
      </c>
      <c r="D899" s="23">
        <v>753.34</v>
      </c>
      <c r="E899" s="23">
        <v>377.28</v>
      </c>
      <c r="F899" s="23">
        <v>376.06</v>
      </c>
      <c r="G899" s="5" t="s">
        <v>2</v>
      </c>
      <c r="H899" s="5" t="s">
        <v>3</v>
      </c>
      <c r="I899" s="5" t="s">
        <v>27</v>
      </c>
      <c r="J899" s="6">
        <f>Table1[[#This Row],[Profit]]/Table1[[#This Row],[Sales]]</f>
        <v>0.49919027265245436</v>
      </c>
      <c r="K899" s="5" t="str">
        <f t="shared" si="14"/>
        <v>Low</v>
      </c>
      <c r="L899" s="5" t="str">
        <f>TEXT(Table1[[#This Row],[Order_Date]],"MMM")</f>
        <v>Oct</v>
      </c>
      <c r="M899" s="5" t="str">
        <f>IF(Table1[[#This Row],[Profit]]&gt;=1000,"Excellent",IF(Table1[[#This Row],[Profit]]&gt;=500,"Good", IF(Table1[[#This Row],[Profit]]&lt;500,"Low")))</f>
        <v>Low</v>
      </c>
      <c r="N899" s="7" t="str">
        <f>TEXT(Table1[[#This Row],[Order_Date]],"YYY")</f>
        <v>2024</v>
      </c>
    </row>
    <row r="900" spans="1:14" x14ac:dyDescent="0.3">
      <c r="A900" s="4">
        <v>45589</v>
      </c>
      <c r="B900" s="5" t="s">
        <v>13</v>
      </c>
      <c r="C900" s="5" t="s">
        <v>14</v>
      </c>
      <c r="D900" s="23">
        <v>149.62</v>
      </c>
      <c r="E900" s="23">
        <v>61.19</v>
      </c>
      <c r="F900" s="23">
        <v>88.43</v>
      </c>
      <c r="G900" s="5" t="s">
        <v>20</v>
      </c>
      <c r="H900" s="5" t="s">
        <v>3</v>
      </c>
      <c r="I900" s="5" t="s">
        <v>4</v>
      </c>
      <c r="J900" s="6">
        <f>Table1[[#This Row],[Profit]]/Table1[[#This Row],[Sales]]</f>
        <v>0.59103061088089826</v>
      </c>
      <c r="K900" s="5" t="str">
        <f t="shared" si="14"/>
        <v>Low</v>
      </c>
      <c r="L900" s="5" t="str">
        <f>TEXT(Table1[[#This Row],[Order_Date]],"MMM")</f>
        <v>Oct</v>
      </c>
      <c r="M900" s="5" t="str">
        <f>IF(Table1[[#This Row],[Profit]]&gt;=1000,"Excellent",IF(Table1[[#This Row],[Profit]]&gt;=500,"Good", IF(Table1[[#This Row],[Profit]]&lt;500,"Low")))</f>
        <v>Low</v>
      </c>
      <c r="N900" s="7" t="str">
        <f>TEXT(Table1[[#This Row],[Order_Date]],"YYY")</f>
        <v>2024</v>
      </c>
    </row>
    <row r="901" spans="1:14" x14ac:dyDescent="0.3">
      <c r="A901" s="4">
        <v>45590</v>
      </c>
      <c r="B901" s="5" t="s">
        <v>13</v>
      </c>
      <c r="C901" s="5" t="s">
        <v>31</v>
      </c>
      <c r="D901" s="23">
        <v>10.46</v>
      </c>
      <c r="E901" s="23">
        <v>4.13</v>
      </c>
      <c r="F901" s="23">
        <v>6.33</v>
      </c>
      <c r="G901" s="5" t="s">
        <v>32</v>
      </c>
      <c r="H901" s="5" t="s">
        <v>33</v>
      </c>
      <c r="I901" s="5" t="s">
        <v>22</v>
      </c>
      <c r="J901" s="6">
        <f>Table1[[#This Row],[Profit]]/Table1[[#This Row],[Sales]]</f>
        <v>0.60516252390057357</v>
      </c>
      <c r="K901" s="5" t="str">
        <f t="shared" si="14"/>
        <v>Low</v>
      </c>
      <c r="L901" s="5" t="str">
        <f>TEXT(Table1[[#This Row],[Order_Date]],"MMM")</f>
        <v>Oct</v>
      </c>
      <c r="M901" s="5" t="str">
        <f>IF(Table1[[#This Row],[Profit]]&gt;=1000,"Excellent",IF(Table1[[#This Row],[Profit]]&gt;=500,"Good", IF(Table1[[#This Row],[Profit]]&lt;500,"Low")))</f>
        <v>Low</v>
      </c>
      <c r="N901" s="7" t="str">
        <f>TEXT(Table1[[#This Row],[Order_Date]],"YYY")</f>
        <v>2024</v>
      </c>
    </row>
    <row r="902" spans="1:14" x14ac:dyDescent="0.3">
      <c r="A902" s="4">
        <v>45590</v>
      </c>
      <c r="B902" s="5" t="s">
        <v>16</v>
      </c>
      <c r="C902" s="5" t="s">
        <v>19</v>
      </c>
      <c r="D902" s="23">
        <v>107.17</v>
      </c>
      <c r="E902" s="23">
        <v>47.9</v>
      </c>
      <c r="F902" s="23">
        <v>59.27</v>
      </c>
      <c r="G902" s="5" t="s">
        <v>32</v>
      </c>
      <c r="H902" s="5" t="s">
        <v>3</v>
      </c>
      <c r="I902" s="5" t="s">
        <v>25</v>
      </c>
      <c r="J902" s="6">
        <f>Table1[[#This Row],[Profit]]/Table1[[#This Row],[Sales]]</f>
        <v>0.55304656153774379</v>
      </c>
      <c r="K902" s="5" t="str">
        <f t="shared" si="14"/>
        <v>Low</v>
      </c>
      <c r="L902" s="5" t="str">
        <f>TEXT(Table1[[#This Row],[Order_Date]],"MMM")</f>
        <v>Oct</v>
      </c>
      <c r="M902" s="5" t="str">
        <f>IF(Table1[[#This Row],[Profit]]&gt;=1000,"Excellent",IF(Table1[[#This Row],[Profit]]&gt;=500,"Good", IF(Table1[[#This Row],[Profit]]&lt;500,"Low")))</f>
        <v>Low</v>
      </c>
      <c r="N902" s="7" t="str">
        <f>TEXT(Table1[[#This Row],[Order_Date]],"YYY")</f>
        <v>2024</v>
      </c>
    </row>
    <row r="903" spans="1:14" x14ac:dyDescent="0.3">
      <c r="A903" s="4">
        <v>45591</v>
      </c>
      <c r="B903" s="5" t="s">
        <v>16</v>
      </c>
      <c r="C903" s="5" t="s">
        <v>23</v>
      </c>
      <c r="D903" s="23">
        <v>603.96</v>
      </c>
      <c r="E903" s="23">
        <v>300.57</v>
      </c>
      <c r="F903" s="23">
        <v>303.39</v>
      </c>
      <c r="G903" s="5" t="s">
        <v>2</v>
      </c>
      <c r="H903" s="5" t="s">
        <v>29</v>
      </c>
      <c r="I903" s="5" t="s">
        <v>17</v>
      </c>
      <c r="J903" s="6">
        <f>Table1[[#This Row],[Profit]]/Table1[[#This Row],[Sales]]</f>
        <v>0.5023345916948142</v>
      </c>
      <c r="K903" s="5" t="str">
        <f t="shared" si="14"/>
        <v>Low</v>
      </c>
      <c r="L903" s="5" t="str">
        <f>TEXT(Table1[[#This Row],[Order_Date]],"MMM")</f>
        <v>Oct</v>
      </c>
      <c r="M903" s="5" t="str">
        <f>IF(Table1[[#This Row],[Profit]]&gt;=1000,"Excellent",IF(Table1[[#This Row],[Profit]]&gt;=500,"Good", IF(Table1[[#This Row],[Profit]]&lt;500,"Low")))</f>
        <v>Low</v>
      </c>
      <c r="N903" s="7" t="str">
        <f>TEXT(Table1[[#This Row],[Order_Date]],"YYY")</f>
        <v>2024</v>
      </c>
    </row>
    <row r="904" spans="1:14" x14ac:dyDescent="0.3">
      <c r="A904" s="4">
        <v>45592</v>
      </c>
      <c r="B904" s="5" t="s">
        <v>13</v>
      </c>
      <c r="C904" s="5" t="s">
        <v>23</v>
      </c>
      <c r="D904" s="23">
        <v>718.39</v>
      </c>
      <c r="E904" s="23">
        <v>265.98</v>
      </c>
      <c r="F904" s="23">
        <v>452.41</v>
      </c>
      <c r="G904" s="5" t="s">
        <v>9</v>
      </c>
      <c r="H904" s="5" t="s">
        <v>21</v>
      </c>
      <c r="I904" s="5" t="s">
        <v>25</v>
      </c>
      <c r="J904" s="6">
        <f>Table1[[#This Row],[Profit]]/Table1[[#This Row],[Sales]]</f>
        <v>0.62975542532607642</v>
      </c>
      <c r="K904" s="5" t="str">
        <f t="shared" si="14"/>
        <v>Low</v>
      </c>
      <c r="L904" s="5" t="str">
        <f>TEXT(Table1[[#This Row],[Order_Date]],"MMM")</f>
        <v>Oct</v>
      </c>
      <c r="M904" s="5" t="str">
        <f>IF(Table1[[#This Row],[Profit]]&gt;=1000,"Excellent",IF(Table1[[#This Row],[Profit]]&gt;=500,"Good", IF(Table1[[#This Row],[Profit]]&lt;500,"Low")))</f>
        <v>Low</v>
      </c>
      <c r="N904" s="7" t="str">
        <f>TEXT(Table1[[#This Row],[Order_Date]],"YYY")</f>
        <v>2024</v>
      </c>
    </row>
    <row r="905" spans="1:14" x14ac:dyDescent="0.3">
      <c r="A905" s="4">
        <v>45593</v>
      </c>
      <c r="B905" s="5" t="s">
        <v>8</v>
      </c>
      <c r="C905" s="5" t="s">
        <v>1</v>
      </c>
      <c r="D905" s="23">
        <v>349.82</v>
      </c>
      <c r="E905" s="23">
        <v>165.49</v>
      </c>
      <c r="F905" s="23">
        <v>184.33</v>
      </c>
      <c r="G905" s="5" t="s">
        <v>6</v>
      </c>
      <c r="H905" s="5" t="s">
        <v>21</v>
      </c>
      <c r="I905" s="5" t="s">
        <v>17</v>
      </c>
      <c r="J905" s="6">
        <f>Table1[[#This Row],[Profit]]/Table1[[#This Row],[Sales]]</f>
        <v>0.52692813446915565</v>
      </c>
      <c r="K905" s="5" t="str">
        <f t="shared" si="14"/>
        <v>Low</v>
      </c>
      <c r="L905" s="5" t="str">
        <f>TEXT(Table1[[#This Row],[Order_Date]],"MMM")</f>
        <v>Oct</v>
      </c>
      <c r="M905" s="5" t="str">
        <f>IF(Table1[[#This Row],[Profit]]&gt;=1000,"Excellent",IF(Table1[[#This Row],[Profit]]&gt;=500,"Good", IF(Table1[[#This Row],[Profit]]&lt;500,"Low")))</f>
        <v>Low</v>
      </c>
      <c r="N905" s="7" t="str">
        <f>TEXT(Table1[[#This Row],[Order_Date]],"YYY")</f>
        <v>2024</v>
      </c>
    </row>
    <row r="906" spans="1:14" x14ac:dyDescent="0.3">
      <c r="A906" s="4">
        <v>45594</v>
      </c>
      <c r="B906" s="5" t="s">
        <v>8</v>
      </c>
      <c r="C906" s="5" t="s">
        <v>5</v>
      </c>
      <c r="D906" s="23">
        <v>743.02</v>
      </c>
      <c r="E906" s="23">
        <v>339.54</v>
      </c>
      <c r="F906" s="23">
        <v>403.48</v>
      </c>
      <c r="G906" s="5" t="s">
        <v>2</v>
      </c>
      <c r="H906" s="5" t="s">
        <v>24</v>
      </c>
      <c r="I906" s="5" t="s">
        <v>4</v>
      </c>
      <c r="J906" s="6">
        <f>Table1[[#This Row],[Profit]]/Table1[[#This Row],[Sales]]</f>
        <v>0.54302710559608092</v>
      </c>
      <c r="K906" s="5" t="str">
        <f t="shared" si="14"/>
        <v>Low</v>
      </c>
      <c r="L906" s="5" t="str">
        <f>TEXT(Table1[[#This Row],[Order_Date]],"MMM")</f>
        <v>Oct</v>
      </c>
      <c r="M906" s="5" t="str">
        <f>IF(Table1[[#This Row],[Profit]]&gt;=1000,"Excellent",IF(Table1[[#This Row],[Profit]]&gt;=500,"Good", IF(Table1[[#This Row],[Profit]]&lt;500,"Low")))</f>
        <v>Low</v>
      </c>
      <c r="N906" s="7" t="str">
        <f>TEXT(Table1[[#This Row],[Order_Date]],"YYY")</f>
        <v>2024</v>
      </c>
    </row>
    <row r="907" spans="1:14" x14ac:dyDescent="0.3">
      <c r="A907" s="4">
        <v>45594</v>
      </c>
      <c r="B907" s="5" t="s">
        <v>18</v>
      </c>
      <c r="C907" s="5" t="s">
        <v>19</v>
      </c>
      <c r="D907" s="23">
        <v>24.1</v>
      </c>
      <c r="E907" s="23">
        <v>7.48</v>
      </c>
      <c r="F907" s="23">
        <v>16.62</v>
      </c>
      <c r="G907" s="5" t="s">
        <v>32</v>
      </c>
      <c r="H907" s="5" t="s">
        <v>30</v>
      </c>
      <c r="I907" s="5" t="s">
        <v>17</v>
      </c>
      <c r="J907" s="6">
        <f>Table1[[#This Row],[Profit]]/Table1[[#This Row],[Sales]]</f>
        <v>0.6896265560165975</v>
      </c>
      <c r="K907" s="5" t="str">
        <f t="shared" si="14"/>
        <v>Low</v>
      </c>
      <c r="L907" s="5" t="str">
        <f>TEXT(Table1[[#This Row],[Order_Date]],"MMM")</f>
        <v>Oct</v>
      </c>
      <c r="M907" s="5" t="str">
        <f>IF(Table1[[#This Row],[Profit]]&gt;=1000,"Excellent",IF(Table1[[#This Row],[Profit]]&gt;=500,"Good", IF(Table1[[#This Row],[Profit]]&lt;500,"Low")))</f>
        <v>Low</v>
      </c>
      <c r="N907" s="7" t="str">
        <f>TEXT(Table1[[#This Row],[Order_Date]],"YYY")</f>
        <v>2024</v>
      </c>
    </row>
    <row r="908" spans="1:14" x14ac:dyDescent="0.3">
      <c r="A908" s="4">
        <v>45595</v>
      </c>
      <c r="B908" s="5" t="s">
        <v>13</v>
      </c>
      <c r="C908" s="5" t="s">
        <v>26</v>
      </c>
      <c r="D908" s="23">
        <v>363.44</v>
      </c>
      <c r="E908" s="23">
        <v>101.72</v>
      </c>
      <c r="F908" s="23">
        <v>261.72000000000003</v>
      </c>
      <c r="G908" s="5" t="s">
        <v>6</v>
      </c>
      <c r="H908" s="5" t="s">
        <v>28</v>
      </c>
      <c r="I908" s="5" t="s">
        <v>17</v>
      </c>
      <c r="J908" s="6">
        <f>Table1[[#This Row],[Profit]]/Table1[[#This Row],[Sales]]</f>
        <v>0.72011886418666082</v>
      </c>
      <c r="K908" s="5" t="str">
        <f t="shared" si="14"/>
        <v>Low</v>
      </c>
      <c r="L908" s="5" t="str">
        <f>TEXT(Table1[[#This Row],[Order_Date]],"MMM")</f>
        <v>Oct</v>
      </c>
      <c r="M908" s="5" t="str">
        <f>IF(Table1[[#This Row],[Profit]]&gt;=1000,"Excellent",IF(Table1[[#This Row],[Profit]]&gt;=500,"Good", IF(Table1[[#This Row],[Profit]]&lt;500,"Low")))</f>
        <v>Low</v>
      </c>
      <c r="N908" s="7" t="str">
        <f>TEXT(Table1[[#This Row],[Order_Date]],"YYY")</f>
        <v>2024</v>
      </c>
    </row>
    <row r="909" spans="1:14" x14ac:dyDescent="0.3">
      <c r="A909" s="4">
        <v>45596</v>
      </c>
      <c r="B909" s="5" t="s">
        <v>13</v>
      </c>
      <c r="C909" s="5" t="s">
        <v>14</v>
      </c>
      <c r="D909" s="23">
        <v>289.37</v>
      </c>
      <c r="E909" s="23">
        <v>121.94</v>
      </c>
      <c r="F909" s="23">
        <v>167.43</v>
      </c>
      <c r="G909" s="5" t="s">
        <v>32</v>
      </c>
      <c r="H909" s="5" t="s">
        <v>10</v>
      </c>
      <c r="I909" s="5" t="s">
        <v>25</v>
      </c>
      <c r="J909" s="6">
        <f>Table1[[#This Row],[Profit]]/Table1[[#This Row],[Sales]]</f>
        <v>0.57860179009572521</v>
      </c>
      <c r="K909" s="5" t="str">
        <f t="shared" si="14"/>
        <v>Low</v>
      </c>
      <c r="L909" s="5" t="str">
        <f>TEXT(Table1[[#This Row],[Order_Date]],"MMM")</f>
        <v>Oct</v>
      </c>
      <c r="M909" s="5" t="str">
        <f>IF(Table1[[#This Row],[Profit]]&gt;=1000,"Excellent",IF(Table1[[#This Row],[Profit]]&gt;=500,"Good", IF(Table1[[#This Row],[Profit]]&lt;500,"Low")))</f>
        <v>Low</v>
      </c>
      <c r="N909" s="7" t="str">
        <f>TEXT(Table1[[#This Row],[Order_Date]],"YYY")</f>
        <v>2024</v>
      </c>
    </row>
    <row r="910" spans="1:14" x14ac:dyDescent="0.3">
      <c r="A910" s="4">
        <v>45597</v>
      </c>
      <c r="B910" s="5" t="s">
        <v>18</v>
      </c>
      <c r="C910" s="5" t="s">
        <v>31</v>
      </c>
      <c r="D910" s="23">
        <v>241.82</v>
      </c>
      <c r="E910" s="23">
        <v>55.04</v>
      </c>
      <c r="F910" s="23">
        <v>186.78</v>
      </c>
      <c r="G910" s="5" t="s">
        <v>6</v>
      </c>
      <c r="H910" s="5" t="s">
        <v>30</v>
      </c>
      <c r="I910" s="5" t="s">
        <v>22</v>
      </c>
      <c r="J910" s="6">
        <f>Table1[[#This Row],[Profit]]/Table1[[#This Row],[Sales]]</f>
        <v>0.77239268877677614</v>
      </c>
      <c r="K910" s="5" t="str">
        <f t="shared" si="14"/>
        <v>Low</v>
      </c>
      <c r="L910" s="5" t="str">
        <f>TEXT(Table1[[#This Row],[Order_Date]],"MMM")</f>
        <v>Nov</v>
      </c>
      <c r="M910" s="5" t="str">
        <f>IF(Table1[[#This Row],[Profit]]&gt;=1000,"Excellent",IF(Table1[[#This Row],[Profit]]&gt;=500,"Good", IF(Table1[[#This Row],[Profit]]&lt;500,"Low")))</f>
        <v>Low</v>
      </c>
      <c r="N910" s="7" t="str">
        <f>TEXT(Table1[[#This Row],[Order_Date]],"YYY")</f>
        <v>2024</v>
      </c>
    </row>
    <row r="911" spans="1:14" x14ac:dyDescent="0.3">
      <c r="A911" s="4">
        <v>45597</v>
      </c>
      <c r="B911" s="5" t="s">
        <v>16</v>
      </c>
      <c r="C911" s="5" t="s">
        <v>26</v>
      </c>
      <c r="D911" s="23">
        <v>597.54999999999995</v>
      </c>
      <c r="E911" s="23">
        <v>213.08</v>
      </c>
      <c r="F911" s="23">
        <v>384.47</v>
      </c>
      <c r="G911" s="5" t="s">
        <v>9</v>
      </c>
      <c r="H911" s="5" t="s">
        <v>33</v>
      </c>
      <c r="I911" s="5" t="s">
        <v>22</v>
      </c>
      <c r="J911" s="6">
        <f>Table1[[#This Row],[Profit]]/Table1[[#This Row],[Sales]]</f>
        <v>0.64341059325579464</v>
      </c>
      <c r="K911" s="5" t="str">
        <f t="shared" si="14"/>
        <v>Low</v>
      </c>
      <c r="L911" s="5" t="str">
        <f>TEXT(Table1[[#This Row],[Order_Date]],"MMM")</f>
        <v>Nov</v>
      </c>
      <c r="M911" s="5" t="str">
        <f>IF(Table1[[#This Row],[Profit]]&gt;=1000,"Excellent",IF(Table1[[#This Row],[Profit]]&gt;=500,"Good", IF(Table1[[#This Row],[Profit]]&lt;500,"Low")))</f>
        <v>Low</v>
      </c>
      <c r="N911" s="7" t="str">
        <f>TEXT(Table1[[#This Row],[Order_Date]],"YYY")</f>
        <v>2024</v>
      </c>
    </row>
    <row r="912" spans="1:14" x14ac:dyDescent="0.3">
      <c r="A912" s="4">
        <v>45601</v>
      </c>
      <c r="B912" s="5" t="s">
        <v>0</v>
      </c>
      <c r="C912" s="5" t="s">
        <v>14</v>
      </c>
      <c r="D912" s="23">
        <v>142.56</v>
      </c>
      <c r="E912" s="23">
        <v>58.02</v>
      </c>
      <c r="F912" s="23">
        <v>84.54</v>
      </c>
      <c r="G912" s="5" t="s">
        <v>2</v>
      </c>
      <c r="H912" s="5" t="s">
        <v>35</v>
      </c>
      <c r="I912" s="5" t="s">
        <v>27</v>
      </c>
      <c r="J912" s="6">
        <f>Table1[[#This Row],[Profit]]/Table1[[#This Row],[Sales]]</f>
        <v>0.59301346801346799</v>
      </c>
      <c r="K912" s="5" t="str">
        <f t="shared" si="14"/>
        <v>Low</v>
      </c>
      <c r="L912" s="5" t="str">
        <f>TEXT(Table1[[#This Row],[Order_Date]],"MMM")</f>
        <v>Nov</v>
      </c>
      <c r="M912" s="5" t="str">
        <f>IF(Table1[[#This Row],[Profit]]&gt;=1000,"Excellent",IF(Table1[[#This Row],[Profit]]&gt;=500,"Good", IF(Table1[[#This Row],[Profit]]&lt;500,"Low")))</f>
        <v>Low</v>
      </c>
      <c r="N912" s="7" t="str">
        <f>TEXT(Table1[[#This Row],[Order_Date]],"YYY")</f>
        <v>2024</v>
      </c>
    </row>
    <row r="913" spans="1:14" x14ac:dyDescent="0.3">
      <c r="A913" s="4">
        <v>45602</v>
      </c>
      <c r="B913" s="5" t="s">
        <v>16</v>
      </c>
      <c r="C913" s="5" t="s">
        <v>26</v>
      </c>
      <c r="D913" s="23">
        <v>831.49</v>
      </c>
      <c r="E913" s="23">
        <v>251.55</v>
      </c>
      <c r="F913" s="23">
        <v>579.94000000000005</v>
      </c>
      <c r="G913" s="5" t="s">
        <v>20</v>
      </c>
      <c r="H913" s="5" t="s">
        <v>35</v>
      </c>
      <c r="I913" s="5" t="s">
        <v>11</v>
      </c>
      <c r="J913" s="6">
        <f>Table1[[#This Row],[Profit]]/Table1[[#This Row],[Sales]]</f>
        <v>0.69747080542159257</v>
      </c>
      <c r="K913" s="5" t="str">
        <f t="shared" si="14"/>
        <v>Low</v>
      </c>
      <c r="L913" s="5" t="str">
        <f>TEXT(Table1[[#This Row],[Order_Date]],"MMM")</f>
        <v>Nov</v>
      </c>
      <c r="M913" s="5" t="str">
        <f>IF(Table1[[#This Row],[Profit]]&gt;=1000,"Excellent",IF(Table1[[#This Row],[Profit]]&gt;=500,"Good", IF(Table1[[#This Row],[Profit]]&lt;500,"Low")))</f>
        <v>Good</v>
      </c>
      <c r="N913" s="7" t="str">
        <f>TEXT(Table1[[#This Row],[Order_Date]],"YYY")</f>
        <v>2024</v>
      </c>
    </row>
    <row r="914" spans="1:14" x14ac:dyDescent="0.3">
      <c r="A914" s="4">
        <v>45602</v>
      </c>
      <c r="B914" s="5" t="s">
        <v>8</v>
      </c>
      <c r="C914" s="5" t="s">
        <v>31</v>
      </c>
      <c r="D914" s="23">
        <v>65.66</v>
      </c>
      <c r="E914" s="23">
        <v>23.04</v>
      </c>
      <c r="F914" s="23">
        <v>42.62</v>
      </c>
      <c r="G914" s="5" t="s">
        <v>6</v>
      </c>
      <c r="H914" s="5" t="s">
        <v>29</v>
      </c>
      <c r="I914" s="5" t="s">
        <v>17</v>
      </c>
      <c r="J914" s="6">
        <f>Table1[[#This Row],[Profit]]/Table1[[#This Row],[Sales]]</f>
        <v>0.64910143161742306</v>
      </c>
      <c r="K914" s="5" t="str">
        <f t="shared" si="14"/>
        <v>Low</v>
      </c>
      <c r="L914" s="5" t="str">
        <f>TEXT(Table1[[#This Row],[Order_Date]],"MMM")</f>
        <v>Nov</v>
      </c>
      <c r="M914" s="5" t="str">
        <f>IF(Table1[[#This Row],[Profit]]&gt;=1000,"Excellent",IF(Table1[[#This Row],[Profit]]&gt;=500,"Good", IF(Table1[[#This Row],[Profit]]&lt;500,"Low")))</f>
        <v>Low</v>
      </c>
      <c r="N914" s="7" t="str">
        <f>TEXT(Table1[[#This Row],[Order_Date]],"YYY")</f>
        <v>2024</v>
      </c>
    </row>
    <row r="915" spans="1:14" x14ac:dyDescent="0.3">
      <c r="A915" s="4">
        <v>45602</v>
      </c>
      <c r="B915" s="5" t="s">
        <v>0</v>
      </c>
      <c r="C915" s="5" t="s">
        <v>5</v>
      </c>
      <c r="D915" s="23">
        <v>1735.46</v>
      </c>
      <c r="E915" s="23">
        <v>809.89</v>
      </c>
      <c r="F915" s="23">
        <v>925.57</v>
      </c>
      <c r="G915" s="5" t="s">
        <v>6</v>
      </c>
      <c r="H915" s="5" t="s">
        <v>10</v>
      </c>
      <c r="I915" s="5" t="s">
        <v>17</v>
      </c>
      <c r="J915" s="6">
        <f>Table1[[#This Row],[Profit]]/Table1[[#This Row],[Sales]]</f>
        <v>0.53332833946043123</v>
      </c>
      <c r="K915" s="5" t="str">
        <f t="shared" si="14"/>
        <v>Medium</v>
      </c>
      <c r="L915" s="5" t="str">
        <f>TEXT(Table1[[#This Row],[Order_Date]],"MMM")</f>
        <v>Nov</v>
      </c>
      <c r="M915" s="5" t="str">
        <f>IF(Table1[[#This Row],[Profit]]&gt;=1000,"Excellent",IF(Table1[[#This Row],[Profit]]&gt;=500,"Good", IF(Table1[[#This Row],[Profit]]&lt;500,"Low")))</f>
        <v>Good</v>
      </c>
      <c r="N915" s="7" t="str">
        <f>TEXT(Table1[[#This Row],[Order_Date]],"YYY")</f>
        <v>2024</v>
      </c>
    </row>
    <row r="916" spans="1:14" x14ac:dyDescent="0.3">
      <c r="A916" s="4">
        <v>45604</v>
      </c>
      <c r="B916" s="5" t="s">
        <v>18</v>
      </c>
      <c r="C916" s="5" t="s">
        <v>31</v>
      </c>
      <c r="D916" s="23">
        <v>240.28</v>
      </c>
      <c r="E916" s="23">
        <v>94.11</v>
      </c>
      <c r="F916" s="23">
        <v>146.16999999999999</v>
      </c>
      <c r="G916" s="5" t="s">
        <v>32</v>
      </c>
      <c r="H916" s="5" t="s">
        <v>10</v>
      </c>
      <c r="I916" s="5" t="s">
        <v>17</v>
      </c>
      <c r="J916" s="6">
        <f>Table1[[#This Row],[Profit]]/Table1[[#This Row],[Sales]]</f>
        <v>0.60833194606292651</v>
      </c>
      <c r="K916" s="5" t="str">
        <f t="shared" si="14"/>
        <v>Low</v>
      </c>
      <c r="L916" s="5" t="str">
        <f>TEXT(Table1[[#This Row],[Order_Date]],"MMM")</f>
        <v>Nov</v>
      </c>
      <c r="M916" s="5" t="str">
        <f>IF(Table1[[#This Row],[Profit]]&gt;=1000,"Excellent",IF(Table1[[#This Row],[Profit]]&gt;=500,"Good", IF(Table1[[#This Row],[Profit]]&lt;500,"Low")))</f>
        <v>Low</v>
      </c>
      <c r="N916" s="7" t="str">
        <f>TEXT(Table1[[#This Row],[Order_Date]],"YYY")</f>
        <v>2024</v>
      </c>
    </row>
    <row r="917" spans="1:14" x14ac:dyDescent="0.3">
      <c r="A917" s="4">
        <v>45605</v>
      </c>
      <c r="B917" s="5" t="s">
        <v>8</v>
      </c>
      <c r="C917" s="5" t="s">
        <v>31</v>
      </c>
      <c r="D917" s="23">
        <v>176.84</v>
      </c>
      <c r="E917" s="23">
        <v>67.739999999999995</v>
      </c>
      <c r="F917" s="23">
        <v>109.1</v>
      </c>
      <c r="G917" s="5" t="s">
        <v>6</v>
      </c>
      <c r="H917" s="5" t="s">
        <v>28</v>
      </c>
      <c r="I917" s="5" t="s">
        <v>17</v>
      </c>
      <c r="J917" s="6">
        <f>Table1[[#This Row],[Profit]]/Table1[[#This Row],[Sales]]</f>
        <v>0.61694186835557563</v>
      </c>
      <c r="K917" s="5" t="str">
        <f t="shared" si="14"/>
        <v>Low</v>
      </c>
      <c r="L917" s="5" t="str">
        <f>TEXT(Table1[[#This Row],[Order_Date]],"MMM")</f>
        <v>Nov</v>
      </c>
      <c r="M917" s="5" t="str">
        <f>IF(Table1[[#This Row],[Profit]]&gt;=1000,"Excellent",IF(Table1[[#This Row],[Profit]]&gt;=500,"Good", IF(Table1[[#This Row],[Profit]]&lt;500,"Low")))</f>
        <v>Low</v>
      </c>
      <c r="N917" s="7" t="str">
        <f>TEXT(Table1[[#This Row],[Order_Date]],"YYY")</f>
        <v>2024</v>
      </c>
    </row>
    <row r="918" spans="1:14" x14ac:dyDescent="0.3">
      <c r="A918" s="4">
        <v>45606</v>
      </c>
      <c r="B918" s="5" t="s">
        <v>8</v>
      </c>
      <c r="C918" s="5" t="s">
        <v>19</v>
      </c>
      <c r="D918" s="23">
        <v>114.2</v>
      </c>
      <c r="E918" s="23">
        <v>33.18</v>
      </c>
      <c r="F918" s="23">
        <v>81.02</v>
      </c>
      <c r="G918" s="5" t="s">
        <v>2</v>
      </c>
      <c r="H918" s="5" t="s">
        <v>34</v>
      </c>
      <c r="I918" s="5" t="s">
        <v>22</v>
      </c>
      <c r="J918" s="6">
        <f>Table1[[#This Row],[Profit]]/Table1[[#This Row],[Sales]]</f>
        <v>0.70945709281961467</v>
      </c>
      <c r="K918" s="5" t="str">
        <f t="shared" si="14"/>
        <v>Low</v>
      </c>
      <c r="L918" s="5" t="str">
        <f>TEXT(Table1[[#This Row],[Order_Date]],"MMM")</f>
        <v>Nov</v>
      </c>
      <c r="M918" s="5" t="str">
        <f>IF(Table1[[#This Row],[Profit]]&gt;=1000,"Excellent",IF(Table1[[#This Row],[Profit]]&gt;=500,"Good", IF(Table1[[#This Row],[Profit]]&lt;500,"Low")))</f>
        <v>Low</v>
      </c>
      <c r="N918" s="7" t="str">
        <f>TEXT(Table1[[#This Row],[Order_Date]],"YYY")</f>
        <v>2024</v>
      </c>
    </row>
    <row r="919" spans="1:14" x14ac:dyDescent="0.3">
      <c r="A919" s="4">
        <v>45607</v>
      </c>
      <c r="B919" s="5" t="s">
        <v>16</v>
      </c>
      <c r="C919" s="5" t="s">
        <v>26</v>
      </c>
      <c r="D919" s="23">
        <v>239.94</v>
      </c>
      <c r="E919" s="23">
        <v>84.65</v>
      </c>
      <c r="F919" s="23">
        <v>155.29</v>
      </c>
      <c r="G919" s="5" t="s">
        <v>32</v>
      </c>
      <c r="H919" s="5" t="s">
        <v>36</v>
      </c>
      <c r="I919" s="5" t="s">
        <v>4</v>
      </c>
      <c r="J919" s="6">
        <f>Table1[[#This Row],[Profit]]/Table1[[#This Row],[Sales]]</f>
        <v>0.64720346753355007</v>
      </c>
      <c r="K919" s="5" t="str">
        <f t="shared" si="14"/>
        <v>Low</v>
      </c>
      <c r="L919" s="5" t="str">
        <f>TEXT(Table1[[#This Row],[Order_Date]],"MMM")</f>
        <v>Nov</v>
      </c>
      <c r="M919" s="5" t="str">
        <f>IF(Table1[[#This Row],[Profit]]&gt;=1000,"Excellent",IF(Table1[[#This Row],[Profit]]&gt;=500,"Good", IF(Table1[[#This Row],[Profit]]&lt;500,"Low")))</f>
        <v>Low</v>
      </c>
      <c r="N919" s="7" t="str">
        <f>TEXT(Table1[[#This Row],[Order_Date]],"YYY")</f>
        <v>2024</v>
      </c>
    </row>
    <row r="920" spans="1:14" x14ac:dyDescent="0.3">
      <c r="A920" s="4">
        <v>45607</v>
      </c>
      <c r="B920" s="5" t="s">
        <v>0</v>
      </c>
      <c r="C920" s="5" t="s">
        <v>19</v>
      </c>
      <c r="D920" s="23">
        <v>56.17</v>
      </c>
      <c r="E920" s="23">
        <v>24.62</v>
      </c>
      <c r="F920" s="23">
        <v>31.55</v>
      </c>
      <c r="G920" s="5" t="s">
        <v>2</v>
      </c>
      <c r="H920" s="5" t="s">
        <v>3</v>
      </c>
      <c r="I920" s="5" t="s">
        <v>11</v>
      </c>
      <c r="J920" s="6">
        <f>Table1[[#This Row],[Profit]]/Table1[[#This Row],[Sales]]</f>
        <v>0.56168773366565783</v>
      </c>
      <c r="K920" s="5" t="str">
        <f t="shared" si="14"/>
        <v>Low</v>
      </c>
      <c r="L920" s="5" t="str">
        <f>TEXT(Table1[[#This Row],[Order_Date]],"MMM")</f>
        <v>Nov</v>
      </c>
      <c r="M920" s="5" t="str">
        <f>IF(Table1[[#This Row],[Profit]]&gt;=1000,"Excellent",IF(Table1[[#This Row],[Profit]]&gt;=500,"Good", IF(Table1[[#This Row],[Profit]]&lt;500,"Low")))</f>
        <v>Low</v>
      </c>
      <c r="N920" s="7" t="str">
        <f>TEXT(Table1[[#This Row],[Order_Date]],"YYY")</f>
        <v>2024</v>
      </c>
    </row>
    <row r="921" spans="1:14" x14ac:dyDescent="0.3">
      <c r="A921" s="4">
        <v>45608</v>
      </c>
      <c r="B921" s="5" t="s">
        <v>16</v>
      </c>
      <c r="C921" s="5" t="s">
        <v>19</v>
      </c>
      <c r="D921" s="23">
        <v>77.510000000000005</v>
      </c>
      <c r="E921" s="23">
        <v>27.76</v>
      </c>
      <c r="F921" s="23">
        <v>49.75</v>
      </c>
      <c r="G921" s="5" t="s">
        <v>32</v>
      </c>
      <c r="H921" s="5" t="s">
        <v>28</v>
      </c>
      <c r="I921" s="5" t="s">
        <v>11</v>
      </c>
      <c r="J921" s="6">
        <f>Table1[[#This Row],[Profit]]/Table1[[#This Row],[Sales]]</f>
        <v>0.64185266417236486</v>
      </c>
      <c r="K921" s="5" t="str">
        <f t="shared" si="14"/>
        <v>Low</v>
      </c>
      <c r="L921" s="5" t="str">
        <f>TEXT(Table1[[#This Row],[Order_Date]],"MMM")</f>
        <v>Nov</v>
      </c>
      <c r="M921" s="5" t="str">
        <f>IF(Table1[[#This Row],[Profit]]&gt;=1000,"Excellent",IF(Table1[[#This Row],[Profit]]&gt;=500,"Good", IF(Table1[[#This Row],[Profit]]&lt;500,"Low")))</f>
        <v>Low</v>
      </c>
      <c r="N921" s="7" t="str">
        <f>TEXT(Table1[[#This Row],[Order_Date]],"YYY")</f>
        <v>2024</v>
      </c>
    </row>
    <row r="922" spans="1:14" x14ac:dyDescent="0.3">
      <c r="A922" s="4">
        <v>45608</v>
      </c>
      <c r="B922" s="5" t="s">
        <v>18</v>
      </c>
      <c r="C922" s="5" t="s">
        <v>23</v>
      </c>
      <c r="D922" s="23">
        <v>640.39</v>
      </c>
      <c r="E922" s="23">
        <v>259.27</v>
      </c>
      <c r="F922" s="23">
        <v>381.12</v>
      </c>
      <c r="G922" s="5" t="s">
        <v>32</v>
      </c>
      <c r="H922" s="5" t="s">
        <v>7</v>
      </c>
      <c r="I922" s="5" t="s">
        <v>25</v>
      </c>
      <c r="J922" s="6">
        <f>Table1[[#This Row],[Profit]]/Table1[[#This Row],[Sales]]</f>
        <v>0.59513733818454384</v>
      </c>
      <c r="K922" s="5" t="str">
        <f t="shared" si="14"/>
        <v>Low</v>
      </c>
      <c r="L922" s="5" t="str">
        <f>TEXT(Table1[[#This Row],[Order_Date]],"MMM")</f>
        <v>Nov</v>
      </c>
      <c r="M922" s="5" t="str">
        <f>IF(Table1[[#This Row],[Profit]]&gt;=1000,"Excellent",IF(Table1[[#This Row],[Profit]]&gt;=500,"Good", IF(Table1[[#This Row],[Profit]]&lt;500,"Low")))</f>
        <v>Low</v>
      </c>
      <c r="N922" s="7" t="str">
        <f>TEXT(Table1[[#This Row],[Order_Date]],"YYY")</f>
        <v>2024</v>
      </c>
    </row>
    <row r="923" spans="1:14" x14ac:dyDescent="0.3">
      <c r="A923" s="4">
        <v>45610</v>
      </c>
      <c r="B923" s="5" t="s">
        <v>18</v>
      </c>
      <c r="C923" s="5" t="s">
        <v>5</v>
      </c>
      <c r="D923" s="23">
        <v>1520.06</v>
      </c>
      <c r="E923" s="23">
        <v>610.04</v>
      </c>
      <c r="F923" s="23">
        <v>910.02</v>
      </c>
      <c r="G923" s="5" t="s">
        <v>9</v>
      </c>
      <c r="H923" s="5" t="s">
        <v>33</v>
      </c>
      <c r="I923" s="5" t="s">
        <v>4</v>
      </c>
      <c r="J923" s="6">
        <f>Table1[[#This Row],[Profit]]/Table1[[#This Row],[Sales]]</f>
        <v>0.59867373656303047</v>
      </c>
      <c r="K923" s="5" t="str">
        <f t="shared" si="14"/>
        <v>Medium</v>
      </c>
      <c r="L923" s="5" t="str">
        <f>TEXT(Table1[[#This Row],[Order_Date]],"MMM")</f>
        <v>Nov</v>
      </c>
      <c r="M923" s="5" t="str">
        <f>IF(Table1[[#This Row],[Profit]]&gt;=1000,"Excellent",IF(Table1[[#This Row],[Profit]]&gt;=500,"Good", IF(Table1[[#This Row],[Profit]]&lt;500,"Low")))</f>
        <v>Good</v>
      </c>
      <c r="N923" s="7" t="str">
        <f>TEXT(Table1[[#This Row],[Order_Date]],"YYY")</f>
        <v>2024</v>
      </c>
    </row>
    <row r="924" spans="1:14" x14ac:dyDescent="0.3">
      <c r="A924" s="4">
        <v>45610</v>
      </c>
      <c r="B924" s="5" t="s">
        <v>0</v>
      </c>
      <c r="C924" s="5" t="s">
        <v>5</v>
      </c>
      <c r="D924" s="23">
        <v>1466.63</v>
      </c>
      <c r="E924" s="23">
        <v>488.73</v>
      </c>
      <c r="F924" s="23">
        <v>977.9</v>
      </c>
      <c r="G924" s="5" t="s">
        <v>32</v>
      </c>
      <c r="H924" s="5" t="s">
        <v>15</v>
      </c>
      <c r="I924" s="5" t="s">
        <v>25</v>
      </c>
      <c r="J924" s="6">
        <f>Table1[[#This Row],[Profit]]/Table1[[#This Row],[Sales]]</f>
        <v>0.66676666916672911</v>
      </c>
      <c r="K924" s="5" t="str">
        <f t="shared" si="14"/>
        <v>Low</v>
      </c>
      <c r="L924" s="5" t="str">
        <f>TEXT(Table1[[#This Row],[Order_Date]],"MMM")</f>
        <v>Nov</v>
      </c>
      <c r="M924" s="5" t="str">
        <f>IF(Table1[[#This Row],[Profit]]&gt;=1000,"Excellent",IF(Table1[[#This Row],[Profit]]&gt;=500,"Good", IF(Table1[[#This Row],[Profit]]&lt;500,"Low")))</f>
        <v>Good</v>
      </c>
      <c r="N924" s="7" t="str">
        <f>TEXT(Table1[[#This Row],[Order_Date]],"YYY")</f>
        <v>2024</v>
      </c>
    </row>
    <row r="925" spans="1:14" x14ac:dyDescent="0.3">
      <c r="A925" s="4">
        <v>45611</v>
      </c>
      <c r="B925" s="5" t="s">
        <v>0</v>
      </c>
      <c r="C925" s="5" t="s">
        <v>23</v>
      </c>
      <c r="D925" s="23">
        <v>68.34</v>
      </c>
      <c r="E925" s="23">
        <v>32.25</v>
      </c>
      <c r="F925" s="23">
        <v>36.090000000000003</v>
      </c>
      <c r="G925" s="5" t="s">
        <v>20</v>
      </c>
      <c r="H925" s="5" t="s">
        <v>21</v>
      </c>
      <c r="I925" s="5" t="s">
        <v>4</v>
      </c>
      <c r="J925" s="6">
        <f>Table1[[#This Row],[Profit]]/Table1[[#This Row],[Sales]]</f>
        <v>0.52809482001755925</v>
      </c>
      <c r="K925" s="5" t="str">
        <f t="shared" si="14"/>
        <v>Low</v>
      </c>
      <c r="L925" s="5" t="str">
        <f>TEXT(Table1[[#This Row],[Order_Date]],"MMM")</f>
        <v>Nov</v>
      </c>
      <c r="M925" s="5" t="str">
        <f>IF(Table1[[#This Row],[Profit]]&gt;=1000,"Excellent",IF(Table1[[#This Row],[Profit]]&gt;=500,"Good", IF(Table1[[#This Row],[Profit]]&lt;500,"Low")))</f>
        <v>Low</v>
      </c>
      <c r="N925" s="7" t="str">
        <f>TEXT(Table1[[#This Row],[Order_Date]],"YYY")</f>
        <v>2024</v>
      </c>
    </row>
    <row r="926" spans="1:14" x14ac:dyDescent="0.3">
      <c r="A926" s="4">
        <v>45613</v>
      </c>
      <c r="B926" s="5" t="s">
        <v>0</v>
      </c>
      <c r="C926" s="5" t="s">
        <v>1</v>
      </c>
      <c r="D926" s="23">
        <v>1047.05</v>
      </c>
      <c r="E926" s="23">
        <v>499.27</v>
      </c>
      <c r="F926" s="23">
        <v>547.78</v>
      </c>
      <c r="G926" s="5" t="s">
        <v>32</v>
      </c>
      <c r="H926" s="5" t="s">
        <v>36</v>
      </c>
      <c r="I926" s="5" t="s">
        <v>17</v>
      </c>
      <c r="J926" s="6">
        <f>Table1[[#This Row],[Profit]]/Table1[[#This Row],[Sales]]</f>
        <v>0.52316508285182173</v>
      </c>
      <c r="K926" s="5" t="str">
        <f t="shared" si="14"/>
        <v>Low</v>
      </c>
      <c r="L926" s="5" t="str">
        <f>TEXT(Table1[[#This Row],[Order_Date]],"MMM")</f>
        <v>Nov</v>
      </c>
      <c r="M926" s="5" t="str">
        <f>IF(Table1[[#This Row],[Profit]]&gt;=1000,"Excellent",IF(Table1[[#This Row],[Profit]]&gt;=500,"Good", IF(Table1[[#This Row],[Profit]]&lt;500,"Low")))</f>
        <v>Good</v>
      </c>
      <c r="N926" s="7" t="str">
        <f>TEXT(Table1[[#This Row],[Order_Date]],"YYY")</f>
        <v>2024</v>
      </c>
    </row>
    <row r="927" spans="1:14" x14ac:dyDescent="0.3">
      <c r="A927" s="4">
        <v>45613</v>
      </c>
      <c r="B927" s="5" t="s">
        <v>16</v>
      </c>
      <c r="C927" s="5" t="s">
        <v>31</v>
      </c>
      <c r="D927" s="23">
        <v>170.05</v>
      </c>
      <c r="E927" s="23">
        <v>56.76</v>
      </c>
      <c r="F927" s="23">
        <v>113.29</v>
      </c>
      <c r="G927" s="5" t="s">
        <v>2</v>
      </c>
      <c r="H927" s="5" t="s">
        <v>29</v>
      </c>
      <c r="I927" s="5" t="s">
        <v>22</v>
      </c>
      <c r="J927" s="6">
        <f>Table1[[#This Row],[Profit]]/Table1[[#This Row],[Sales]]</f>
        <v>0.66621581887680092</v>
      </c>
      <c r="K927" s="5" t="str">
        <f t="shared" si="14"/>
        <v>Low</v>
      </c>
      <c r="L927" s="5" t="str">
        <f>TEXT(Table1[[#This Row],[Order_Date]],"MMM")</f>
        <v>Nov</v>
      </c>
      <c r="M927" s="5" t="str">
        <f>IF(Table1[[#This Row],[Profit]]&gt;=1000,"Excellent",IF(Table1[[#This Row],[Profit]]&gt;=500,"Good", IF(Table1[[#This Row],[Profit]]&lt;500,"Low")))</f>
        <v>Low</v>
      </c>
      <c r="N927" s="7" t="str">
        <f>TEXT(Table1[[#This Row],[Order_Date]],"YYY")</f>
        <v>2024</v>
      </c>
    </row>
    <row r="928" spans="1:14" x14ac:dyDescent="0.3">
      <c r="A928" s="4">
        <v>45613</v>
      </c>
      <c r="B928" s="5" t="s">
        <v>8</v>
      </c>
      <c r="C928" s="5" t="s">
        <v>23</v>
      </c>
      <c r="D928" s="23">
        <v>562.63</v>
      </c>
      <c r="E928" s="23">
        <v>177.6</v>
      </c>
      <c r="F928" s="23">
        <v>385.03</v>
      </c>
      <c r="G928" s="5" t="s">
        <v>2</v>
      </c>
      <c r="H928" s="5" t="s">
        <v>28</v>
      </c>
      <c r="I928" s="5" t="s">
        <v>4</v>
      </c>
      <c r="J928" s="6">
        <f>Table1[[#This Row],[Profit]]/Table1[[#This Row],[Sales]]</f>
        <v>0.6843396192879867</v>
      </c>
      <c r="K928" s="5" t="str">
        <f t="shared" si="14"/>
        <v>Low</v>
      </c>
      <c r="L928" s="5" t="str">
        <f>TEXT(Table1[[#This Row],[Order_Date]],"MMM")</f>
        <v>Nov</v>
      </c>
      <c r="M928" s="5" t="str">
        <f>IF(Table1[[#This Row],[Profit]]&gt;=1000,"Excellent",IF(Table1[[#This Row],[Profit]]&gt;=500,"Good", IF(Table1[[#This Row],[Profit]]&lt;500,"Low")))</f>
        <v>Low</v>
      </c>
      <c r="N928" s="7" t="str">
        <f>TEXT(Table1[[#This Row],[Order_Date]],"YYY")</f>
        <v>2024</v>
      </c>
    </row>
    <row r="929" spans="1:14" x14ac:dyDescent="0.3">
      <c r="A929" s="4">
        <v>45614</v>
      </c>
      <c r="B929" s="5" t="s">
        <v>13</v>
      </c>
      <c r="C929" s="5" t="s">
        <v>5</v>
      </c>
      <c r="D929" s="23">
        <v>478.59</v>
      </c>
      <c r="E929" s="23">
        <v>159.49</v>
      </c>
      <c r="F929" s="23">
        <v>319.10000000000002</v>
      </c>
      <c r="G929" s="5" t="s">
        <v>6</v>
      </c>
      <c r="H929" s="5" t="s">
        <v>3</v>
      </c>
      <c r="I929" s="5" t="s">
        <v>11</v>
      </c>
      <c r="J929" s="6">
        <f>Table1[[#This Row],[Profit]]/Table1[[#This Row],[Sales]]</f>
        <v>0.66675024551286077</v>
      </c>
      <c r="K929" s="5" t="str">
        <f t="shared" si="14"/>
        <v>Low</v>
      </c>
      <c r="L929" s="5" t="str">
        <f>TEXT(Table1[[#This Row],[Order_Date]],"MMM")</f>
        <v>Nov</v>
      </c>
      <c r="M929" s="5" t="str">
        <f>IF(Table1[[#This Row],[Profit]]&gt;=1000,"Excellent",IF(Table1[[#This Row],[Profit]]&gt;=500,"Good", IF(Table1[[#This Row],[Profit]]&lt;500,"Low")))</f>
        <v>Low</v>
      </c>
      <c r="N929" s="7" t="str">
        <f>TEXT(Table1[[#This Row],[Order_Date]],"YYY")</f>
        <v>2024</v>
      </c>
    </row>
    <row r="930" spans="1:14" x14ac:dyDescent="0.3">
      <c r="A930" s="4">
        <v>45615</v>
      </c>
      <c r="B930" s="5" t="s">
        <v>0</v>
      </c>
      <c r="C930" s="5" t="s">
        <v>26</v>
      </c>
      <c r="D930" s="23">
        <v>476.95</v>
      </c>
      <c r="E930" s="23">
        <v>129.52000000000001</v>
      </c>
      <c r="F930" s="23">
        <v>347.43</v>
      </c>
      <c r="G930" s="5" t="s">
        <v>20</v>
      </c>
      <c r="H930" s="5" t="s">
        <v>29</v>
      </c>
      <c r="I930" s="5" t="s">
        <v>25</v>
      </c>
      <c r="J930" s="6">
        <f>Table1[[#This Row],[Profit]]/Table1[[#This Row],[Sales]]</f>
        <v>0.728441136387462</v>
      </c>
      <c r="K930" s="5" t="str">
        <f t="shared" si="14"/>
        <v>Low</v>
      </c>
      <c r="L930" s="5" t="str">
        <f>TEXT(Table1[[#This Row],[Order_Date]],"MMM")</f>
        <v>Nov</v>
      </c>
      <c r="M930" s="5" t="str">
        <f>IF(Table1[[#This Row],[Profit]]&gt;=1000,"Excellent",IF(Table1[[#This Row],[Profit]]&gt;=500,"Good", IF(Table1[[#This Row],[Profit]]&lt;500,"Low")))</f>
        <v>Low</v>
      </c>
      <c r="N930" s="7" t="str">
        <f>TEXT(Table1[[#This Row],[Order_Date]],"YYY")</f>
        <v>2024</v>
      </c>
    </row>
    <row r="931" spans="1:14" x14ac:dyDescent="0.3">
      <c r="A931" s="4">
        <v>45615</v>
      </c>
      <c r="B931" s="5" t="s">
        <v>8</v>
      </c>
      <c r="C931" s="5" t="s">
        <v>26</v>
      </c>
      <c r="D931" s="23">
        <v>952.95</v>
      </c>
      <c r="E931" s="23">
        <v>334.86</v>
      </c>
      <c r="F931" s="23">
        <v>618.09</v>
      </c>
      <c r="G931" s="5" t="s">
        <v>32</v>
      </c>
      <c r="H931" s="5" t="s">
        <v>3</v>
      </c>
      <c r="I931" s="5" t="s">
        <v>11</v>
      </c>
      <c r="J931" s="6">
        <f>Table1[[#This Row],[Profit]]/Table1[[#This Row],[Sales]]</f>
        <v>0.64860695734298757</v>
      </c>
      <c r="K931" s="5" t="str">
        <f t="shared" si="14"/>
        <v>Low</v>
      </c>
      <c r="L931" s="5" t="str">
        <f>TEXT(Table1[[#This Row],[Order_Date]],"MMM")</f>
        <v>Nov</v>
      </c>
      <c r="M931" s="5" t="str">
        <f>IF(Table1[[#This Row],[Profit]]&gt;=1000,"Excellent",IF(Table1[[#This Row],[Profit]]&gt;=500,"Good", IF(Table1[[#This Row],[Profit]]&lt;500,"Low")))</f>
        <v>Good</v>
      </c>
      <c r="N931" s="7" t="str">
        <f>TEXT(Table1[[#This Row],[Order_Date]],"YYY")</f>
        <v>2024</v>
      </c>
    </row>
    <row r="932" spans="1:14" x14ac:dyDescent="0.3">
      <c r="A932" s="4">
        <v>45615</v>
      </c>
      <c r="B932" s="5" t="s">
        <v>18</v>
      </c>
      <c r="C932" s="5" t="s">
        <v>31</v>
      </c>
      <c r="D932" s="23">
        <v>185.7</v>
      </c>
      <c r="E932" s="23">
        <v>63.02</v>
      </c>
      <c r="F932" s="23">
        <v>122.68</v>
      </c>
      <c r="G932" s="5" t="s">
        <v>20</v>
      </c>
      <c r="H932" s="5" t="s">
        <v>29</v>
      </c>
      <c r="I932" s="5" t="s">
        <v>11</v>
      </c>
      <c r="J932" s="6">
        <f>Table1[[#This Row],[Profit]]/Table1[[#This Row],[Sales]]</f>
        <v>0.66063543349488429</v>
      </c>
      <c r="K932" s="5" t="str">
        <f t="shared" si="14"/>
        <v>Low</v>
      </c>
      <c r="L932" s="5" t="str">
        <f>TEXT(Table1[[#This Row],[Order_Date]],"MMM")</f>
        <v>Nov</v>
      </c>
      <c r="M932" s="5" t="str">
        <f>IF(Table1[[#This Row],[Profit]]&gt;=1000,"Excellent",IF(Table1[[#This Row],[Profit]]&gt;=500,"Good", IF(Table1[[#This Row],[Profit]]&lt;500,"Low")))</f>
        <v>Low</v>
      </c>
      <c r="N932" s="7" t="str">
        <f>TEXT(Table1[[#This Row],[Order_Date]],"YYY")</f>
        <v>2024</v>
      </c>
    </row>
    <row r="933" spans="1:14" x14ac:dyDescent="0.3">
      <c r="A933" s="4">
        <v>45615</v>
      </c>
      <c r="B933" s="5" t="s">
        <v>18</v>
      </c>
      <c r="C933" s="5" t="s">
        <v>1</v>
      </c>
      <c r="D933" s="23">
        <v>897.9</v>
      </c>
      <c r="E933" s="23">
        <v>597.52</v>
      </c>
      <c r="F933" s="23">
        <v>300.38</v>
      </c>
      <c r="G933" s="5" t="s">
        <v>6</v>
      </c>
      <c r="H933" s="5" t="s">
        <v>36</v>
      </c>
      <c r="I933" s="5" t="s">
        <v>27</v>
      </c>
      <c r="J933" s="6">
        <f>Table1[[#This Row],[Profit]]/Table1[[#This Row],[Sales]]</f>
        <v>0.33453613988194675</v>
      </c>
      <c r="K933" s="5" t="str">
        <f t="shared" si="14"/>
        <v>Low</v>
      </c>
      <c r="L933" s="5" t="str">
        <f>TEXT(Table1[[#This Row],[Order_Date]],"MMM")</f>
        <v>Nov</v>
      </c>
      <c r="M933" s="5" t="str">
        <f>IF(Table1[[#This Row],[Profit]]&gt;=1000,"Excellent",IF(Table1[[#This Row],[Profit]]&gt;=500,"Good", IF(Table1[[#This Row],[Profit]]&lt;500,"Low")))</f>
        <v>Low</v>
      </c>
      <c r="N933" s="7" t="str">
        <f>TEXT(Table1[[#This Row],[Order_Date]],"YYY")</f>
        <v>2024</v>
      </c>
    </row>
    <row r="934" spans="1:14" x14ac:dyDescent="0.3">
      <c r="A934" s="4">
        <v>45615</v>
      </c>
      <c r="B934" s="5" t="s">
        <v>0</v>
      </c>
      <c r="C934" s="5" t="s">
        <v>1</v>
      </c>
      <c r="D934" s="23">
        <v>855.25</v>
      </c>
      <c r="E934" s="23">
        <v>432.84</v>
      </c>
      <c r="F934" s="23">
        <v>422.41</v>
      </c>
      <c r="G934" s="5" t="s">
        <v>32</v>
      </c>
      <c r="H934" s="5" t="s">
        <v>29</v>
      </c>
      <c r="I934" s="5" t="s">
        <v>22</v>
      </c>
      <c r="J934" s="6">
        <f>Table1[[#This Row],[Profit]]/Table1[[#This Row],[Sales]]</f>
        <v>0.4939023677287343</v>
      </c>
      <c r="K934" s="5" t="str">
        <f t="shared" si="14"/>
        <v>Low</v>
      </c>
      <c r="L934" s="5" t="str">
        <f>TEXT(Table1[[#This Row],[Order_Date]],"MMM")</f>
        <v>Nov</v>
      </c>
      <c r="M934" s="5" t="str">
        <f>IF(Table1[[#This Row],[Profit]]&gt;=1000,"Excellent",IF(Table1[[#This Row],[Profit]]&gt;=500,"Good", IF(Table1[[#This Row],[Profit]]&lt;500,"Low")))</f>
        <v>Low</v>
      </c>
      <c r="N934" s="7" t="str">
        <f>TEXT(Table1[[#This Row],[Order_Date]],"YYY")</f>
        <v>2024</v>
      </c>
    </row>
    <row r="935" spans="1:14" x14ac:dyDescent="0.3">
      <c r="A935" s="4">
        <v>45615</v>
      </c>
      <c r="B935" s="5" t="s">
        <v>0</v>
      </c>
      <c r="C935" s="5" t="s">
        <v>1</v>
      </c>
      <c r="D935" s="23">
        <v>1090.2</v>
      </c>
      <c r="E935" s="23">
        <v>714.78</v>
      </c>
      <c r="F935" s="23">
        <v>375.42</v>
      </c>
      <c r="G935" s="5" t="s">
        <v>20</v>
      </c>
      <c r="H935" s="5" t="s">
        <v>12</v>
      </c>
      <c r="I935" s="5" t="s">
        <v>4</v>
      </c>
      <c r="J935" s="6">
        <f>Table1[[#This Row],[Profit]]/Table1[[#This Row],[Sales]]</f>
        <v>0.34435883324160704</v>
      </c>
      <c r="K935" s="5" t="str">
        <f t="shared" si="14"/>
        <v>Low</v>
      </c>
      <c r="L935" s="5" t="str">
        <f>TEXT(Table1[[#This Row],[Order_Date]],"MMM")</f>
        <v>Nov</v>
      </c>
      <c r="M935" s="5" t="str">
        <f>IF(Table1[[#This Row],[Profit]]&gt;=1000,"Excellent",IF(Table1[[#This Row],[Profit]]&gt;=500,"Good", IF(Table1[[#This Row],[Profit]]&lt;500,"Low")))</f>
        <v>Low</v>
      </c>
      <c r="N935" s="7" t="str">
        <f>TEXT(Table1[[#This Row],[Order_Date]],"YYY")</f>
        <v>2024</v>
      </c>
    </row>
    <row r="936" spans="1:14" x14ac:dyDescent="0.3">
      <c r="A936" s="4">
        <v>45616</v>
      </c>
      <c r="B936" s="5" t="s">
        <v>0</v>
      </c>
      <c r="C936" s="5" t="s">
        <v>26</v>
      </c>
      <c r="D936" s="23">
        <v>1129.02</v>
      </c>
      <c r="E936" s="23">
        <v>502.66</v>
      </c>
      <c r="F936" s="23">
        <v>626.36</v>
      </c>
      <c r="G936" s="5" t="s">
        <v>20</v>
      </c>
      <c r="H936" s="5" t="s">
        <v>15</v>
      </c>
      <c r="I936" s="5" t="s">
        <v>11</v>
      </c>
      <c r="J936" s="6">
        <f>Table1[[#This Row],[Profit]]/Table1[[#This Row],[Sales]]</f>
        <v>0.55478202334768212</v>
      </c>
      <c r="K936" s="5" t="str">
        <f t="shared" si="14"/>
        <v>Low</v>
      </c>
      <c r="L936" s="5" t="str">
        <f>TEXT(Table1[[#This Row],[Order_Date]],"MMM")</f>
        <v>Nov</v>
      </c>
      <c r="M936" s="5" t="str">
        <f>IF(Table1[[#This Row],[Profit]]&gt;=1000,"Excellent",IF(Table1[[#This Row],[Profit]]&gt;=500,"Good", IF(Table1[[#This Row],[Profit]]&lt;500,"Low")))</f>
        <v>Good</v>
      </c>
      <c r="N936" s="7" t="str">
        <f>TEXT(Table1[[#This Row],[Order_Date]],"YYY")</f>
        <v>2024</v>
      </c>
    </row>
    <row r="937" spans="1:14" x14ac:dyDescent="0.3">
      <c r="A937" s="4">
        <v>45616</v>
      </c>
      <c r="B937" s="5" t="s">
        <v>18</v>
      </c>
      <c r="C937" s="5" t="s">
        <v>5</v>
      </c>
      <c r="D937" s="23">
        <v>788.22</v>
      </c>
      <c r="E937" s="23">
        <v>367.11</v>
      </c>
      <c r="F937" s="23">
        <v>421.11</v>
      </c>
      <c r="G937" s="5" t="s">
        <v>6</v>
      </c>
      <c r="H937" s="5" t="s">
        <v>15</v>
      </c>
      <c r="I937" s="5" t="s">
        <v>11</v>
      </c>
      <c r="J937" s="6">
        <f>Table1[[#This Row],[Profit]]/Table1[[#This Row],[Sales]]</f>
        <v>0.53425439598081759</v>
      </c>
      <c r="K937" s="5" t="str">
        <f t="shared" si="14"/>
        <v>Low</v>
      </c>
      <c r="L937" s="5" t="str">
        <f>TEXT(Table1[[#This Row],[Order_Date]],"MMM")</f>
        <v>Nov</v>
      </c>
      <c r="M937" s="5" t="str">
        <f>IF(Table1[[#This Row],[Profit]]&gt;=1000,"Excellent",IF(Table1[[#This Row],[Profit]]&gt;=500,"Good", IF(Table1[[#This Row],[Profit]]&lt;500,"Low")))</f>
        <v>Low</v>
      </c>
      <c r="N937" s="7" t="str">
        <f>TEXT(Table1[[#This Row],[Order_Date]],"YYY")</f>
        <v>2024</v>
      </c>
    </row>
    <row r="938" spans="1:14" x14ac:dyDescent="0.3">
      <c r="A938" s="4">
        <v>45617</v>
      </c>
      <c r="B938" s="5" t="s">
        <v>16</v>
      </c>
      <c r="C938" s="5" t="s">
        <v>31</v>
      </c>
      <c r="D938" s="23">
        <v>203.58</v>
      </c>
      <c r="E938" s="23">
        <v>70.28</v>
      </c>
      <c r="F938" s="23">
        <v>133.30000000000001</v>
      </c>
      <c r="G938" s="5" t="s">
        <v>2</v>
      </c>
      <c r="H938" s="5" t="s">
        <v>34</v>
      </c>
      <c r="I938" s="5" t="s">
        <v>11</v>
      </c>
      <c r="J938" s="6">
        <f>Table1[[#This Row],[Profit]]/Table1[[#This Row],[Sales]]</f>
        <v>0.65477944788289622</v>
      </c>
      <c r="K938" s="5" t="str">
        <f t="shared" si="14"/>
        <v>Low</v>
      </c>
      <c r="L938" s="5" t="str">
        <f>TEXT(Table1[[#This Row],[Order_Date]],"MMM")</f>
        <v>Nov</v>
      </c>
      <c r="M938" s="5" t="str">
        <f>IF(Table1[[#This Row],[Profit]]&gt;=1000,"Excellent",IF(Table1[[#This Row],[Profit]]&gt;=500,"Good", IF(Table1[[#This Row],[Profit]]&lt;500,"Low")))</f>
        <v>Low</v>
      </c>
      <c r="N938" s="7" t="str">
        <f>TEXT(Table1[[#This Row],[Order_Date]],"YYY")</f>
        <v>2024</v>
      </c>
    </row>
    <row r="939" spans="1:14" x14ac:dyDescent="0.3">
      <c r="A939" s="4">
        <v>45618</v>
      </c>
      <c r="B939" s="5" t="s">
        <v>16</v>
      </c>
      <c r="C939" s="5" t="s">
        <v>19</v>
      </c>
      <c r="D939" s="23">
        <v>10.76</v>
      </c>
      <c r="E939" s="23">
        <v>4.6399999999999997</v>
      </c>
      <c r="F939" s="23">
        <v>6.12</v>
      </c>
      <c r="G939" s="5" t="s">
        <v>20</v>
      </c>
      <c r="H939" s="5" t="s">
        <v>3</v>
      </c>
      <c r="I939" s="5" t="s">
        <v>4</v>
      </c>
      <c r="J939" s="6">
        <f>Table1[[#This Row],[Profit]]/Table1[[#This Row],[Sales]]</f>
        <v>0.56877323420074355</v>
      </c>
      <c r="K939" s="5" t="str">
        <f t="shared" si="14"/>
        <v>Low</v>
      </c>
      <c r="L939" s="5" t="str">
        <f>TEXT(Table1[[#This Row],[Order_Date]],"MMM")</f>
        <v>Nov</v>
      </c>
      <c r="M939" s="5" t="str">
        <f>IF(Table1[[#This Row],[Profit]]&gt;=1000,"Excellent",IF(Table1[[#This Row],[Profit]]&gt;=500,"Good", IF(Table1[[#This Row],[Profit]]&lt;500,"Low")))</f>
        <v>Low</v>
      </c>
      <c r="N939" s="7" t="str">
        <f>TEXT(Table1[[#This Row],[Order_Date]],"YYY")</f>
        <v>2024</v>
      </c>
    </row>
    <row r="940" spans="1:14" x14ac:dyDescent="0.3">
      <c r="A940" s="4">
        <v>45618</v>
      </c>
      <c r="B940" s="5" t="s">
        <v>18</v>
      </c>
      <c r="C940" s="5" t="s">
        <v>1</v>
      </c>
      <c r="D940" s="23">
        <v>186.74</v>
      </c>
      <c r="E940" s="23">
        <v>115.37</v>
      </c>
      <c r="F940" s="23">
        <v>71.37</v>
      </c>
      <c r="G940" s="5" t="s">
        <v>6</v>
      </c>
      <c r="H940" s="5" t="s">
        <v>7</v>
      </c>
      <c r="I940" s="5" t="s">
        <v>11</v>
      </c>
      <c r="J940" s="6">
        <f>Table1[[#This Row],[Profit]]/Table1[[#This Row],[Sales]]</f>
        <v>0.38218913998072185</v>
      </c>
      <c r="K940" s="5" t="str">
        <f t="shared" si="14"/>
        <v>Low</v>
      </c>
      <c r="L940" s="5" t="str">
        <f>TEXT(Table1[[#This Row],[Order_Date]],"MMM")</f>
        <v>Nov</v>
      </c>
      <c r="M940" s="5" t="str">
        <f>IF(Table1[[#This Row],[Profit]]&gt;=1000,"Excellent",IF(Table1[[#This Row],[Profit]]&gt;=500,"Good", IF(Table1[[#This Row],[Profit]]&lt;500,"Low")))</f>
        <v>Low</v>
      </c>
      <c r="N940" s="7" t="str">
        <f>TEXT(Table1[[#This Row],[Order_Date]],"YYY")</f>
        <v>2024</v>
      </c>
    </row>
    <row r="941" spans="1:14" x14ac:dyDescent="0.3">
      <c r="A941" s="4">
        <v>45619</v>
      </c>
      <c r="B941" s="5" t="s">
        <v>16</v>
      </c>
      <c r="C941" s="5" t="s">
        <v>19</v>
      </c>
      <c r="D941" s="23">
        <v>23.67</v>
      </c>
      <c r="E941" s="23">
        <v>5.31</v>
      </c>
      <c r="F941" s="23">
        <v>18.36</v>
      </c>
      <c r="G941" s="5" t="s">
        <v>20</v>
      </c>
      <c r="H941" s="5" t="s">
        <v>33</v>
      </c>
      <c r="I941" s="5" t="s">
        <v>17</v>
      </c>
      <c r="J941" s="6">
        <f>Table1[[#This Row],[Profit]]/Table1[[#This Row],[Sales]]</f>
        <v>0.7756653992395437</v>
      </c>
      <c r="K941" s="5" t="str">
        <f t="shared" si="14"/>
        <v>Low</v>
      </c>
      <c r="L941" s="5" t="str">
        <f>TEXT(Table1[[#This Row],[Order_Date]],"MMM")</f>
        <v>Nov</v>
      </c>
      <c r="M941" s="5" t="str">
        <f>IF(Table1[[#This Row],[Profit]]&gt;=1000,"Excellent",IF(Table1[[#This Row],[Profit]]&gt;=500,"Good", IF(Table1[[#This Row],[Profit]]&lt;500,"Low")))</f>
        <v>Low</v>
      </c>
      <c r="N941" s="7" t="str">
        <f>TEXT(Table1[[#This Row],[Order_Date]],"YYY")</f>
        <v>2024</v>
      </c>
    </row>
    <row r="942" spans="1:14" x14ac:dyDescent="0.3">
      <c r="A942" s="4">
        <v>45620</v>
      </c>
      <c r="B942" s="5" t="s">
        <v>8</v>
      </c>
      <c r="C942" s="5" t="s">
        <v>5</v>
      </c>
      <c r="D942" s="23">
        <v>399.09</v>
      </c>
      <c r="E942" s="23">
        <v>190.77</v>
      </c>
      <c r="F942" s="23">
        <v>208.32</v>
      </c>
      <c r="G942" s="5" t="s">
        <v>20</v>
      </c>
      <c r="H942" s="5" t="s">
        <v>21</v>
      </c>
      <c r="I942" s="5" t="s">
        <v>25</v>
      </c>
      <c r="J942" s="6">
        <f>Table1[[#This Row],[Profit]]/Table1[[#This Row],[Sales]]</f>
        <v>0.52198752161166651</v>
      </c>
      <c r="K942" s="5" t="str">
        <f t="shared" si="14"/>
        <v>Low</v>
      </c>
      <c r="L942" s="5" t="str">
        <f>TEXT(Table1[[#This Row],[Order_Date]],"MMM")</f>
        <v>Nov</v>
      </c>
      <c r="M942" s="5" t="str">
        <f>IF(Table1[[#This Row],[Profit]]&gt;=1000,"Excellent",IF(Table1[[#This Row],[Profit]]&gt;=500,"Good", IF(Table1[[#This Row],[Profit]]&lt;500,"Low")))</f>
        <v>Low</v>
      </c>
      <c r="N942" s="7" t="str">
        <f>TEXT(Table1[[#This Row],[Order_Date]],"YYY")</f>
        <v>2024</v>
      </c>
    </row>
    <row r="943" spans="1:14" x14ac:dyDescent="0.3">
      <c r="A943" s="4">
        <v>45620</v>
      </c>
      <c r="B943" s="5" t="s">
        <v>0</v>
      </c>
      <c r="C943" s="5" t="s">
        <v>26</v>
      </c>
      <c r="D943" s="23">
        <v>647.42999999999995</v>
      </c>
      <c r="E943" s="23">
        <v>183.52</v>
      </c>
      <c r="F943" s="23">
        <v>463.91</v>
      </c>
      <c r="G943" s="5" t="s">
        <v>2</v>
      </c>
      <c r="H943" s="5" t="s">
        <v>21</v>
      </c>
      <c r="I943" s="5" t="s">
        <v>25</v>
      </c>
      <c r="J943" s="6">
        <f>Table1[[#This Row],[Profit]]/Table1[[#This Row],[Sales]]</f>
        <v>0.71654078433189694</v>
      </c>
      <c r="K943" s="5" t="str">
        <f t="shared" si="14"/>
        <v>Low</v>
      </c>
      <c r="L943" s="5" t="str">
        <f>TEXT(Table1[[#This Row],[Order_Date]],"MMM")</f>
        <v>Nov</v>
      </c>
      <c r="M943" s="5" t="str">
        <f>IF(Table1[[#This Row],[Profit]]&gt;=1000,"Excellent",IF(Table1[[#This Row],[Profit]]&gt;=500,"Good", IF(Table1[[#This Row],[Profit]]&lt;500,"Low")))</f>
        <v>Low</v>
      </c>
      <c r="N943" s="7" t="str">
        <f>TEXT(Table1[[#This Row],[Order_Date]],"YYY")</f>
        <v>2024</v>
      </c>
    </row>
    <row r="944" spans="1:14" x14ac:dyDescent="0.3">
      <c r="A944" s="4">
        <v>45620</v>
      </c>
      <c r="B944" s="5" t="s">
        <v>8</v>
      </c>
      <c r="C944" s="5" t="s">
        <v>5</v>
      </c>
      <c r="D944" s="23">
        <v>1899.8</v>
      </c>
      <c r="E944" s="23">
        <v>640.99</v>
      </c>
      <c r="F944" s="23">
        <v>1258.81</v>
      </c>
      <c r="G944" s="5" t="s">
        <v>2</v>
      </c>
      <c r="H944" s="5" t="s">
        <v>7</v>
      </c>
      <c r="I944" s="5" t="s">
        <v>17</v>
      </c>
      <c r="J944" s="6">
        <f>Table1[[#This Row],[Profit]]/Table1[[#This Row],[Sales]]</f>
        <v>0.66260132645541636</v>
      </c>
      <c r="K944" s="5" t="str">
        <f t="shared" si="14"/>
        <v>Medium</v>
      </c>
      <c r="L944" s="5" t="str">
        <f>TEXT(Table1[[#This Row],[Order_Date]],"MMM")</f>
        <v>Nov</v>
      </c>
      <c r="M944" s="5" t="str">
        <f>IF(Table1[[#This Row],[Profit]]&gt;=1000,"Excellent",IF(Table1[[#This Row],[Profit]]&gt;=500,"Good", IF(Table1[[#This Row],[Profit]]&lt;500,"Low")))</f>
        <v>Excellent</v>
      </c>
      <c r="N944" s="7" t="str">
        <f>TEXT(Table1[[#This Row],[Order_Date]],"YYY")</f>
        <v>2024</v>
      </c>
    </row>
    <row r="945" spans="1:14" x14ac:dyDescent="0.3">
      <c r="A945" s="4">
        <v>45621</v>
      </c>
      <c r="B945" s="5" t="s">
        <v>0</v>
      </c>
      <c r="C945" s="5" t="s">
        <v>26</v>
      </c>
      <c r="D945" s="23">
        <v>203.14</v>
      </c>
      <c r="E945" s="23">
        <v>53</v>
      </c>
      <c r="F945" s="23">
        <v>150.13999999999999</v>
      </c>
      <c r="G945" s="5" t="s">
        <v>20</v>
      </c>
      <c r="H945" s="5" t="s">
        <v>21</v>
      </c>
      <c r="I945" s="5" t="s">
        <v>22</v>
      </c>
      <c r="J945" s="6">
        <f>Table1[[#This Row],[Profit]]/Table1[[#This Row],[Sales]]</f>
        <v>0.73909618981982872</v>
      </c>
      <c r="K945" s="5" t="str">
        <f t="shared" si="14"/>
        <v>Low</v>
      </c>
      <c r="L945" s="5" t="str">
        <f>TEXT(Table1[[#This Row],[Order_Date]],"MMM")</f>
        <v>Nov</v>
      </c>
      <c r="M945" s="5" t="str">
        <f>IF(Table1[[#This Row],[Profit]]&gt;=1000,"Excellent",IF(Table1[[#This Row],[Profit]]&gt;=500,"Good", IF(Table1[[#This Row],[Profit]]&lt;500,"Low")))</f>
        <v>Low</v>
      </c>
      <c r="N945" s="7" t="str">
        <f>TEXT(Table1[[#This Row],[Order_Date]],"YYY")</f>
        <v>2024</v>
      </c>
    </row>
    <row r="946" spans="1:14" x14ac:dyDescent="0.3">
      <c r="A946" s="4">
        <v>45621</v>
      </c>
      <c r="B946" s="5" t="s">
        <v>13</v>
      </c>
      <c r="C946" s="5" t="s">
        <v>1</v>
      </c>
      <c r="D946" s="23">
        <v>172.16</v>
      </c>
      <c r="E946" s="23">
        <v>96.69</v>
      </c>
      <c r="F946" s="23">
        <v>75.47</v>
      </c>
      <c r="G946" s="5" t="s">
        <v>20</v>
      </c>
      <c r="H946" s="5" t="s">
        <v>33</v>
      </c>
      <c r="I946" s="5" t="s">
        <v>4</v>
      </c>
      <c r="J946" s="6">
        <f>Table1[[#This Row],[Profit]]/Table1[[#This Row],[Sales]]</f>
        <v>0.43837128252788105</v>
      </c>
      <c r="K946" s="5" t="str">
        <f t="shared" si="14"/>
        <v>Low</v>
      </c>
      <c r="L946" s="5" t="str">
        <f>TEXT(Table1[[#This Row],[Order_Date]],"MMM")</f>
        <v>Nov</v>
      </c>
      <c r="M946" s="5" t="str">
        <f>IF(Table1[[#This Row],[Profit]]&gt;=1000,"Excellent",IF(Table1[[#This Row],[Profit]]&gt;=500,"Good", IF(Table1[[#This Row],[Profit]]&lt;500,"Low")))</f>
        <v>Low</v>
      </c>
      <c r="N946" s="7" t="str">
        <f>TEXT(Table1[[#This Row],[Order_Date]],"YYY")</f>
        <v>2024</v>
      </c>
    </row>
    <row r="947" spans="1:14" x14ac:dyDescent="0.3">
      <c r="A947" s="4">
        <v>45622</v>
      </c>
      <c r="B947" s="5" t="s">
        <v>13</v>
      </c>
      <c r="C947" s="5" t="s">
        <v>31</v>
      </c>
      <c r="D947" s="23">
        <v>238.34</v>
      </c>
      <c r="E947" s="23">
        <v>90.18</v>
      </c>
      <c r="F947" s="23">
        <v>148.16</v>
      </c>
      <c r="G947" s="5" t="s">
        <v>32</v>
      </c>
      <c r="H947" s="5" t="s">
        <v>35</v>
      </c>
      <c r="I947" s="5" t="s">
        <v>17</v>
      </c>
      <c r="J947" s="6">
        <f>Table1[[#This Row],[Profit]]/Table1[[#This Row],[Sales]]</f>
        <v>0.6216329613157674</v>
      </c>
      <c r="K947" s="5" t="str">
        <f t="shared" si="14"/>
        <v>Low</v>
      </c>
      <c r="L947" s="5" t="str">
        <f>TEXT(Table1[[#This Row],[Order_Date]],"MMM")</f>
        <v>Nov</v>
      </c>
      <c r="M947" s="5" t="str">
        <f>IF(Table1[[#This Row],[Profit]]&gt;=1000,"Excellent",IF(Table1[[#This Row],[Profit]]&gt;=500,"Good", IF(Table1[[#This Row],[Profit]]&lt;500,"Low")))</f>
        <v>Low</v>
      </c>
      <c r="N947" s="7" t="str">
        <f>TEXT(Table1[[#This Row],[Order_Date]],"YYY")</f>
        <v>2024</v>
      </c>
    </row>
    <row r="948" spans="1:14" x14ac:dyDescent="0.3">
      <c r="A948" s="4">
        <v>45622</v>
      </c>
      <c r="B948" s="5" t="s">
        <v>13</v>
      </c>
      <c r="C948" s="5" t="s">
        <v>14</v>
      </c>
      <c r="D948" s="23">
        <v>215.11</v>
      </c>
      <c r="E948" s="23">
        <v>81.89</v>
      </c>
      <c r="F948" s="23">
        <v>133.22</v>
      </c>
      <c r="G948" s="5" t="s">
        <v>6</v>
      </c>
      <c r="H948" s="5" t="s">
        <v>35</v>
      </c>
      <c r="I948" s="5" t="s">
        <v>22</v>
      </c>
      <c r="J948" s="6">
        <f>Table1[[#This Row],[Profit]]/Table1[[#This Row],[Sales]]</f>
        <v>0.61931105016038301</v>
      </c>
      <c r="K948" s="5" t="str">
        <f t="shared" si="14"/>
        <v>Low</v>
      </c>
      <c r="L948" s="5" t="str">
        <f>TEXT(Table1[[#This Row],[Order_Date]],"MMM")</f>
        <v>Nov</v>
      </c>
      <c r="M948" s="5" t="str">
        <f>IF(Table1[[#This Row],[Profit]]&gt;=1000,"Excellent",IF(Table1[[#This Row],[Profit]]&gt;=500,"Good", IF(Table1[[#This Row],[Profit]]&lt;500,"Low")))</f>
        <v>Low</v>
      </c>
      <c r="N948" s="7" t="str">
        <f>TEXT(Table1[[#This Row],[Order_Date]],"YYY")</f>
        <v>2024</v>
      </c>
    </row>
    <row r="949" spans="1:14" x14ac:dyDescent="0.3">
      <c r="A949" s="4">
        <v>45623</v>
      </c>
      <c r="B949" s="5" t="s">
        <v>0</v>
      </c>
      <c r="C949" s="5" t="s">
        <v>1</v>
      </c>
      <c r="D949" s="23">
        <v>1321.63</v>
      </c>
      <c r="E949" s="23">
        <v>822.02</v>
      </c>
      <c r="F949" s="23">
        <v>499.61</v>
      </c>
      <c r="G949" s="5" t="s">
        <v>32</v>
      </c>
      <c r="H949" s="5" t="s">
        <v>21</v>
      </c>
      <c r="I949" s="5" t="s">
        <v>4</v>
      </c>
      <c r="J949" s="6">
        <f>Table1[[#This Row],[Profit]]/Table1[[#This Row],[Sales]]</f>
        <v>0.37802561987848338</v>
      </c>
      <c r="K949" s="5" t="str">
        <f t="shared" si="14"/>
        <v>Low</v>
      </c>
      <c r="L949" s="5" t="str">
        <f>TEXT(Table1[[#This Row],[Order_Date]],"MMM")</f>
        <v>Nov</v>
      </c>
      <c r="M949" s="5" t="str">
        <f>IF(Table1[[#This Row],[Profit]]&gt;=1000,"Excellent",IF(Table1[[#This Row],[Profit]]&gt;=500,"Good", IF(Table1[[#This Row],[Profit]]&lt;500,"Low")))</f>
        <v>Low</v>
      </c>
      <c r="N949" s="7" t="str">
        <f>TEXT(Table1[[#This Row],[Order_Date]],"YYY")</f>
        <v>2024</v>
      </c>
    </row>
    <row r="950" spans="1:14" x14ac:dyDescent="0.3">
      <c r="A950" s="4">
        <v>45623</v>
      </c>
      <c r="B950" s="5" t="s">
        <v>16</v>
      </c>
      <c r="C950" s="5" t="s">
        <v>1</v>
      </c>
      <c r="D950" s="23">
        <v>1423.88</v>
      </c>
      <c r="E950" s="23">
        <v>797.93</v>
      </c>
      <c r="F950" s="23">
        <v>625.95000000000005</v>
      </c>
      <c r="G950" s="5" t="s">
        <v>20</v>
      </c>
      <c r="H950" s="5" t="s">
        <v>21</v>
      </c>
      <c r="I950" s="5" t="s">
        <v>11</v>
      </c>
      <c r="J950" s="6">
        <f>Table1[[#This Row],[Profit]]/Table1[[#This Row],[Sales]]</f>
        <v>0.43960867488833327</v>
      </c>
      <c r="K950" s="5" t="str">
        <f t="shared" si="14"/>
        <v>Low</v>
      </c>
      <c r="L950" s="5" t="str">
        <f>TEXT(Table1[[#This Row],[Order_Date]],"MMM")</f>
        <v>Nov</v>
      </c>
      <c r="M950" s="5" t="str">
        <f>IF(Table1[[#This Row],[Profit]]&gt;=1000,"Excellent",IF(Table1[[#This Row],[Profit]]&gt;=500,"Good", IF(Table1[[#This Row],[Profit]]&lt;500,"Low")))</f>
        <v>Good</v>
      </c>
      <c r="N950" s="7" t="str">
        <f>TEXT(Table1[[#This Row],[Order_Date]],"YYY")</f>
        <v>2024</v>
      </c>
    </row>
    <row r="951" spans="1:14" x14ac:dyDescent="0.3">
      <c r="A951" s="4">
        <v>45623</v>
      </c>
      <c r="B951" s="5" t="s">
        <v>16</v>
      </c>
      <c r="C951" s="5" t="s">
        <v>14</v>
      </c>
      <c r="D951" s="23">
        <v>132.28</v>
      </c>
      <c r="E951" s="23">
        <v>71.180000000000007</v>
      </c>
      <c r="F951" s="23">
        <v>61.1</v>
      </c>
      <c r="G951" s="5" t="s">
        <v>32</v>
      </c>
      <c r="H951" s="5" t="s">
        <v>10</v>
      </c>
      <c r="I951" s="5" t="s">
        <v>25</v>
      </c>
      <c r="J951" s="6">
        <f>Table1[[#This Row],[Profit]]/Table1[[#This Row],[Sales]]</f>
        <v>0.46189900211672213</v>
      </c>
      <c r="K951" s="5" t="str">
        <f t="shared" si="14"/>
        <v>Low</v>
      </c>
      <c r="L951" s="5" t="str">
        <f>TEXT(Table1[[#This Row],[Order_Date]],"MMM")</f>
        <v>Nov</v>
      </c>
      <c r="M951" s="5" t="str">
        <f>IF(Table1[[#This Row],[Profit]]&gt;=1000,"Excellent",IF(Table1[[#This Row],[Profit]]&gt;=500,"Good", IF(Table1[[#This Row],[Profit]]&lt;500,"Low")))</f>
        <v>Low</v>
      </c>
      <c r="N951" s="7" t="str">
        <f>TEXT(Table1[[#This Row],[Order_Date]],"YYY")</f>
        <v>2024</v>
      </c>
    </row>
    <row r="952" spans="1:14" x14ac:dyDescent="0.3">
      <c r="A952" s="4">
        <v>45623</v>
      </c>
      <c r="B952" s="5" t="s">
        <v>8</v>
      </c>
      <c r="C952" s="5" t="s">
        <v>26</v>
      </c>
      <c r="D952" s="23">
        <v>1037.76</v>
      </c>
      <c r="E952" s="23">
        <v>310.26</v>
      </c>
      <c r="F952" s="23">
        <v>727.5</v>
      </c>
      <c r="G952" s="5" t="s">
        <v>20</v>
      </c>
      <c r="H952" s="5" t="s">
        <v>30</v>
      </c>
      <c r="I952" s="5" t="s">
        <v>4</v>
      </c>
      <c r="J952" s="6">
        <f>Table1[[#This Row],[Profit]]/Table1[[#This Row],[Sales]]</f>
        <v>0.70102913968547642</v>
      </c>
      <c r="K952" s="5" t="str">
        <f t="shared" si="14"/>
        <v>Low</v>
      </c>
      <c r="L952" s="5" t="str">
        <f>TEXT(Table1[[#This Row],[Order_Date]],"MMM")</f>
        <v>Nov</v>
      </c>
      <c r="M952" s="5" t="str">
        <f>IF(Table1[[#This Row],[Profit]]&gt;=1000,"Excellent",IF(Table1[[#This Row],[Profit]]&gt;=500,"Good", IF(Table1[[#This Row],[Profit]]&lt;500,"Low")))</f>
        <v>Good</v>
      </c>
      <c r="N952" s="7" t="str">
        <f>TEXT(Table1[[#This Row],[Order_Date]],"YYY")</f>
        <v>2024</v>
      </c>
    </row>
    <row r="953" spans="1:14" x14ac:dyDescent="0.3">
      <c r="A953" s="4">
        <v>45624</v>
      </c>
      <c r="B953" s="5" t="s">
        <v>8</v>
      </c>
      <c r="C953" s="5" t="s">
        <v>14</v>
      </c>
      <c r="D953" s="23">
        <v>39.21</v>
      </c>
      <c r="E953" s="23">
        <v>18.03</v>
      </c>
      <c r="F953" s="23">
        <v>21.18</v>
      </c>
      <c r="G953" s="5" t="s">
        <v>9</v>
      </c>
      <c r="H953" s="5" t="s">
        <v>12</v>
      </c>
      <c r="I953" s="5" t="s">
        <v>27</v>
      </c>
      <c r="J953" s="6">
        <f>Table1[[#This Row],[Profit]]/Table1[[#This Row],[Sales]]</f>
        <v>0.54016832440703899</v>
      </c>
      <c r="K953" s="5" t="str">
        <f t="shared" si="14"/>
        <v>Low</v>
      </c>
      <c r="L953" s="5" t="str">
        <f>TEXT(Table1[[#This Row],[Order_Date]],"MMM")</f>
        <v>Nov</v>
      </c>
      <c r="M953" s="5" t="str">
        <f>IF(Table1[[#This Row],[Profit]]&gt;=1000,"Excellent",IF(Table1[[#This Row],[Profit]]&gt;=500,"Good", IF(Table1[[#This Row],[Profit]]&lt;500,"Low")))</f>
        <v>Low</v>
      </c>
      <c r="N953" s="7" t="str">
        <f>TEXT(Table1[[#This Row],[Order_Date]],"YYY")</f>
        <v>2024</v>
      </c>
    </row>
    <row r="954" spans="1:14" x14ac:dyDescent="0.3">
      <c r="A954" s="4">
        <v>45625</v>
      </c>
      <c r="B954" s="5" t="s">
        <v>13</v>
      </c>
      <c r="C954" s="5" t="s">
        <v>31</v>
      </c>
      <c r="D954" s="23">
        <v>68</v>
      </c>
      <c r="E954" s="23">
        <v>26.98</v>
      </c>
      <c r="F954" s="23">
        <v>41.02</v>
      </c>
      <c r="G954" s="5" t="s">
        <v>32</v>
      </c>
      <c r="H954" s="5" t="s">
        <v>24</v>
      </c>
      <c r="I954" s="5" t="s">
        <v>27</v>
      </c>
      <c r="J954" s="6">
        <f>Table1[[#This Row],[Profit]]/Table1[[#This Row],[Sales]]</f>
        <v>0.60323529411764709</v>
      </c>
      <c r="K954" s="5" t="str">
        <f t="shared" si="14"/>
        <v>Low</v>
      </c>
      <c r="L954" s="5" t="str">
        <f>TEXT(Table1[[#This Row],[Order_Date]],"MMM")</f>
        <v>Nov</v>
      </c>
      <c r="M954" s="5" t="str">
        <f>IF(Table1[[#This Row],[Profit]]&gt;=1000,"Excellent",IF(Table1[[#This Row],[Profit]]&gt;=500,"Good", IF(Table1[[#This Row],[Profit]]&lt;500,"Low")))</f>
        <v>Low</v>
      </c>
      <c r="N954" s="7" t="str">
        <f>TEXT(Table1[[#This Row],[Order_Date]],"YYY")</f>
        <v>2024</v>
      </c>
    </row>
    <row r="955" spans="1:14" x14ac:dyDescent="0.3">
      <c r="A955" s="4">
        <v>45626</v>
      </c>
      <c r="B955" s="5" t="s">
        <v>18</v>
      </c>
      <c r="C955" s="5" t="s">
        <v>14</v>
      </c>
      <c r="D955" s="23">
        <v>234</v>
      </c>
      <c r="E955" s="23">
        <v>83.66</v>
      </c>
      <c r="F955" s="23">
        <v>150.34</v>
      </c>
      <c r="G955" s="5" t="s">
        <v>6</v>
      </c>
      <c r="H955" s="5" t="s">
        <v>36</v>
      </c>
      <c r="I955" s="5" t="s">
        <v>17</v>
      </c>
      <c r="J955" s="6">
        <f>Table1[[#This Row],[Profit]]/Table1[[#This Row],[Sales]]</f>
        <v>0.64247863247863246</v>
      </c>
      <c r="K955" s="5" t="str">
        <f t="shared" si="14"/>
        <v>Low</v>
      </c>
      <c r="L955" s="5" t="str">
        <f>TEXT(Table1[[#This Row],[Order_Date]],"MMM")</f>
        <v>Nov</v>
      </c>
      <c r="M955" s="5" t="str">
        <f>IF(Table1[[#This Row],[Profit]]&gt;=1000,"Excellent",IF(Table1[[#This Row],[Profit]]&gt;=500,"Good", IF(Table1[[#This Row],[Profit]]&lt;500,"Low")))</f>
        <v>Low</v>
      </c>
      <c r="N955" s="7" t="str">
        <f>TEXT(Table1[[#This Row],[Order_Date]],"YYY")</f>
        <v>2024</v>
      </c>
    </row>
    <row r="956" spans="1:14" x14ac:dyDescent="0.3">
      <c r="A956" s="4">
        <v>45626</v>
      </c>
      <c r="B956" s="5" t="s">
        <v>0</v>
      </c>
      <c r="C956" s="5" t="s">
        <v>31</v>
      </c>
      <c r="D956" s="23">
        <v>209.25</v>
      </c>
      <c r="E956" s="23">
        <v>46.57</v>
      </c>
      <c r="F956" s="23">
        <v>162.68</v>
      </c>
      <c r="G956" s="5" t="s">
        <v>6</v>
      </c>
      <c r="H956" s="5" t="s">
        <v>21</v>
      </c>
      <c r="I956" s="5" t="s">
        <v>25</v>
      </c>
      <c r="J956" s="6">
        <f>Table1[[#This Row],[Profit]]/Table1[[#This Row],[Sales]]</f>
        <v>0.77744324970131429</v>
      </c>
      <c r="K956" s="5" t="str">
        <f t="shared" si="14"/>
        <v>Low</v>
      </c>
      <c r="L956" s="5" t="str">
        <f>TEXT(Table1[[#This Row],[Order_Date]],"MMM")</f>
        <v>Nov</v>
      </c>
      <c r="M956" s="5" t="str">
        <f>IF(Table1[[#This Row],[Profit]]&gt;=1000,"Excellent",IF(Table1[[#This Row],[Profit]]&gt;=500,"Good", IF(Table1[[#This Row],[Profit]]&lt;500,"Low")))</f>
        <v>Low</v>
      </c>
      <c r="N956" s="7" t="str">
        <f>TEXT(Table1[[#This Row],[Order_Date]],"YYY")</f>
        <v>2024</v>
      </c>
    </row>
    <row r="957" spans="1:14" x14ac:dyDescent="0.3">
      <c r="A957" s="4">
        <v>45627</v>
      </c>
      <c r="B957" s="5" t="s">
        <v>0</v>
      </c>
      <c r="C957" s="5" t="s">
        <v>26</v>
      </c>
      <c r="D957" s="23">
        <v>844.11</v>
      </c>
      <c r="E957" s="23">
        <v>375.5</v>
      </c>
      <c r="F957" s="23">
        <v>468.61</v>
      </c>
      <c r="G957" s="5" t="s">
        <v>32</v>
      </c>
      <c r="H957" s="5" t="s">
        <v>15</v>
      </c>
      <c r="I957" s="5" t="s">
        <v>22</v>
      </c>
      <c r="J957" s="6">
        <f>Table1[[#This Row],[Profit]]/Table1[[#This Row],[Sales]]</f>
        <v>0.55515276445013095</v>
      </c>
      <c r="K957" s="5" t="str">
        <f t="shared" si="14"/>
        <v>Low</v>
      </c>
      <c r="L957" s="5" t="str">
        <f>TEXT(Table1[[#This Row],[Order_Date]],"MMM")</f>
        <v>Dec</v>
      </c>
      <c r="M957" s="5" t="str">
        <f>IF(Table1[[#This Row],[Profit]]&gt;=1000,"Excellent",IF(Table1[[#This Row],[Profit]]&gt;=500,"Good", IF(Table1[[#This Row],[Profit]]&lt;500,"Low")))</f>
        <v>Low</v>
      </c>
      <c r="N957" s="7" t="str">
        <f>TEXT(Table1[[#This Row],[Order_Date]],"YYY")</f>
        <v>2024</v>
      </c>
    </row>
    <row r="958" spans="1:14" x14ac:dyDescent="0.3">
      <c r="A958" s="4">
        <v>45627</v>
      </c>
      <c r="B958" s="5" t="s">
        <v>8</v>
      </c>
      <c r="C958" s="5" t="s">
        <v>1</v>
      </c>
      <c r="D958" s="23">
        <v>1379.85</v>
      </c>
      <c r="E958" s="23">
        <v>853.05</v>
      </c>
      <c r="F958" s="23">
        <v>526.79999999999995</v>
      </c>
      <c r="G958" s="5" t="s">
        <v>2</v>
      </c>
      <c r="H958" s="5" t="s">
        <v>29</v>
      </c>
      <c r="I958" s="5" t="s">
        <v>17</v>
      </c>
      <c r="J958" s="6">
        <f>Table1[[#This Row],[Profit]]/Table1[[#This Row],[Sales]]</f>
        <v>0.38178062832916621</v>
      </c>
      <c r="K958" s="5" t="str">
        <f t="shared" si="14"/>
        <v>Low</v>
      </c>
      <c r="L958" s="5" t="str">
        <f>TEXT(Table1[[#This Row],[Order_Date]],"MMM")</f>
        <v>Dec</v>
      </c>
      <c r="M958" s="5" t="str">
        <f>IF(Table1[[#This Row],[Profit]]&gt;=1000,"Excellent",IF(Table1[[#This Row],[Profit]]&gt;=500,"Good", IF(Table1[[#This Row],[Profit]]&lt;500,"Low")))</f>
        <v>Good</v>
      </c>
      <c r="N958" s="7" t="str">
        <f>TEXT(Table1[[#This Row],[Order_Date]],"YYY")</f>
        <v>2024</v>
      </c>
    </row>
    <row r="959" spans="1:14" x14ac:dyDescent="0.3">
      <c r="A959" s="4">
        <v>45627</v>
      </c>
      <c r="B959" s="5" t="s">
        <v>16</v>
      </c>
      <c r="C959" s="5" t="s">
        <v>26</v>
      </c>
      <c r="D959" s="23">
        <v>280.52</v>
      </c>
      <c r="E959" s="23">
        <v>94.34</v>
      </c>
      <c r="F959" s="23">
        <v>186.18</v>
      </c>
      <c r="G959" s="5" t="s">
        <v>6</v>
      </c>
      <c r="H959" s="5" t="s">
        <v>35</v>
      </c>
      <c r="I959" s="5" t="s">
        <v>27</v>
      </c>
      <c r="J959" s="6">
        <f>Table1[[#This Row],[Profit]]/Table1[[#This Row],[Sales]]</f>
        <v>0.66369599315556826</v>
      </c>
      <c r="K959" s="5" t="str">
        <f t="shared" si="14"/>
        <v>Low</v>
      </c>
      <c r="L959" s="5" t="str">
        <f>TEXT(Table1[[#This Row],[Order_Date]],"MMM")</f>
        <v>Dec</v>
      </c>
      <c r="M959" s="5" t="str">
        <f>IF(Table1[[#This Row],[Profit]]&gt;=1000,"Excellent",IF(Table1[[#This Row],[Profit]]&gt;=500,"Good", IF(Table1[[#This Row],[Profit]]&lt;500,"Low")))</f>
        <v>Low</v>
      </c>
      <c r="N959" s="7" t="str">
        <f>TEXT(Table1[[#This Row],[Order_Date]],"YYY")</f>
        <v>2024</v>
      </c>
    </row>
    <row r="960" spans="1:14" x14ac:dyDescent="0.3">
      <c r="A960" s="4">
        <v>45629</v>
      </c>
      <c r="B960" s="5" t="s">
        <v>16</v>
      </c>
      <c r="C960" s="5" t="s">
        <v>26</v>
      </c>
      <c r="D960" s="23">
        <v>753.71</v>
      </c>
      <c r="E960" s="23">
        <v>304.85000000000002</v>
      </c>
      <c r="F960" s="23">
        <v>448.86</v>
      </c>
      <c r="G960" s="5" t="s">
        <v>6</v>
      </c>
      <c r="H960" s="5" t="s">
        <v>21</v>
      </c>
      <c r="I960" s="5" t="s">
        <v>17</v>
      </c>
      <c r="J960" s="6">
        <f>Table1[[#This Row],[Profit]]/Table1[[#This Row],[Sales]]</f>
        <v>0.5955340913613989</v>
      </c>
      <c r="K960" s="5" t="str">
        <f t="shared" si="14"/>
        <v>Low</v>
      </c>
      <c r="L960" s="5" t="str">
        <f>TEXT(Table1[[#This Row],[Order_Date]],"MMM")</f>
        <v>Dec</v>
      </c>
      <c r="M960" s="5" t="str">
        <f>IF(Table1[[#This Row],[Profit]]&gt;=1000,"Excellent",IF(Table1[[#This Row],[Profit]]&gt;=500,"Good", IF(Table1[[#This Row],[Profit]]&lt;500,"Low")))</f>
        <v>Low</v>
      </c>
      <c r="N960" s="7" t="str">
        <f>TEXT(Table1[[#This Row],[Order_Date]],"YYY")</f>
        <v>2024</v>
      </c>
    </row>
    <row r="961" spans="1:14" x14ac:dyDescent="0.3">
      <c r="A961" s="4">
        <v>45630</v>
      </c>
      <c r="B961" s="5" t="s">
        <v>0</v>
      </c>
      <c r="C961" s="5" t="s">
        <v>19</v>
      </c>
      <c r="D961" s="23">
        <v>45.74</v>
      </c>
      <c r="E961" s="23">
        <v>11.56</v>
      </c>
      <c r="F961" s="23">
        <v>34.18</v>
      </c>
      <c r="G961" s="5" t="s">
        <v>32</v>
      </c>
      <c r="H961" s="5" t="s">
        <v>33</v>
      </c>
      <c r="I961" s="5" t="s">
        <v>25</v>
      </c>
      <c r="J961" s="6">
        <f>Table1[[#This Row],[Profit]]/Table1[[#This Row],[Sales]]</f>
        <v>0.74726716222125056</v>
      </c>
      <c r="K961" s="5" t="str">
        <f t="shared" si="14"/>
        <v>Low</v>
      </c>
      <c r="L961" s="5" t="str">
        <f>TEXT(Table1[[#This Row],[Order_Date]],"MMM")</f>
        <v>Dec</v>
      </c>
      <c r="M961" s="5" t="str">
        <f>IF(Table1[[#This Row],[Profit]]&gt;=1000,"Excellent",IF(Table1[[#This Row],[Profit]]&gt;=500,"Good", IF(Table1[[#This Row],[Profit]]&lt;500,"Low")))</f>
        <v>Low</v>
      </c>
      <c r="N961" s="7" t="str">
        <f>TEXT(Table1[[#This Row],[Order_Date]],"YYY")</f>
        <v>2024</v>
      </c>
    </row>
    <row r="962" spans="1:14" x14ac:dyDescent="0.3">
      <c r="A962" s="4">
        <v>45631</v>
      </c>
      <c r="B962" s="5" t="s">
        <v>18</v>
      </c>
      <c r="C962" s="5" t="s">
        <v>1</v>
      </c>
      <c r="D962" s="23">
        <v>272.02999999999997</v>
      </c>
      <c r="E962" s="23">
        <v>143.13999999999999</v>
      </c>
      <c r="F962" s="23">
        <v>128.88999999999999</v>
      </c>
      <c r="G962" s="5" t="s">
        <v>32</v>
      </c>
      <c r="H962" s="5" t="s">
        <v>12</v>
      </c>
      <c r="I962" s="5" t="s">
        <v>17</v>
      </c>
      <c r="J962" s="6">
        <f>Table1[[#This Row],[Profit]]/Table1[[#This Row],[Sales]]</f>
        <v>0.47380803587839576</v>
      </c>
      <c r="K962" s="5" t="str">
        <f t="shared" ref="K962:K1025" si="15">IF(D962&gt;=2000,"High",IF(D962&gt;=1500,"Medium","Low"))</f>
        <v>Low</v>
      </c>
      <c r="L962" s="5" t="str">
        <f>TEXT(Table1[[#This Row],[Order_Date]],"MMM")</f>
        <v>Dec</v>
      </c>
      <c r="M962" s="5" t="str">
        <f>IF(Table1[[#This Row],[Profit]]&gt;=1000,"Excellent",IF(Table1[[#This Row],[Profit]]&gt;=500,"Good", IF(Table1[[#This Row],[Profit]]&lt;500,"Low")))</f>
        <v>Low</v>
      </c>
      <c r="N962" s="7" t="str">
        <f>TEXT(Table1[[#This Row],[Order_Date]],"YYY")</f>
        <v>2024</v>
      </c>
    </row>
    <row r="963" spans="1:14" x14ac:dyDescent="0.3">
      <c r="A963" s="4">
        <v>45632</v>
      </c>
      <c r="B963" s="5" t="s">
        <v>18</v>
      </c>
      <c r="C963" s="5" t="s">
        <v>1</v>
      </c>
      <c r="D963" s="23">
        <v>483.28</v>
      </c>
      <c r="E963" s="23">
        <v>294.75</v>
      </c>
      <c r="F963" s="23">
        <v>188.53</v>
      </c>
      <c r="G963" s="5" t="s">
        <v>32</v>
      </c>
      <c r="H963" s="5" t="s">
        <v>35</v>
      </c>
      <c r="I963" s="5" t="s">
        <v>11</v>
      </c>
      <c r="J963" s="6">
        <f>Table1[[#This Row],[Profit]]/Table1[[#This Row],[Sales]]</f>
        <v>0.39010511504717765</v>
      </c>
      <c r="K963" s="5" t="str">
        <f t="shared" si="15"/>
        <v>Low</v>
      </c>
      <c r="L963" s="5" t="str">
        <f>TEXT(Table1[[#This Row],[Order_Date]],"MMM")</f>
        <v>Dec</v>
      </c>
      <c r="M963" s="5" t="str">
        <f>IF(Table1[[#This Row],[Profit]]&gt;=1000,"Excellent",IF(Table1[[#This Row],[Profit]]&gt;=500,"Good", IF(Table1[[#This Row],[Profit]]&lt;500,"Low")))</f>
        <v>Low</v>
      </c>
      <c r="N963" s="7" t="str">
        <f>TEXT(Table1[[#This Row],[Order_Date]],"YYY")</f>
        <v>2024</v>
      </c>
    </row>
    <row r="964" spans="1:14" x14ac:dyDescent="0.3">
      <c r="A964" s="4">
        <v>45633</v>
      </c>
      <c r="B964" s="5" t="s">
        <v>13</v>
      </c>
      <c r="C964" s="5" t="s">
        <v>14</v>
      </c>
      <c r="D964" s="23">
        <v>25.15</v>
      </c>
      <c r="E964" s="23">
        <v>11.62</v>
      </c>
      <c r="F964" s="23">
        <v>13.53</v>
      </c>
      <c r="G964" s="5" t="s">
        <v>6</v>
      </c>
      <c r="H964" s="5" t="s">
        <v>10</v>
      </c>
      <c r="I964" s="5" t="s">
        <v>4</v>
      </c>
      <c r="J964" s="6">
        <f>Table1[[#This Row],[Profit]]/Table1[[#This Row],[Sales]]</f>
        <v>0.53797216699801198</v>
      </c>
      <c r="K964" s="5" t="str">
        <f t="shared" si="15"/>
        <v>Low</v>
      </c>
      <c r="L964" s="5" t="str">
        <f>TEXT(Table1[[#This Row],[Order_Date]],"MMM")</f>
        <v>Dec</v>
      </c>
      <c r="M964" s="5" t="str">
        <f>IF(Table1[[#This Row],[Profit]]&gt;=1000,"Excellent",IF(Table1[[#This Row],[Profit]]&gt;=500,"Good", IF(Table1[[#This Row],[Profit]]&lt;500,"Low")))</f>
        <v>Low</v>
      </c>
      <c r="N964" s="7" t="str">
        <f>TEXT(Table1[[#This Row],[Order_Date]],"YYY")</f>
        <v>2024</v>
      </c>
    </row>
    <row r="965" spans="1:14" x14ac:dyDescent="0.3">
      <c r="A965" s="4">
        <v>45634</v>
      </c>
      <c r="B965" s="5" t="s">
        <v>13</v>
      </c>
      <c r="C965" s="5" t="s">
        <v>14</v>
      </c>
      <c r="D965" s="23">
        <v>190.05</v>
      </c>
      <c r="E965" s="23">
        <v>85.66</v>
      </c>
      <c r="F965" s="23">
        <v>104.39</v>
      </c>
      <c r="G965" s="5" t="s">
        <v>32</v>
      </c>
      <c r="H965" s="5" t="s">
        <v>12</v>
      </c>
      <c r="I965" s="5" t="s">
        <v>4</v>
      </c>
      <c r="J965" s="6">
        <f>Table1[[#This Row],[Profit]]/Table1[[#This Row],[Sales]]</f>
        <v>0.5492765061825835</v>
      </c>
      <c r="K965" s="5" t="str">
        <f t="shared" si="15"/>
        <v>Low</v>
      </c>
      <c r="L965" s="5" t="str">
        <f>TEXT(Table1[[#This Row],[Order_Date]],"MMM")</f>
        <v>Dec</v>
      </c>
      <c r="M965" s="5" t="str">
        <f>IF(Table1[[#This Row],[Profit]]&gt;=1000,"Excellent",IF(Table1[[#This Row],[Profit]]&gt;=500,"Good", IF(Table1[[#This Row],[Profit]]&lt;500,"Low")))</f>
        <v>Low</v>
      </c>
      <c r="N965" s="7" t="str">
        <f>TEXT(Table1[[#This Row],[Order_Date]],"YYY")</f>
        <v>2024</v>
      </c>
    </row>
    <row r="966" spans="1:14" x14ac:dyDescent="0.3">
      <c r="A966" s="4">
        <v>45636</v>
      </c>
      <c r="B966" s="5" t="s">
        <v>16</v>
      </c>
      <c r="C966" s="5" t="s">
        <v>14</v>
      </c>
      <c r="D966" s="23">
        <v>195.22</v>
      </c>
      <c r="E966" s="23">
        <v>74.41</v>
      </c>
      <c r="F966" s="23">
        <v>120.81</v>
      </c>
      <c r="G966" s="5" t="s">
        <v>9</v>
      </c>
      <c r="H966" s="5" t="s">
        <v>33</v>
      </c>
      <c r="I966" s="5" t="s">
        <v>11</v>
      </c>
      <c r="J966" s="6">
        <f>Table1[[#This Row],[Profit]]/Table1[[#This Row],[Sales]]</f>
        <v>0.61884028275791414</v>
      </c>
      <c r="K966" s="5" t="str">
        <f t="shared" si="15"/>
        <v>Low</v>
      </c>
      <c r="L966" s="5" t="str">
        <f>TEXT(Table1[[#This Row],[Order_Date]],"MMM")</f>
        <v>Dec</v>
      </c>
      <c r="M966" s="5" t="str">
        <f>IF(Table1[[#This Row],[Profit]]&gt;=1000,"Excellent",IF(Table1[[#This Row],[Profit]]&gt;=500,"Good", IF(Table1[[#This Row],[Profit]]&lt;500,"Low")))</f>
        <v>Low</v>
      </c>
      <c r="N966" s="7" t="str">
        <f>TEXT(Table1[[#This Row],[Order_Date]],"YYY")</f>
        <v>2024</v>
      </c>
    </row>
    <row r="967" spans="1:14" x14ac:dyDescent="0.3">
      <c r="A967" s="4">
        <v>45636</v>
      </c>
      <c r="B967" s="5" t="s">
        <v>16</v>
      </c>
      <c r="C967" s="5" t="s">
        <v>26</v>
      </c>
      <c r="D967" s="23">
        <v>1142.1400000000001</v>
      </c>
      <c r="E967" s="23">
        <v>510.27</v>
      </c>
      <c r="F967" s="23">
        <v>631.87</v>
      </c>
      <c r="G967" s="5" t="s">
        <v>2</v>
      </c>
      <c r="H967" s="5" t="s">
        <v>36</v>
      </c>
      <c r="I967" s="5" t="s">
        <v>17</v>
      </c>
      <c r="J967" s="6">
        <f>Table1[[#This Row],[Profit]]/Table1[[#This Row],[Sales]]</f>
        <v>0.55323340396098553</v>
      </c>
      <c r="K967" s="5" t="str">
        <f t="shared" si="15"/>
        <v>Low</v>
      </c>
      <c r="L967" s="5" t="str">
        <f>TEXT(Table1[[#This Row],[Order_Date]],"MMM")</f>
        <v>Dec</v>
      </c>
      <c r="M967" s="5" t="str">
        <f>IF(Table1[[#This Row],[Profit]]&gt;=1000,"Excellent",IF(Table1[[#This Row],[Profit]]&gt;=500,"Good", IF(Table1[[#This Row],[Profit]]&lt;500,"Low")))</f>
        <v>Good</v>
      </c>
      <c r="N967" s="7" t="str">
        <f>TEXT(Table1[[#This Row],[Order_Date]],"YYY")</f>
        <v>2024</v>
      </c>
    </row>
    <row r="968" spans="1:14" x14ac:dyDescent="0.3">
      <c r="A968" s="4">
        <v>45636</v>
      </c>
      <c r="B968" s="5" t="s">
        <v>13</v>
      </c>
      <c r="C968" s="5" t="s">
        <v>23</v>
      </c>
      <c r="D968" s="23">
        <v>788.61</v>
      </c>
      <c r="E968" s="23">
        <v>260.37</v>
      </c>
      <c r="F968" s="23">
        <v>528.24</v>
      </c>
      <c r="G968" s="5" t="s">
        <v>2</v>
      </c>
      <c r="H968" s="5" t="s">
        <v>7</v>
      </c>
      <c r="I968" s="5" t="s">
        <v>25</v>
      </c>
      <c r="J968" s="6">
        <f>Table1[[#This Row],[Profit]]/Table1[[#This Row],[Sales]]</f>
        <v>0.66983680146079816</v>
      </c>
      <c r="K968" s="5" t="str">
        <f t="shared" si="15"/>
        <v>Low</v>
      </c>
      <c r="L968" s="5" t="str">
        <f>TEXT(Table1[[#This Row],[Order_Date]],"MMM")</f>
        <v>Dec</v>
      </c>
      <c r="M968" s="5" t="str">
        <f>IF(Table1[[#This Row],[Profit]]&gt;=1000,"Excellent",IF(Table1[[#This Row],[Profit]]&gt;=500,"Good", IF(Table1[[#This Row],[Profit]]&lt;500,"Low")))</f>
        <v>Good</v>
      </c>
      <c r="N968" s="7" t="str">
        <f>TEXT(Table1[[#This Row],[Order_Date]],"YYY")</f>
        <v>2024</v>
      </c>
    </row>
    <row r="969" spans="1:14" x14ac:dyDescent="0.3">
      <c r="A969" s="4">
        <v>45637</v>
      </c>
      <c r="B969" s="5" t="s">
        <v>13</v>
      </c>
      <c r="C969" s="5" t="s">
        <v>26</v>
      </c>
      <c r="D969" s="23">
        <v>1133.1400000000001</v>
      </c>
      <c r="E969" s="23">
        <v>338.43</v>
      </c>
      <c r="F969" s="23">
        <v>794.71</v>
      </c>
      <c r="G969" s="5" t="s">
        <v>6</v>
      </c>
      <c r="H969" s="5" t="s">
        <v>34</v>
      </c>
      <c r="I969" s="5" t="s">
        <v>22</v>
      </c>
      <c r="J969" s="6">
        <f>Table1[[#This Row],[Profit]]/Table1[[#This Row],[Sales]]</f>
        <v>0.70133434527066374</v>
      </c>
      <c r="K969" s="5" t="str">
        <f t="shared" si="15"/>
        <v>Low</v>
      </c>
      <c r="L969" s="5" t="str">
        <f>TEXT(Table1[[#This Row],[Order_Date]],"MMM")</f>
        <v>Dec</v>
      </c>
      <c r="M969" s="5" t="str">
        <f>IF(Table1[[#This Row],[Profit]]&gt;=1000,"Excellent",IF(Table1[[#This Row],[Profit]]&gt;=500,"Good", IF(Table1[[#This Row],[Profit]]&lt;500,"Low")))</f>
        <v>Good</v>
      </c>
      <c r="N969" s="7" t="str">
        <f>TEXT(Table1[[#This Row],[Order_Date]],"YYY")</f>
        <v>2024</v>
      </c>
    </row>
    <row r="970" spans="1:14" x14ac:dyDescent="0.3">
      <c r="A970" s="4">
        <v>45637</v>
      </c>
      <c r="B970" s="5" t="s">
        <v>18</v>
      </c>
      <c r="C970" s="5" t="s">
        <v>26</v>
      </c>
      <c r="D970" s="23">
        <v>843.73</v>
      </c>
      <c r="E970" s="23">
        <v>283.27</v>
      </c>
      <c r="F970" s="23">
        <v>560.46</v>
      </c>
      <c r="G970" s="5" t="s">
        <v>32</v>
      </c>
      <c r="H970" s="5" t="s">
        <v>7</v>
      </c>
      <c r="I970" s="5" t="s">
        <v>17</v>
      </c>
      <c r="J970" s="6">
        <f>Table1[[#This Row],[Profit]]/Table1[[#This Row],[Sales]]</f>
        <v>0.66426463442096406</v>
      </c>
      <c r="K970" s="5" t="str">
        <f t="shared" si="15"/>
        <v>Low</v>
      </c>
      <c r="L970" s="5" t="str">
        <f>TEXT(Table1[[#This Row],[Order_Date]],"MMM")</f>
        <v>Dec</v>
      </c>
      <c r="M970" s="5" t="str">
        <f>IF(Table1[[#This Row],[Profit]]&gt;=1000,"Excellent",IF(Table1[[#This Row],[Profit]]&gt;=500,"Good", IF(Table1[[#This Row],[Profit]]&lt;500,"Low")))</f>
        <v>Good</v>
      </c>
      <c r="N970" s="7" t="str">
        <f>TEXT(Table1[[#This Row],[Order_Date]],"YYY")</f>
        <v>2024</v>
      </c>
    </row>
    <row r="971" spans="1:14" x14ac:dyDescent="0.3">
      <c r="A971" s="4">
        <v>45638</v>
      </c>
      <c r="B971" s="5" t="s">
        <v>18</v>
      </c>
      <c r="C971" s="5" t="s">
        <v>1</v>
      </c>
      <c r="D971" s="23">
        <v>1390.03</v>
      </c>
      <c r="E971" s="23">
        <v>646.41999999999996</v>
      </c>
      <c r="F971" s="23">
        <v>743.61</v>
      </c>
      <c r="G971" s="5" t="s">
        <v>20</v>
      </c>
      <c r="H971" s="5" t="s">
        <v>29</v>
      </c>
      <c r="I971" s="5" t="s">
        <v>25</v>
      </c>
      <c r="J971" s="6">
        <f>Table1[[#This Row],[Profit]]/Table1[[#This Row],[Sales]]</f>
        <v>0.53495967712927062</v>
      </c>
      <c r="K971" s="5" t="str">
        <f t="shared" si="15"/>
        <v>Low</v>
      </c>
      <c r="L971" s="5" t="str">
        <f>TEXT(Table1[[#This Row],[Order_Date]],"MMM")</f>
        <v>Dec</v>
      </c>
      <c r="M971" s="5" t="str">
        <f>IF(Table1[[#This Row],[Profit]]&gt;=1000,"Excellent",IF(Table1[[#This Row],[Profit]]&gt;=500,"Good", IF(Table1[[#This Row],[Profit]]&lt;500,"Low")))</f>
        <v>Good</v>
      </c>
      <c r="N971" s="7" t="str">
        <f>TEXT(Table1[[#This Row],[Order_Date]],"YYY")</f>
        <v>2024</v>
      </c>
    </row>
    <row r="972" spans="1:14" x14ac:dyDescent="0.3">
      <c r="A972" s="4">
        <v>45638</v>
      </c>
      <c r="B972" s="5" t="s">
        <v>13</v>
      </c>
      <c r="C972" s="5" t="s">
        <v>23</v>
      </c>
      <c r="D972" s="23">
        <v>354.92</v>
      </c>
      <c r="E972" s="23">
        <v>152.33000000000001</v>
      </c>
      <c r="F972" s="23">
        <v>202.59</v>
      </c>
      <c r="G972" s="5" t="s">
        <v>2</v>
      </c>
      <c r="H972" s="5" t="s">
        <v>15</v>
      </c>
      <c r="I972" s="5" t="s">
        <v>4</v>
      </c>
      <c r="J972" s="6">
        <f>Table1[[#This Row],[Profit]]/Table1[[#This Row],[Sales]]</f>
        <v>0.57080468838048004</v>
      </c>
      <c r="K972" s="5" t="str">
        <f t="shared" si="15"/>
        <v>Low</v>
      </c>
      <c r="L972" s="5" t="str">
        <f>TEXT(Table1[[#This Row],[Order_Date]],"MMM")</f>
        <v>Dec</v>
      </c>
      <c r="M972" s="5" t="str">
        <f>IF(Table1[[#This Row],[Profit]]&gt;=1000,"Excellent",IF(Table1[[#This Row],[Profit]]&gt;=500,"Good", IF(Table1[[#This Row],[Profit]]&lt;500,"Low")))</f>
        <v>Low</v>
      </c>
      <c r="N972" s="7" t="str">
        <f>TEXT(Table1[[#This Row],[Order_Date]],"YYY")</f>
        <v>2024</v>
      </c>
    </row>
    <row r="973" spans="1:14" x14ac:dyDescent="0.3">
      <c r="A973" s="4">
        <v>45640</v>
      </c>
      <c r="B973" s="5" t="s">
        <v>8</v>
      </c>
      <c r="C973" s="5" t="s">
        <v>23</v>
      </c>
      <c r="D973" s="23">
        <v>823.74</v>
      </c>
      <c r="E973" s="23">
        <v>236.96</v>
      </c>
      <c r="F973" s="23">
        <v>586.78</v>
      </c>
      <c r="G973" s="5" t="s">
        <v>9</v>
      </c>
      <c r="H973" s="5" t="s">
        <v>3</v>
      </c>
      <c r="I973" s="5" t="s">
        <v>27</v>
      </c>
      <c r="J973" s="6">
        <f>Table1[[#This Row],[Profit]]/Table1[[#This Row],[Sales]]</f>
        <v>0.71233641683055327</v>
      </c>
      <c r="K973" s="5" t="str">
        <f t="shared" si="15"/>
        <v>Low</v>
      </c>
      <c r="L973" s="5" t="str">
        <f>TEXT(Table1[[#This Row],[Order_Date]],"MMM")</f>
        <v>Dec</v>
      </c>
      <c r="M973" s="5" t="str">
        <f>IF(Table1[[#This Row],[Profit]]&gt;=1000,"Excellent",IF(Table1[[#This Row],[Profit]]&gt;=500,"Good", IF(Table1[[#This Row],[Profit]]&lt;500,"Low")))</f>
        <v>Good</v>
      </c>
      <c r="N973" s="7" t="str">
        <f>TEXT(Table1[[#This Row],[Order_Date]],"YYY")</f>
        <v>2024</v>
      </c>
    </row>
    <row r="974" spans="1:14" x14ac:dyDescent="0.3">
      <c r="A974" s="4">
        <v>45642</v>
      </c>
      <c r="B974" s="5" t="s">
        <v>18</v>
      </c>
      <c r="C974" s="5" t="s">
        <v>1</v>
      </c>
      <c r="D974" s="23">
        <v>877.28</v>
      </c>
      <c r="E974" s="23">
        <v>424.66</v>
      </c>
      <c r="F974" s="23">
        <v>452.62</v>
      </c>
      <c r="G974" s="5" t="s">
        <v>6</v>
      </c>
      <c r="H974" s="5" t="s">
        <v>34</v>
      </c>
      <c r="I974" s="5" t="s">
        <v>11</v>
      </c>
      <c r="J974" s="6">
        <f>Table1[[#This Row],[Profit]]/Table1[[#This Row],[Sales]]</f>
        <v>0.51593561918657671</v>
      </c>
      <c r="K974" s="5" t="str">
        <f t="shared" si="15"/>
        <v>Low</v>
      </c>
      <c r="L974" s="5" t="str">
        <f>TEXT(Table1[[#This Row],[Order_Date]],"MMM")</f>
        <v>Dec</v>
      </c>
      <c r="M974" s="5" t="str">
        <f>IF(Table1[[#This Row],[Profit]]&gt;=1000,"Excellent",IF(Table1[[#This Row],[Profit]]&gt;=500,"Good", IF(Table1[[#This Row],[Profit]]&lt;500,"Low")))</f>
        <v>Low</v>
      </c>
      <c r="N974" s="7" t="str">
        <f>TEXT(Table1[[#This Row],[Order_Date]],"YYY")</f>
        <v>2024</v>
      </c>
    </row>
    <row r="975" spans="1:14" x14ac:dyDescent="0.3">
      <c r="A975" s="4">
        <v>45643</v>
      </c>
      <c r="B975" s="5" t="s">
        <v>13</v>
      </c>
      <c r="C975" s="5" t="s">
        <v>1</v>
      </c>
      <c r="D975" s="23">
        <v>848.52</v>
      </c>
      <c r="E975" s="23">
        <v>457.29</v>
      </c>
      <c r="F975" s="23">
        <v>391.23</v>
      </c>
      <c r="G975" s="5" t="s">
        <v>32</v>
      </c>
      <c r="H975" s="5" t="s">
        <v>33</v>
      </c>
      <c r="I975" s="5" t="s">
        <v>17</v>
      </c>
      <c r="J975" s="6">
        <f>Table1[[#This Row],[Profit]]/Table1[[#This Row],[Sales]]</f>
        <v>0.46107339838778111</v>
      </c>
      <c r="K975" s="5" t="str">
        <f t="shared" si="15"/>
        <v>Low</v>
      </c>
      <c r="L975" s="5" t="str">
        <f>TEXT(Table1[[#This Row],[Order_Date]],"MMM")</f>
        <v>Dec</v>
      </c>
      <c r="M975" s="5" t="str">
        <f>IF(Table1[[#This Row],[Profit]]&gt;=1000,"Excellent",IF(Table1[[#This Row],[Profit]]&gt;=500,"Good", IF(Table1[[#This Row],[Profit]]&lt;500,"Low")))</f>
        <v>Low</v>
      </c>
      <c r="N975" s="7" t="str">
        <f>TEXT(Table1[[#This Row],[Order_Date]],"YYY")</f>
        <v>2024</v>
      </c>
    </row>
    <row r="976" spans="1:14" x14ac:dyDescent="0.3">
      <c r="A976" s="4">
        <v>45645</v>
      </c>
      <c r="B976" s="5" t="s">
        <v>18</v>
      </c>
      <c r="C976" s="5" t="s">
        <v>5</v>
      </c>
      <c r="D976" s="23">
        <v>321.79000000000002</v>
      </c>
      <c r="E976" s="23">
        <v>138.04</v>
      </c>
      <c r="F976" s="23">
        <v>183.75</v>
      </c>
      <c r="G976" s="5" t="s">
        <v>6</v>
      </c>
      <c r="H976" s="5" t="s">
        <v>15</v>
      </c>
      <c r="I976" s="5" t="s">
        <v>11</v>
      </c>
      <c r="J976" s="6">
        <f>Table1[[#This Row],[Profit]]/Table1[[#This Row],[Sales]]</f>
        <v>0.57102458124864042</v>
      </c>
      <c r="K976" s="5" t="str">
        <f t="shared" si="15"/>
        <v>Low</v>
      </c>
      <c r="L976" s="5" t="str">
        <f>TEXT(Table1[[#This Row],[Order_Date]],"MMM")</f>
        <v>Dec</v>
      </c>
      <c r="M976" s="5" t="str">
        <f>IF(Table1[[#This Row],[Profit]]&gt;=1000,"Excellent",IF(Table1[[#This Row],[Profit]]&gt;=500,"Good", IF(Table1[[#This Row],[Profit]]&lt;500,"Low")))</f>
        <v>Low</v>
      </c>
      <c r="N976" s="7" t="str">
        <f>TEXT(Table1[[#This Row],[Order_Date]],"YYY")</f>
        <v>2024</v>
      </c>
    </row>
    <row r="977" spans="1:14" x14ac:dyDescent="0.3">
      <c r="A977" s="4">
        <v>45646</v>
      </c>
      <c r="B977" s="5" t="s">
        <v>0</v>
      </c>
      <c r="C977" s="5" t="s">
        <v>26</v>
      </c>
      <c r="D977" s="23">
        <v>1155.93</v>
      </c>
      <c r="E977" s="23">
        <v>480.84</v>
      </c>
      <c r="F977" s="23">
        <v>675.09</v>
      </c>
      <c r="G977" s="5" t="s">
        <v>20</v>
      </c>
      <c r="H977" s="5" t="s">
        <v>30</v>
      </c>
      <c r="I977" s="5" t="s">
        <v>25</v>
      </c>
      <c r="J977" s="6">
        <f>Table1[[#This Row],[Profit]]/Table1[[#This Row],[Sales]]</f>
        <v>0.58402325400327004</v>
      </c>
      <c r="K977" s="5" t="str">
        <f t="shared" si="15"/>
        <v>Low</v>
      </c>
      <c r="L977" s="5" t="str">
        <f>TEXT(Table1[[#This Row],[Order_Date]],"MMM")</f>
        <v>Dec</v>
      </c>
      <c r="M977" s="5" t="str">
        <f>IF(Table1[[#This Row],[Profit]]&gt;=1000,"Excellent",IF(Table1[[#This Row],[Profit]]&gt;=500,"Good", IF(Table1[[#This Row],[Profit]]&lt;500,"Low")))</f>
        <v>Good</v>
      </c>
      <c r="N977" s="7" t="str">
        <f>TEXT(Table1[[#This Row],[Order_Date]],"YYY")</f>
        <v>2024</v>
      </c>
    </row>
    <row r="978" spans="1:14" x14ac:dyDescent="0.3">
      <c r="A978" s="4">
        <v>45646</v>
      </c>
      <c r="B978" s="5" t="s">
        <v>13</v>
      </c>
      <c r="C978" s="5" t="s">
        <v>5</v>
      </c>
      <c r="D978" s="23">
        <v>1754.07</v>
      </c>
      <c r="E978" s="23">
        <v>761.03</v>
      </c>
      <c r="F978" s="23">
        <v>993.04</v>
      </c>
      <c r="G978" s="5" t="s">
        <v>2</v>
      </c>
      <c r="H978" s="5" t="s">
        <v>33</v>
      </c>
      <c r="I978" s="5" t="s">
        <v>27</v>
      </c>
      <c r="J978" s="6">
        <f>Table1[[#This Row],[Profit]]/Table1[[#This Row],[Sales]]</f>
        <v>0.5661347608704328</v>
      </c>
      <c r="K978" s="5" t="str">
        <f t="shared" si="15"/>
        <v>Medium</v>
      </c>
      <c r="L978" s="5" t="str">
        <f>TEXT(Table1[[#This Row],[Order_Date]],"MMM")</f>
        <v>Dec</v>
      </c>
      <c r="M978" s="5" t="str">
        <f>IF(Table1[[#This Row],[Profit]]&gt;=1000,"Excellent",IF(Table1[[#This Row],[Profit]]&gt;=500,"Good", IF(Table1[[#This Row],[Profit]]&lt;500,"Low")))</f>
        <v>Good</v>
      </c>
      <c r="N978" s="7" t="str">
        <f>TEXT(Table1[[#This Row],[Order_Date]],"YYY")</f>
        <v>2024</v>
      </c>
    </row>
    <row r="979" spans="1:14" x14ac:dyDescent="0.3">
      <c r="A979" s="4">
        <v>45647</v>
      </c>
      <c r="B979" s="5" t="s">
        <v>16</v>
      </c>
      <c r="C979" s="5" t="s">
        <v>1</v>
      </c>
      <c r="D979" s="23">
        <v>686.74</v>
      </c>
      <c r="E979" s="23">
        <v>367.72</v>
      </c>
      <c r="F979" s="23">
        <v>319.02</v>
      </c>
      <c r="G979" s="5" t="s">
        <v>32</v>
      </c>
      <c r="H979" s="5" t="s">
        <v>21</v>
      </c>
      <c r="I979" s="5" t="s">
        <v>22</v>
      </c>
      <c r="J979" s="6">
        <f>Table1[[#This Row],[Profit]]/Table1[[#This Row],[Sales]]</f>
        <v>0.46454262166176424</v>
      </c>
      <c r="K979" s="5" t="str">
        <f t="shared" si="15"/>
        <v>Low</v>
      </c>
      <c r="L979" s="5" t="str">
        <f>TEXT(Table1[[#This Row],[Order_Date]],"MMM")</f>
        <v>Dec</v>
      </c>
      <c r="M979" s="5" t="str">
        <f>IF(Table1[[#This Row],[Profit]]&gt;=1000,"Excellent",IF(Table1[[#This Row],[Profit]]&gt;=500,"Good", IF(Table1[[#This Row],[Profit]]&lt;500,"Low")))</f>
        <v>Low</v>
      </c>
      <c r="N979" s="7" t="str">
        <f>TEXT(Table1[[#This Row],[Order_Date]],"YYY")</f>
        <v>2024</v>
      </c>
    </row>
    <row r="980" spans="1:14" x14ac:dyDescent="0.3">
      <c r="A980" s="4">
        <v>45647</v>
      </c>
      <c r="B980" s="5" t="s">
        <v>8</v>
      </c>
      <c r="C980" s="5" t="s">
        <v>5</v>
      </c>
      <c r="D980" s="23">
        <v>1265.21</v>
      </c>
      <c r="E980" s="23">
        <v>577.20000000000005</v>
      </c>
      <c r="F980" s="23">
        <v>688.01</v>
      </c>
      <c r="G980" s="5" t="s">
        <v>32</v>
      </c>
      <c r="H980" s="5" t="s">
        <v>12</v>
      </c>
      <c r="I980" s="5" t="s">
        <v>17</v>
      </c>
      <c r="J980" s="6">
        <f>Table1[[#This Row],[Profit]]/Table1[[#This Row],[Sales]]</f>
        <v>0.54379114929537387</v>
      </c>
      <c r="K980" s="5" t="str">
        <f t="shared" si="15"/>
        <v>Low</v>
      </c>
      <c r="L980" s="5" t="str">
        <f>TEXT(Table1[[#This Row],[Order_Date]],"MMM")</f>
        <v>Dec</v>
      </c>
      <c r="M980" s="5" t="str">
        <f>IF(Table1[[#This Row],[Profit]]&gt;=1000,"Excellent",IF(Table1[[#This Row],[Profit]]&gt;=500,"Good", IF(Table1[[#This Row],[Profit]]&lt;500,"Low")))</f>
        <v>Good</v>
      </c>
      <c r="N980" s="7" t="str">
        <f>TEXT(Table1[[#This Row],[Order_Date]],"YYY")</f>
        <v>2024</v>
      </c>
    </row>
    <row r="981" spans="1:14" x14ac:dyDescent="0.3">
      <c r="A981" s="4">
        <v>45647</v>
      </c>
      <c r="B981" s="5" t="s">
        <v>16</v>
      </c>
      <c r="C981" s="5" t="s">
        <v>19</v>
      </c>
      <c r="D981" s="23">
        <v>123.51</v>
      </c>
      <c r="E981" s="23">
        <v>35.99</v>
      </c>
      <c r="F981" s="23">
        <v>87.52</v>
      </c>
      <c r="G981" s="5" t="s">
        <v>9</v>
      </c>
      <c r="H981" s="5" t="s">
        <v>36</v>
      </c>
      <c r="I981" s="5" t="s">
        <v>25</v>
      </c>
      <c r="J981" s="6">
        <f>Table1[[#This Row],[Profit]]/Table1[[#This Row],[Sales]]</f>
        <v>0.70860659055946884</v>
      </c>
      <c r="K981" s="5" t="str">
        <f t="shared" si="15"/>
        <v>Low</v>
      </c>
      <c r="L981" s="5" t="str">
        <f>TEXT(Table1[[#This Row],[Order_Date]],"MMM")</f>
        <v>Dec</v>
      </c>
      <c r="M981" s="5" t="str">
        <f>IF(Table1[[#This Row],[Profit]]&gt;=1000,"Excellent",IF(Table1[[#This Row],[Profit]]&gt;=500,"Good", IF(Table1[[#This Row],[Profit]]&lt;500,"Low")))</f>
        <v>Low</v>
      </c>
      <c r="N981" s="7" t="str">
        <f>TEXT(Table1[[#This Row],[Order_Date]],"YYY")</f>
        <v>2024</v>
      </c>
    </row>
    <row r="982" spans="1:14" x14ac:dyDescent="0.3">
      <c r="A982" s="4">
        <v>45647</v>
      </c>
      <c r="B982" s="5" t="s">
        <v>18</v>
      </c>
      <c r="C982" s="5" t="s">
        <v>31</v>
      </c>
      <c r="D982" s="23">
        <v>75.73</v>
      </c>
      <c r="E982" s="23">
        <v>15.36</v>
      </c>
      <c r="F982" s="23">
        <v>60.37</v>
      </c>
      <c r="G982" s="5" t="s">
        <v>32</v>
      </c>
      <c r="H982" s="5" t="s">
        <v>15</v>
      </c>
      <c r="I982" s="5" t="s">
        <v>17</v>
      </c>
      <c r="J982" s="6">
        <f>Table1[[#This Row],[Profit]]/Table1[[#This Row],[Sales]]</f>
        <v>0.79717417139838898</v>
      </c>
      <c r="K982" s="5" t="str">
        <f t="shared" si="15"/>
        <v>Low</v>
      </c>
      <c r="L982" s="5" t="str">
        <f>TEXT(Table1[[#This Row],[Order_Date]],"MMM")</f>
        <v>Dec</v>
      </c>
      <c r="M982" s="5" t="str">
        <f>IF(Table1[[#This Row],[Profit]]&gt;=1000,"Excellent",IF(Table1[[#This Row],[Profit]]&gt;=500,"Good", IF(Table1[[#This Row],[Profit]]&lt;500,"Low")))</f>
        <v>Low</v>
      </c>
      <c r="N982" s="7" t="str">
        <f>TEXT(Table1[[#This Row],[Order_Date]],"YYY")</f>
        <v>2024</v>
      </c>
    </row>
    <row r="983" spans="1:14" x14ac:dyDescent="0.3">
      <c r="A983" s="4">
        <v>45648</v>
      </c>
      <c r="B983" s="5" t="s">
        <v>8</v>
      </c>
      <c r="C983" s="5" t="s">
        <v>26</v>
      </c>
      <c r="D983" s="23">
        <v>508.9</v>
      </c>
      <c r="E983" s="23">
        <v>138.63</v>
      </c>
      <c r="F983" s="23">
        <v>370.27</v>
      </c>
      <c r="G983" s="5" t="s">
        <v>9</v>
      </c>
      <c r="H983" s="5" t="s">
        <v>33</v>
      </c>
      <c r="I983" s="5" t="s">
        <v>25</v>
      </c>
      <c r="J983" s="6">
        <f>Table1[[#This Row],[Profit]]/Table1[[#This Row],[Sales]]</f>
        <v>0.7275889172725486</v>
      </c>
      <c r="K983" s="5" t="str">
        <f t="shared" si="15"/>
        <v>Low</v>
      </c>
      <c r="L983" s="5" t="str">
        <f>TEXT(Table1[[#This Row],[Order_Date]],"MMM")</f>
        <v>Dec</v>
      </c>
      <c r="M983" s="5" t="str">
        <f>IF(Table1[[#This Row],[Profit]]&gt;=1000,"Excellent",IF(Table1[[#This Row],[Profit]]&gt;=500,"Good", IF(Table1[[#This Row],[Profit]]&lt;500,"Low")))</f>
        <v>Low</v>
      </c>
      <c r="N983" s="7" t="str">
        <f>TEXT(Table1[[#This Row],[Order_Date]],"YYY")</f>
        <v>2024</v>
      </c>
    </row>
    <row r="984" spans="1:14" x14ac:dyDescent="0.3">
      <c r="A984" s="4">
        <v>45649</v>
      </c>
      <c r="B984" s="5" t="s">
        <v>13</v>
      </c>
      <c r="C984" s="5" t="s">
        <v>23</v>
      </c>
      <c r="D984" s="23">
        <v>727.5</v>
      </c>
      <c r="E984" s="23">
        <v>294.72000000000003</v>
      </c>
      <c r="F984" s="23">
        <v>432.78</v>
      </c>
      <c r="G984" s="5" t="s">
        <v>6</v>
      </c>
      <c r="H984" s="5" t="s">
        <v>10</v>
      </c>
      <c r="I984" s="5" t="s">
        <v>22</v>
      </c>
      <c r="J984" s="6">
        <f>Table1[[#This Row],[Profit]]/Table1[[#This Row],[Sales]]</f>
        <v>0.59488659793814425</v>
      </c>
      <c r="K984" s="5" t="str">
        <f t="shared" si="15"/>
        <v>Low</v>
      </c>
      <c r="L984" s="5" t="str">
        <f>TEXT(Table1[[#This Row],[Order_Date]],"MMM")</f>
        <v>Dec</v>
      </c>
      <c r="M984" s="5" t="str">
        <f>IF(Table1[[#This Row],[Profit]]&gt;=1000,"Excellent",IF(Table1[[#This Row],[Profit]]&gt;=500,"Good", IF(Table1[[#This Row],[Profit]]&lt;500,"Low")))</f>
        <v>Low</v>
      </c>
      <c r="N984" s="7" t="str">
        <f>TEXT(Table1[[#This Row],[Order_Date]],"YYY")</f>
        <v>2024</v>
      </c>
    </row>
    <row r="985" spans="1:14" x14ac:dyDescent="0.3">
      <c r="A985" s="4">
        <v>45650</v>
      </c>
      <c r="B985" s="5" t="s">
        <v>16</v>
      </c>
      <c r="C985" s="5" t="s">
        <v>14</v>
      </c>
      <c r="D985" s="23">
        <v>332.52</v>
      </c>
      <c r="E985" s="23">
        <v>104.72</v>
      </c>
      <c r="F985" s="23">
        <v>227.8</v>
      </c>
      <c r="G985" s="5" t="s">
        <v>32</v>
      </c>
      <c r="H985" s="5" t="s">
        <v>7</v>
      </c>
      <c r="I985" s="5" t="s">
        <v>22</v>
      </c>
      <c r="J985" s="6">
        <f>Table1[[#This Row],[Profit]]/Table1[[#This Row],[Sales]]</f>
        <v>0.68507157464212687</v>
      </c>
      <c r="K985" s="5" t="str">
        <f t="shared" si="15"/>
        <v>Low</v>
      </c>
      <c r="L985" s="5" t="str">
        <f>TEXT(Table1[[#This Row],[Order_Date]],"MMM")</f>
        <v>Dec</v>
      </c>
      <c r="M985" s="5" t="str">
        <f>IF(Table1[[#This Row],[Profit]]&gt;=1000,"Excellent",IF(Table1[[#This Row],[Profit]]&gt;=500,"Good", IF(Table1[[#This Row],[Profit]]&lt;500,"Low")))</f>
        <v>Low</v>
      </c>
      <c r="N985" s="7" t="str">
        <f>TEXT(Table1[[#This Row],[Order_Date]],"YYY")</f>
        <v>2024</v>
      </c>
    </row>
    <row r="986" spans="1:14" x14ac:dyDescent="0.3">
      <c r="A986" s="4">
        <v>45652</v>
      </c>
      <c r="B986" s="5" t="s">
        <v>16</v>
      </c>
      <c r="C986" s="5" t="s">
        <v>14</v>
      </c>
      <c r="D986" s="23">
        <v>361.17</v>
      </c>
      <c r="E986" s="23">
        <v>162.58000000000001</v>
      </c>
      <c r="F986" s="23">
        <v>198.59</v>
      </c>
      <c r="G986" s="5" t="s">
        <v>9</v>
      </c>
      <c r="H986" s="5" t="s">
        <v>37</v>
      </c>
      <c r="I986" s="5" t="s">
        <v>4</v>
      </c>
      <c r="J986" s="6">
        <f>Table1[[#This Row],[Profit]]/Table1[[#This Row],[Sales]]</f>
        <v>0.54985187031038019</v>
      </c>
      <c r="K986" s="5" t="str">
        <f t="shared" si="15"/>
        <v>Low</v>
      </c>
      <c r="L986" s="5" t="str">
        <f>TEXT(Table1[[#This Row],[Order_Date]],"MMM")</f>
        <v>Dec</v>
      </c>
      <c r="M986" s="5" t="str">
        <f>IF(Table1[[#This Row],[Profit]]&gt;=1000,"Excellent",IF(Table1[[#This Row],[Profit]]&gt;=500,"Good", IF(Table1[[#This Row],[Profit]]&lt;500,"Low")))</f>
        <v>Low</v>
      </c>
      <c r="N986" s="7" t="str">
        <f>TEXT(Table1[[#This Row],[Order_Date]],"YYY")</f>
        <v>2024</v>
      </c>
    </row>
    <row r="987" spans="1:14" x14ac:dyDescent="0.3">
      <c r="A987" s="4">
        <v>45653</v>
      </c>
      <c r="B987" s="5" t="s">
        <v>16</v>
      </c>
      <c r="C987" s="5" t="s">
        <v>19</v>
      </c>
      <c r="D987" s="23">
        <v>87.67</v>
      </c>
      <c r="E987" s="23">
        <v>31.86</v>
      </c>
      <c r="F987" s="23">
        <v>55.81</v>
      </c>
      <c r="G987" s="5" t="s">
        <v>2</v>
      </c>
      <c r="H987" s="5" t="s">
        <v>15</v>
      </c>
      <c r="I987" s="5" t="s">
        <v>4</v>
      </c>
      <c r="J987" s="6">
        <f>Table1[[#This Row],[Profit]]/Table1[[#This Row],[Sales]]</f>
        <v>0.63659176457168931</v>
      </c>
      <c r="K987" s="5" t="str">
        <f t="shared" si="15"/>
        <v>Low</v>
      </c>
      <c r="L987" s="5" t="str">
        <f>TEXT(Table1[[#This Row],[Order_Date]],"MMM")</f>
        <v>Dec</v>
      </c>
      <c r="M987" s="5" t="str">
        <f>IF(Table1[[#This Row],[Profit]]&gt;=1000,"Excellent",IF(Table1[[#This Row],[Profit]]&gt;=500,"Good", IF(Table1[[#This Row],[Profit]]&lt;500,"Low")))</f>
        <v>Low</v>
      </c>
      <c r="N987" s="7" t="str">
        <f>TEXT(Table1[[#This Row],[Order_Date]],"YYY")</f>
        <v>2024</v>
      </c>
    </row>
    <row r="988" spans="1:14" x14ac:dyDescent="0.3">
      <c r="A988" s="4">
        <v>45653</v>
      </c>
      <c r="B988" s="5" t="s">
        <v>0</v>
      </c>
      <c r="C988" s="5" t="s">
        <v>5</v>
      </c>
      <c r="D988" s="23">
        <v>323.22000000000003</v>
      </c>
      <c r="E988" s="23">
        <v>118.06</v>
      </c>
      <c r="F988" s="23">
        <v>205.16</v>
      </c>
      <c r="G988" s="5" t="s">
        <v>6</v>
      </c>
      <c r="H988" s="5" t="s">
        <v>30</v>
      </c>
      <c r="I988" s="5" t="s">
        <v>4</v>
      </c>
      <c r="J988" s="6">
        <f>Table1[[#This Row],[Profit]]/Table1[[#This Row],[Sales]]</f>
        <v>0.63473794938432027</v>
      </c>
      <c r="K988" s="5" t="str">
        <f t="shared" si="15"/>
        <v>Low</v>
      </c>
      <c r="L988" s="5" t="str">
        <f>TEXT(Table1[[#This Row],[Order_Date]],"MMM")</f>
        <v>Dec</v>
      </c>
      <c r="M988" s="5" t="str">
        <f>IF(Table1[[#This Row],[Profit]]&gt;=1000,"Excellent",IF(Table1[[#This Row],[Profit]]&gt;=500,"Good", IF(Table1[[#This Row],[Profit]]&lt;500,"Low")))</f>
        <v>Low</v>
      </c>
      <c r="N988" s="7" t="str">
        <f>TEXT(Table1[[#This Row],[Order_Date]],"YYY")</f>
        <v>2024</v>
      </c>
    </row>
    <row r="989" spans="1:14" x14ac:dyDescent="0.3">
      <c r="A989" s="4">
        <v>45654</v>
      </c>
      <c r="B989" s="5" t="s">
        <v>0</v>
      </c>
      <c r="C989" s="5" t="s">
        <v>14</v>
      </c>
      <c r="D989" s="23">
        <v>361.37</v>
      </c>
      <c r="E989" s="23">
        <v>172.11</v>
      </c>
      <c r="F989" s="23">
        <v>189.26</v>
      </c>
      <c r="G989" s="5" t="s">
        <v>32</v>
      </c>
      <c r="H989" s="5" t="s">
        <v>7</v>
      </c>
      <c r="I989" s="5" t="s">
        <v>25</v>
      </c>
      <c r="J989" s="6">
        <f>Table1[[#This Row],[Profit]]/Table1[[#This Row],[Sales]]</f>
        <v>0.5237291418767468</v>
      </c>
      <c r="K989" s="5" t="str">
        <f t="shared" si="15"/>
        <v>Low</v>
      </c>
      <c r="L989" s="5" t="str">
        <f>TEXT(Table1[[#This Row],[Order_Date]],"MMM")</f>
        <v>Dec</v>
      </c>
      <c r="M989" s="5" t="str">
        <f>IF(Table1[[#This Row],[Profit]]&gt;=1000,"Excellent",IF(Table1[[#This Row],[Profit]]&gt;=500,"Good", IF(Table1[[#This Row],[Profit]]&lt;500,"Low")))</f>
        <v>Low</v>
      </c>
      <c r="N989" s="7" t="str">
        <f>TEXT(Table1[[#This Row],[Order_Date]],"YYY")</f>
        <v>2024</v>
      </c>
    </row>
    <row r="990" spans="1:14" x14ac:dyDescent="0.3">
      <c r="A990" s="4">
        <v>45654</v>
      </c>
      <c r="B990" s="5" t="s">
        <v>13</v>
      </c>
      <c r="C990" s="5" t="s">
        <v>1</v>
      </c>
      <c r="D990" s="23">
        <v>938.49</v>
      </c>
      <c r="E990" s="23">
        <v>466.32</v>
      </c>
      <c r="F990" s="23">
        <v>472.17</v>
      </c>
      <c r="G990" s="5" t="s">
        <v>6</v>
      </c>
      <c r="H990" s="5" t="s">
        <v>33</v>
      </c>
      <c r="I990" s="5" t="s">
        <v>22</v>
      </c>
      <c r="J990" s="6">
        <f>Table1[[#This Row],[Profit]]/Table1[[#This Row],[Sales]]</f>
        <v>0.50311670875555414</v>
      </c>
      <c r="K990" s="5" t="str">
        <f t="shared" si="15"/>
        <v>Low</v>
      </c>
      <c r="L990" s="5" t="str">
        <f>TEXT(Table1[[#This Row],[Order_Date]],"MMM")</f>
        <v>Dec</v>
      </c>
      <c r="M990" s="5" t="str">
        <f>IF(Table1[[#This Row],[Profit]]&gt;=1000,"Excellent",IF(Table1[[#This Row],[Profit]]&gt;=500,"Good", IF(Table1[[#This Row],[Profit]]&lt;500,"Low")))</f>
        <v>Low</v>
      </c>
      <c r="N990" s="7" t="str">
        <f>TEXT(Table1[[#This Row],[Order_Date]],"YYY")</f>
        <v>2024</v>
      </c>
    </row>
    <row r="991" spans="1:14" x14ac:dyDescent="0.3">
      <c r="A991" s="4">
        <v>45655</v>
      </c>
      <c r="B991" s="5" t="s">
        <v>8</v>
      </c>
      <c r="C991" s="5" t="s">
        <v>26</v>
      </c>
      <c r="D991" s="23">
        <v>929.54</v>
      </c>
      <c r="E991" s="23">
        <v>389.39</v>
      </c>
      <c r="F991" s="23">
        <v>540.15</v>
      </c>
      <c r="G991" s="5" t="s">
        <v>6</v>
      </c>
      <c r="H991" s="5" t="s">
        <v>3</v>
      </c>
      <c r="I991" s="5" t="s">
        <v>22</v>
      </c>
      <c r="J991" s="6">
        <f>Table1[[#This Row],[Profit]]/Table1[[#This Row],[Sales]]</f>
        <v>0.58109387438948301</v>
      </c>
      <c r="K991" s="5" t="str">
        <f t="shared" si="15"/>
        <v>Low</v>
      </c>
      <c r="L991" s="5" t="str">
        <f>TEXT(Table1[[#This Row],[Order_Date]],"MMM")</f>
        <v>Dec</v>
      </c>
      <c r="M991" s="5" t="str">
        <f>IF(Table1[[#This Row],[Profit]]&gt;=1000,"Excellent",IF(Table1[[#This Row],[Profit]]&gt;=500,"Good", IF(Table1[[#This Row],[Profit]]&lt;500,"Low")))</f>
        <v>Good</v>
      </c>
      <c r="N991" s="7" t="str">
        <f>TEXT(Table1[[#This Row],[Order_Date]],"YYY")</f>
        <v>2024</v>
      </c>
    </row>
    <row r="992" spans="1:14" x14ac:dyDescent="0.3">
      <c r="A992" s="4">
        <v>45655</v>
      </c>
      <c r="B992" s="5" t="s">
        <v>13</v>
      </c>
      <c r="C992" s="5" t="s">
        <v>23</v>
      </c>
      <c r="D992" s="23">
        <v>815.33</v>
      </c>
      <c r="E992" s="23">
        <v>244.55</v>
      </c>
      <c r="F992" s="23">
        <v>570.78</v>
      </c>
      <c r="G992" s="5" t="s">
        <v>9</v>
      </c>
      <c r="H992" s="5" t="s">
        <v>24</v>
      </c>
      <c r="I992" s="5" t="s">
        <v>17</v>
      </c>
      <c r="J992" s="6">
        <f>Table1[[#This Row],[Profit]]/Table1[[#This Row],[Sales]]</f>
        <v>0.7000600983650791</v>
      </c>
      <c r="K992" s="5" t="str">
        <f t="shared" si="15"/>
        <v>Low</v>
      </c>
      <c r="L992" s="5" t="str">
        <f>TEXT(Table1[[#This Row],[Order_Date]],"MMM")</f>
        <v>Dec</v>
      </c>
      <c r="M992" s="5" t="str">
        <f>IF(Table1[[#This Row],[Profit]]&gt;=1000,"Excellent",IF(Table1[[#This Row],[Profit]]&gt;=500,"Good", IF(Table1[[#This Row],[Profit]]&lt;500,"Low")))</f>
        <v>Good</v>
      </c>
      <c r="N992" s="7" t="str">
        <f>TEXT(Table1[[#This Row],[Order_Date]],"YYY")</f>
        <v>2024</v>
      </c>
    </row>
    <row r="993" spans="1:14" x14ac:dyDescent="0.3">
      <c r="A993" s="4">
        <v>45655</v>
      </c>
      <c r="B993" s="5" t="s">
        <v>16</v>
      </c>
      <c r="C993" s="5" t="s">
        <v>14</v>
      </c>
      <c r="D993" s="23">
        <v>163.1</v>
      </c>
      <c r="E993" s="23">
        <v>72.19</v>
      </c>
      <c r="F993" s="23">
        <v>90.91</v>
      </c>
      <c r="G993" s="5" t="s">
        <v>9</v>
      </c>
      <c r="H993" s="5" t="s">
        <v>21</v>
      </c>
      <c r="I993" s="5" t="s">
        <v>4</v>
      </c>
      <c r="J993" s="6">
        <f>Table1[[#This Row],[Profit]]/Table1[[#This Row],[Sales]]</f>
        <v>0.55738810545677497</v>
      </c>
      <c r="K993" s="5" t="str">
        <f t="shared" si="15"/>
        <v>Low</v>
      </c>
      <c r="L993" s="5" t="str">
        <f>TEXT(Table1[[#This Row],[Order_Date]],"MMM")</f>
        <v>Dec</v>
      </c>
      <c r="M993" s="5" t="str">
        <f>IF(Table1[[#This Row],[Profit]]&gt;=1000,"Excellent",IF(Table1[[#This Row],[Profit]]&gt;=500,"Good", IF(Table1[[#This Row],[Profit]]&lt;500,"Low")))</f>
        <v>Low</v>
      </c>
      <c r="N993" s="7" t="str">
        <f>TEXT(Table1[[#This Row],[Order_Date]],"YYY")</f>
        <v>2024</v>
      </c>
    </row>
    <row r="994" spans="1:14" x14ac:dyDescent="0.3">
      <c r="A994" s="4">
        <v>45656</v>
      </c>
      <c r="B994" s="5" t="s">
        <v>13</v>
      </c>
      <c r="C994" s="5" t="s">
        <v>19</v>
      </c>
      <c r="D994" s="23">
        <v>105.44</v>
      </c>
      <c r="E994" s="23">
        <v>31.69</v>
      </c>
      <c r="F994" s="23">
        <v>73.75</v>
      </c>
      <c r="G994" s="5" t="s">
        <v>6</v>
      </c>
      <c r="H994" s="5" t="s">
        <v>35</v>
      </c>
      <c r="I994" s="5" t="s">
        <v>11</v>
      </c>
      <c r="J994" s="6">
        <f>Table1[[#This Row],[Profit]]/Table1[[#This Row],[Sales]]</f>
        <v>0.69944992412746587</v>
      </c>
      <c r="K994" s="5" t="str">
        <f t="shared" si="15"/>
        <v>Low</v>
      </c>
      <c r="L994" s="5" t="str">
        <f>TEXT(Table1[[#This Row],[Order_Date]],"MMM")</f>
        <v>Dec</v>
      </c>
      <c r="M994" s="5" t="str">
        <f>IF(Table1[[#This Row],[Profit]]&gt;=1000,"Excellent",IF(Table1[[#This Row],[Profit]]&gt;=500,"Good", IF(Table1[[#This Row],[Profit]]&lt;500,"Low")))</f>
        <v>Low</v>
      </c>
      <c r="N994" s="7" t="str">
        <f>TEXT(Table1[[#This Row],[Order_Date]],"YYY")</f>
        <v>2024</v>
      </c>
    </row>
    <row r="995" spans="1:14" x14ac:dyDescent="0.3">
      <c r="A995" s="4">
        <v>45656</v>
      </c>
      <c r="B995" s="5" t="s">
        <v>0</v>
      </c>
      <c r="C995" s="5" t="s">
        <v>23</v>
      </c>
      <c r="D995" s="23">
        <v>527.76</v>
      </c>
      <c r="E995" s="23">
        <v>192.11</v>
      </c>
      <c r="F995" s="23">
        <v>335.65</v>
      </c>
      <c r="G995" s="5" t="s">
        <v>32</v>
      </c>
      <c r="H995" s="5" t="s">
        <v>29</v>
      </c>
      <c r="I995" s="5" t="s">
        <v>11</v>
      </c>
      <c r="J995" s="6">
        <f>Table1[[#This Row],[Profit]]/Table1[[#This Row],[Sales]]</f>
        <v>0.63598984386842505</v>
      </c>
      <c r="K995" s="5" t="str">
        <f t="shared" si="15"/>
        <v>Low</v>
      </c>
      <c r="L995" s="5" t="str">
        <f>TEXT(Table1[[#This Row],[Order_Date]],"MMM")</f>
        <v>Dec</v>
      </c>
      <c r="M995" s="5" t="str">
        <f>IF(Table1[[#This Row],[Profit]]&gt;=1000,"Excellent",IF(Table1[[#This Row],[Profit]]&gt;=500,"Good", IF(Table1[[#This Row],[Profit]]&lt;500,"Low")))</f>
        <v>Low</v>
      </c>
      <c r="N995" s="7" t="str">
        <f>TEXT(Table1[[#This Row],[Order_Date]],"YYY")</f>
        <v>2024</v>
      </c>
    </row>
    <row r="996" spans="1:14" x14ac:dyDescent="0.3">
      <c r="A996" s="4">
        <v>45657</v>
      </c>
      <c r="B996" s="5" t="s">
        <v>13</v>
      </c>
      <c r="C996" s="5" t="s">
        <v>5</v>
      </c>
      <c r="D996" s="23">
        <v>670.12</v>
      </c>
      <c r="E996" s="23">
        <v>328.41</v>
      </c>
      <c r="F996" s="23">
        <v>341.71</v>
      </c>
      <c r="G996" s="5" t="s">
        <v>20</v>
      </c>
      <c r="H996" s="5" t="s">
        <v>28</v>
      </c>
      <c r="I996" s="5" t="s">
        <v>17</v>
      </c>
      <c r="J996" s="6">
        <f>Table1[[#This Row],[Profit]]/Table1[[#This Row],[Sales]]</f>
        <v>0.50992359577389124</v>
      </c>
      <c r="K996" s="5" t="str">
        <f t="shared" si="15"/>
        <v>Low</v>
      </c>
      <c r="L996" s="5" t="str">
        <f>TEXT(Table1[[#This Row],[Order_Date]],"MMM")</f>
        <v>Dec</v>
      </c>
      <c r="M996" s="5" t="str">
        <f>IF(Table1[[#This Row],[Profit]]&gt;=1000,"Excellent",IF(Table1[[#This Row],[Profit]]&gt;=500,"Good", IF(Table1[[#This Row],[Profit]]&lt;500,"Low")))</f>
        <v>Low</v>
      </c>
      <c r="N996" s="7" t="str">
        <f>TEXT(Table1[[#This Row],[Order_Date]],"YYY")</f>
        <v>2024</v>
      </c>
    </row>
    <row r="997" spans="1:14" x14ac:dyDescent="0.3">
      <c r="A997" s="4">
        <v>45657</v>
      </c>
      <c r="B997" s="5" t="s">
        <v>18</v>
      </c>
      <c r="C997" s="5" t="s">
        <v>31</v>
      </c>
      <c r="D997" s="23">
        <v>150.51</v>
      </c>
      <c r="E997" s="23">
        <v>54.57</v>
      </c>
      <c r="F997" s="23">
        <v>95.94</v>
      </c>
      <c r="G997" s="5" t="s">
        <v>2</v>
      </c>
      <c r="H997" s="5" t="s">
        <v>12</v>
      </c>
      <c r="I997" s="5" t="s">
        <v>22</v>
      </c>
      <c r="J997" s="6">
        <f>Table1[[#This Row],[Profit]]/Table1[[#This Row],[Sales]]</f>
        <v>0.63743272872234402</v>
      </c>
      <c r="K997" s="5" t="str">
        <f t="shared" si="15"/>
        <v>Low</v>
      </c>
      <c r="L997" s="5" t="str">
        <f>TEXT(Table1[[#This Row],[Order_Date]],"MMM")</f>
        <v>Dec</v>
      </c>
      <c r="M997" s="5" t="str">
        <f>IF(Table1[[#This Row],[Profit]]&gt;=1000,"Excellent",IF(Table1[[#This Row],[Profit]]&gt;=500,"Good", IF(Table1[[#This Row],[Profit]]&lt;500,"Low")))</f>
        <v>Low</v>
      </c>
      <c r="N997" s="7" t="str">
        <f>TEXT(Table1[[#This Row],[Order_Date]],"YYY")</f>
        <v>2024</v>
      </c>
    </row>
    <row r="998" spans="1:14" x14ac:dyDescent="0.3">
      <c r="A998" s="4">
        <v>45658</v>
      </c>
      <c r="B998" s="5" t="s">
        <v>8</v>
      </c>
      <c r="C998" s="5" t="s">
        <v>14</v>
      </c>
      <c r="D998" s="23">
        <v>205.85</v>
      </c>
      <c r="E998" s="23">
        <v>87.71</v>
      </c>
      <c r="F998" s="23">
        <v>118.14</v>
      </c>
      <c r="G998" s="5" t="s">
        <v>9</v>
      </c>
      <c r="H998" s="5" t="s">
        <v>15</v>
      </c>
      <c r="I998" s="5" t="s">
        <v>17</v>
      </c>
      <c r="J998" s="6">
        <f>Table1[[#This Row],[Profit]]/Table1[[#This Row],[Sales]]</f>
        <v>0.57391304347826089</v>
      </c>
      <c r="K998" s="5" t="str">
        <f t="shared" si="15"/>
        <v>Low</v>
      </c>
      <c r="L998" s="5" t="str">
        <f>TEXT(Table1[[#This Row],[Order_Date]],"MMM")</f>
        <v>Jan</v>
      </c>
      <c r="M998" s="5" t="str">
        <f>IF(Table1[[#This Row],[Profit]]&gt;=1000,"Excellent",IF(Table1[[#This Row],[Profit]]&gt;=500,"Good", IF(Table1[[#This Row],[Profit]]&lt;500,"Low")))</f>
        <v>Low</v>
      </c>
      <c r="N998" s="7" t="str">
        <f>TEXT(Table1[[#This Row],[Order_Date]],"YYY")</f>
        <v>2025</v>
      </c>
    </row>
    <row r="999" spans="1:14" x14ac:dyDescent="0.3">
      <c r="A999" s="4">
        <v>45660</v>
      </c>
      <c r="B999" s="5" t="s">
        <v>16</v>
      </c>
      <c r="C999" s="5" t="s">
        <v>19</v>
      </c>
      <c r="D999" s="23">
        <v>93.79</v>
      </c>
      <c r="E999" s="23">
        <v>29.34</v>
      </c>
      <c r="F999" s="23">
        <v>64.45</v>
      </c>
      <c r="G999" s="5" t="s">
        <v>9</v>
      </c>
      <c r="H999" s="5" t="s">
        <v>7</v>
      </c>
      <c r="I999" s="5" t="s">
        <v>25</v>
      </c>
      <c r="J999" s="6">
        <f>Table1[[#This Row],[Profit]]/Table1[[#This Row],[Sales]]</f>
        <v>0.68717347265166862</v>
      </c>
      <c r="K999" s="5" t="str">
        <f t="shared" si="15"/>
        <v>Low</v>
      </c>
      <c r="L999" s="5" t="str">
        <f>TEXT(Table1[[#This Row],[Order_Date]],"MMM")</f>
        <v>Jan</v>
      </c>
      <c r="M999" s="5" t="str">
        <f>IF(Table1[[#This Row],[Profit]]&gt;=1000,"Excellent",IF(Table1[[#This Row],[Profit]]&gt;=500,"Good", IF(Table1[[#This Row],[Profit]]&lt;500,"Low")))</f>
        <v>Low</v>
      </c>
      <c r="N999" s="7" t="str">
        <f>TEXT(Table1[[#This Row],[Order_Date]],"YYY")</f>
        <v>2025</v>
      </c>
    </row>
    <row r="1000" spans="1:14" x14ac:dyDescent="0.3">
      <c r="A1000" s="4">
        <v>45660</v>
      </c>
      <c r="B1000" s="5" t="s">
        <v>0</v>
      </c>
      <c r="C1000" s="5" t="s">
        <v>5</v>
      </c>
      <c r="D1000" s="23">
        <v>1112.8499999999999</v>
      </c>
      <c r="E1000" s="23">
        <v>409.26</v>
      </c>
      <c r="F1000" s="23">
        <v>703.59</v>
      </c>
      <c r="G1000" s="5" t="s">
        <v>20</v>
      </c>
      <c r="H1000" s="5" t="s">
        <v>33</v>
      </c>
      <c r="I1000" s="5" t="s">
        <v>25</v>
      </c>
      <c r="J1000" s="6">
        <f>Table1[[#This Row],[Profit]]/Table1[[#This Row],[Sales]]</f>
        <v>0.63224154198679072</v>
      </c>
      <c r="K1000" s="5" t="str">
        <f t="shared" si="15"/>
        <v>Low</v>
      </c>
      <c r="L1000" s="5" t="str">
        <f>TEXT(Table1[[#This Row],[Order_Date]],"MMM")</f>
        <v>Jan</v>
      </c>
      <c r="M1000" s="5" t="str">
        <f>IF(Table1[[#This Row],[Profit]]&gt;=1000,"Excellent",IF(Table1[[#This Row],[Profit]]&gt;=500,"Good", IF(Table1[[#This Row],[Profit]]&lt;500,"Low")))</f>
        <v>Good</v>
      </c>
      <c r="N1000" s="7" t="str">
        <f>TEXT(Table1[[#This Row],[Order_Date]],"YYY")</f>
        <v>2025</v>
      </c>
    </row>
    <row r="1001" spans="1:14" x14ac:dyDescent="0.3">
      <c r="A1001" s="4">
        <v>45661</v>
      </c>
      <c r="B1001" s="5" t="s">
        <v>8</v>
      </c>
      <c r="C1001" s="5" t="s">
        <v>5</v>
      </c>
      <c r="D1001" s="23">
        <v>1842.52</v>
      </c>
      <c r="E1001" s="23">
        <v>612.65</v>
      </c>
      <c r="F1001" s="23">
        <v>1229.8699999999999</v>
      </c>
      <c r="G1001" s="5" t="s">
        <v>20</v>
      </c>
      <c r="H1001" s="5" t="s">
        <v>7</v>
      </c>
      <c r="I1001" s="5" t="s">
        <v>17</v>
      </c>
      <c r="J1001" s="6">
        <f>Table1[[#This Row],[Profit]]/Table1[[#This Row],[Sales]]</f>
        <v>0.66749343290710539</v>
      </c>
      <c r="K1001" s="5" t="str">
        <f t="shared" si="15"/>
        <v>Medium</v>
      </c>
      <c r="L1001" s="5" t="str">
        <f>TEXT(Table1[[#This Row],[Order_Date]],"MMM")</f>
        <v>Jan</v>
      </c>
      <c r="M1001" s="5" t="str">
        <f>IF(Table1[[#This Row],[Profit]]&gt;=1000,"Excellent",IF(Table1[[#This Row],[Profit]]&gt;=500,"Good", IF(Table1[[#This Row],[Profit]]&lt;500,"Low")))</f>
        <v>Excellent</v>
      </c>
      <c r="N1001" s="7" t="str">
        <f>TEXT(Table1[[#This Row],[Order_Date]],"YYY")</f>
        <v>2025</v>
      </c>
    </row>
    <row r="1002" spans="1:14" x14ac:dyDescent="0.3">
      <c r="A1002" s="4">
        <v>45661</v>
      </c>
      <c r="B1002" s="5" t="s">
        <v>18</v>
      </c>
      <c r="C1002" s="5" t="s">
        <v>26</v>
      </c>
      <c r="D1002" s="23">
        <v>541.70000000000005</v>
      </c>
      <c r="E1002" s="23">
        <v>199.78</v>
      </c>
      <c r="F1002" s="23">
        <v>341.92</v>
      </c>
      <c r="G1002" s="5" t="s">
        <v>20</v>
      </c>
      <c r="H1002" s="5" t="s">
        <v>34</v>
      </c>
      <c r="I1002" s="5" t="s">
        <v>11</v>
      </c>
      <c r="J1002" s="6">
        <f>Table1[[#This Row],[Profit]]/Table1[[#This Row],[Sales]]</f>
        <v>0.6311980801181466</v>
      </c>
      <c r="K1002" s="5" t="str">
        <f t="shared" si="15"/>
        <v>Low</v>
      </c>
      <c r="L1002" s="5" t="str">
        <f>TEXT(Table1[[#This Row],[Order_Date]],"MMM")</f>
        <v>Jan</v>
      </c>
      <c r="M1002" s="5" t="str">
        <f>IF(Table1[[#This Row],[Profit]]&gt;=1000,"Excellent",IF(Table1[[#This Row],[Profit]]&gt;=500,"Good", IF(Table1[[#This Row],[Profit]]&lt;500,"Low")))</f>
        <v>Low</v>
      </c>
      <c r="N1002" s="7" t="str">
        <f>TEXT(Table1[[#This Row],[Order_Date]],"YYY")</f>
        <v>2025</v>
      </c>
    </row>
    <row r="1003" spans="1:14" x14ac:dyDescent="0.3">
      <c r="A1003" s="4">
        <v>45663</v>
      </c>
      <c r="B1003" s="5" t="s">
        <v>0</v>
      </c>
      <c r="C1003" s="5" t="s">
        <v>23</v>
      </c>
      <c r="D1003" s="23">
        <v>519.29999999999995</v>
      </c>
      <c r="E1003" s="23">
        <v>203.81</v>
      </c>
      <c r="F1003" s="23">
        <v>315.49</v>
      </c>
      <c r="G1003" s="5" t="s">
        <v>2</v>
      </c>
      <c r="H1003" s="5" t="s">
        <v>15</v>
      </c>
      <c r="I1003" s="5" t="s">
        <v>11</v>
      </c>
      <c r="J1003" s="6">
        <f>Table1[[#This Row],[Profit]]/Table1[[#This Row],[Sales]]</f>
        <v>0.60752936645484312</v>
      </c>
      <c r="K1003" s="5" t="str">
        <f t="shared" si="15"/>
        <v>Low</v>
      </c>
      <c r="L1003" s="5" t="str">
        <f>TEXT(Table1[[#This Row],[Order_Date]],"MMM")</f>
        <v>Jan</v>
      </c>
      <c r="M1003" s="5" t="str">
        <f>IF(Table1[[#This Row],[Profit]]&gt;=1000,"Excellent",IF(Table1[[#This Row],[Profit]]&gt;=500,"Good", IF(Table1[[#This Row],[Profit]]&lt;500,"Low")))</f>
        <v>Low</v>
      </c>
      <c r="N1003" s="7" t="str">
        <f>TEXT(Table1[[#This Row],[Order_Date]],"YYY")</f>
        <v>2025</v>
      </c>
    </row>
    <row r="1004" spans="1:14" x14ac:dyDescent="0.3">
      <c r="A1004" s="4">
        <v>45664</v>
      </c>
      <c r="B1004" s="5" t="s">
        <v>8</v>
      </c>
      <c r="C1004" s="5" t="s">
        <v>23</v>
      </c>
      <c r="D1004" s="23">
        <v>812.91</v>
      </c>
      <c r="E1004" s="23">
        <v>346.54</v>
      </c>
      <c r="F1004" s="23">
        <v>466.37</v>
      </c>
      <c r="G1004" s="5" t="s">
        <v>2</v>
      </c>
      <c r="H1004" s="5" t="s">
        <v>12</v>
      </c>
      <c r="I1004" s="5" t="s">
        <v>4</v>
      </c>
      <c r="J1004" s="6">
        <f>Table1[[#This Row],[Profit]]/Table1[[#This Row],[Sales]]</f>
        <v>0.5737043461145761</v>
      </c>
      <c r="K1004" s="5" t="str">
        <f t="shared" si="15"/>
        <v>Low</v>
      </c>
      <c r="L1004" s="5" t="str">
        <f>TEXT(Table1[[#This Row],[Order_Date]],"MMM")</f>
        <v>Jan</v>
      </c>
      <c r="M1004" s="5" t="str">
        <f>IF(Table1[[#This Row],[Profit]]&gt;=1000,"Excellent",IF(Table1[[#This Row],[Profit]]&gt;=500,"Good", IF(Table1[[#This Row],[Profit]]&lt;500,"Low")))</f>
        <v>Low</v>
      </c>
      <c r="N1004" s="7" t="str">
        <f>TEXT(Table1[[#This Row],[Order_Date]],"YYY")</f>
        <v>2025</v>
      </c>
    </row>
    <row r="1005" spans="1:14" x14ac:dyDescent="0.3">
      <c r="A1005" s="4">
        <v>45665</v>
      </c>
      <c r="B1005" s="5" t="s">
        <v>16</v>
      </c>
      <c r="C1005" s="5" t="s">
        <v>26</v>
      </c>
      <c r="D1005" s="23">
        <v>951.26</v>
      </c>
      <c r="E1005" s="23">
        <v>394.74</v>
      </c>
      <c r="F1005" s="23">
        <v>556.52</v>
      </c>
      <c r="G1005" s="5" t="s">
        <v>20</v>
      </c>
      <c r="H1005" s="5" t="s">
        <v>7</v>
      </c>
      <c r="I1005" s="5" t="s">
        <v>17</v>
      </c>
      <c r="J1005" s="6">
        <f>Table1[[#This Row],[Profit]]/Table1[[#This Row],[Sales]]</f>
        <v>0.58503458570737754</v>
      </c>
      <c r="K1005" s="5" t="str">
        <f t="shared" si="15"/>
        <v>Low</v>
      </c>
      <c r="L1005" s="5" t="str">
        <f>TEXT(Table1[[#This Row],[Order_Date]],"MMM")</f>
        <v>Jan</v>
      </c>
      <c r="M1005" s="5" t="str">
        <f>IF(Table1[[#This Row],[Profit]]&gt;=1000,"Excellent",IF(Table1[[#This Row],[Profit]]&gt;=500,"Good", IF(Table1[[#This Row],[Profit]]&lt;500,"Low")))</f>
        <v>Good</v>
      </c>
      <c r="N1005" s="7" t="str">
        <f>TEXT(Table1[[#This Row],[Order_Date]],"YYY")</f>
        <v>2025</v>
      </c>
    </row>
    <row r="1006" spans="1:14" x14ac:dyDescent="0.3">
      <c r="A1006" s="4">
        <v>45665</v>
      </c>
      <c r="B1006" s="5" t="s">
        <v>18</v>
      </c>
      <c r="C1006" s="5" t="s">
        <v>19</v>
      </c>
      <c r="D1006" s="23">
        <v>88.57</v>
      </c>
      <c r="E1006" s="23">
        <v>39.17</v>
      </c>
      <c r="F1006" s="23">
        <v>49.4</v>
      </c>
      <c r="G1006" s="5" t="s">
        <v>32</v>
      </c>
      <c r="H1006" s="5" t="s">
        <v>3</v>
      </c>
      <c r="I1006" s="5" t="s">
        <v>17</v>
      </c>
      <c r="J1006" s="6">
        <f>Table1[[#This Row],[Profit]]/Table1[[#This Row],[Sales]]</f>
        <v>0.55775093146663657</v>
      </c>
      <c r="K1006" s="5" t="str">
        <f t="shared" si="15"/>
        <v>Low</v>
      </c>
      <c r="L1006" s="5" t="str">
        <f>TEXT(Table1[[#This Row],[Order_Date]],"MMM")</f>
        <v>Jan</v>
      </c>
      <c r="M1006" s="5" t="str">
        <f>IF(Table1[[#This Row],[Profit]]&gt;=1000,"Excellent",IF(Table1[[#This Row],[Profit]]&gt;=500,"Good", IF(Table1[[#This Row],[Profit]]&lt;500,"Low")))</f>
        <v>Low</v>
      </c>
      <c r="N1006" s="7" t="str">
        <f>TEXT(Table1[[#This Row],[Order_Date]],"YYY")</f>
        <v>2025</v>
      </c>
    </row>
    <row r="1007" spans="1:14" x14ac:dyDescent="0.3">
      <c r="A1007" s="4">
        <v>45666</v>
      </c>
      <c r="B1007" s="5" t="s">
        <v>8</v>
      </c>
      <c r="C1007" s="5" t="s">
        <v>31</v>
      </c>
      <c r="D1007" s="23">
        <v>35.32</v>
      </c>
      <c r="E1007" s="23">
        <v>11.08</v>
      </c>
      <c r="F1007" s="23">
        <v>24.24</v>
      </c>
      <c r="G1007" s="5" t="s">
        <v>20</v>
      </c>
      <c r="H1007" s="5" t="s">
        <v>28</v>
      </c>
      <c r="I1007" s="5" t="s">
        <v>4</v>
      </c>
      <c r="J1007" s="6">
        <f>Table1[[#This Row],[Profit]]/Table1[[#This Row],[Sales]]</f>
        <v>0.6862967157417893</v>
      </c>
      <c r="K1007" s="5" t="str">
        <f t="shared" si="15"/>
        <v>Low</v>
      </c>
      <c r="L1007" s="5" t="str">
        <f>TEXT(Table1[[#This Row],[Order_Date]],"MMM")</f>
        <v>Jan</v>
      </c>
      <c r="M1007" s="5" t="str">
        <f>IF(Table1[[#This Row],[Profit]]&gt;=1000,"Excellent",IF(Table1[[#This Row],[Profit]]&gt;=500,"Good", IF(Table1[[#This Row],[Profit]]&lt;500,"Low")))</f>
        <v>Low</v>
      </c>
      <c r="N1007" s="7" t="str">
        <f>TEXT(Table1[[#This Row],[Order_Date]],"YYY")</f>
        <v>2025</v>
      </c>
    </row>
    <row r="1008" spans="1:14" x14ac:dyDescent="0.3">
      <c r="A1008" s="4">
        <v>45666</v>
      </c>
      <c r="B1008" s="5" t="s">
        <v>0</v>
      </c>
      <c r="C1008" s="5" t="s">
        <v>5</v>
      </c>
      <c r="D1008" s="23">
        <v>405.31</v>
      </c>
      <c r="E1008" s="23">
        <v>146.54</v>
      </c>
      <c r="F1008" s="23">
        <v>258.77</v>
      </c>
      <c r="G1008" s="5" t="s">
        <v>32</v>
      </c>
      <c r="H1008" s="5" t="s">
        <v>12</v>
      </c>
      <c r="I1008" s="5" t="s">
        <v>22</v>
      </c>
      <c r="J1008" s="6">
        <f>Table1[[#This Row],[Profit]]/Table1[[#This Row],[Sales]]</f>
        <v>0.63844958180158395</v>
      </c>
      <c r="K1008" s="5" t="str">
        <f t="shared" si="15"/>
        <v>Low</v>
      </c>
      <c r="L1008" s="5" t="str">
        <f>TEXT(Table1[[#This Row],[Order_Date]],"MMM")</f>
        <v>Jan</v>
      </c>
      <c r="M1008" s="5" t="str">
        <f>IF(Table1[[#This Row],[Profit]]&gt;=1000,"Excellent",IF(Table1[[#This Row],[Profit]]&gt;=500,"Good", IF(Table1[[#This Row],[Profit]]&lt;500,"Low")))</f>
        <v>Low</v>
      </c>
      <c r="N1008" s="7" t="str">
        <f>TEXT(Table1[[#This Row],[Order_Date]],"YYY")</f>
        <v>2025</v>
      </c>
    </row>
    <row r="1009" spans="1:14" x14ac:dyDescent="0.3">
      <c r="A1009" s="4">
        <v>45668</v>
      </c>
      <c r="B1009" s="5" t="s">
        <v>16</v>
      </c>
      <c r="C1009" s="5" t="s">
        <v>14</v>
      </c>
      <c r="D1009" s="23">
        <v>176.57</v>
      </c>
      <c r="E1009" s="23">
        <v>55.7</v>
      </c>
      <c r="F1009" s="23">
        <v>120.87</v>
      </c>
      <c r="G1009" s="5" t="s">
        <v>20</v>
      </c>
      <c r="H1009" s="5" t="s">
        <v>33</v>
      </c>
      <c r="I1009" s="5" t="s">
        <v>25</v>
      </c>
      <c r="J1009" s="6">
        <f>Table1[[#This Row],[Profit]]/Table1[[#This Row],[Sales]]</f>
        <v>0.68454437333635387</v>
      </c>
      <c r="K1009" s="5" t="str">
        <f t="shared" si="15"/>
        <v>Low</v>
      </c>
      <c r="L1009" s="5" t="str">
        <f>TEXT(Table1[[#This Row],[Order_Date]],"MMM")</f>
        <v>Jan</v>
      </c>
      <c r="M1009" s="5" t="str">
        <f>IF(Table1[[#This Row],[Profit]]&gt;=1000,"Excellent",IF(Table1[[#This Row],[Profit]]&gt;=500,"Good", IF(Table1[[#This Row],[Profit]]&lt;500,"Low")))</f>
        <v>Low</v>
      </c>
      <c r="N1009" s="7" t="str">
        <f>TEXT(Table1[[#This Row],[Order_Date]],"YYY")</f>
        <v>2025</v>
      </c>
    </row>
    <row r="1010" spans="1:14" x14ac:dyDescent="0.3">
      <c r="A1010" s="4">
        <v>45668</v>
      </c>
      <c r="B1010" s="5" t="s">
        <v>18</v>
      </c>
      <c r="C1010" s="5" t="s">
        <v>1</v>
      </c>
      <c r="D1010" s="23">
        <v>305.97000000000003</v>
      </c>
      <c r="E1010" s="23">
        <v>175.37</v>
      </c>
      <c r="F1010" s="23">
        <v>130.6</v>
      </c>
      <c r="G1010" s="5" t="s">
        <v>20</v>
      </c>
      <c r="H1010" s="5" t="s">
        <v>12</v>
      </c>
      <c r="I1010" s="5" t="s">
        <v>11</v>
      </c>
      <c r="J1010" s="6">
        <f>Table1[[#This Row],[Profit]]/Table1[[#This Row],[Sales]]</f>
        <v>0.42683923260450363</v>
      </c>
      <c r="K1010" s="5" t="str">
        <f t="shared" si="15"/>
        <v>Low</v>
      </c>
      <c r="L1010" s="5" t="str">
        <f>TEXT(Table1[[#This Row],[Order_Date]],"MMM")</f>
        <v>Jan</v>
      </c>
      <c r="M1010" s="5" t="str">
        <f>IF(Table1[[#This Row],[Profit]]&gt;=1000,"Excellent",IF(Table1[[#This Row],[Profit]]&gt;=500,"Good", IF(Table1[[#This Row],[Profit]]&lt;500,"Low")))</f>
        <v>Low</v>
      </c>
      <c r="N1010" s="7" t="str">
        <f>TEXT(Table1[[#This Row],[Order_Date]],"YYY")</f>
        <v>2025</v>
      </c>
    </row>
    <row r="1011" spans="1:14" x14ac:dyDescent="0.3">
      <c r="A1011" s="4">
        <v>45669</v>
      </c>
      <c r="B1011" s="5" t="s">
        <v>16</v>
      </c>
      <c r="C1011" s="5" t="s">
        <v>1</v>
      </c>
      <c r="D1011" s="23">
        <v>443.85</v>
      </c>
      <c r="E1011" s="23">
        <v>298.57</v>
      </c>
      <c r="F1011" s="23">
        <v>145.28</v>
      </c>
      <c r="G1011" s="5" t="s">
        <v>20</v>
      </c>
      <c r="H1011" s="5" t="s">
        <v>34</v>
      </c>
      <c r="I1011" s="5" t="s">
        <v>22</v>
      </c>
      <c r="J1011" s="6">
        <f>Table1[[#This Row],[Profit]]/Table1[[#This Row],[Sales]]</f>
        <v>0.32731778754083585</v>
      </c>
      <c r="K1011" s="5" t="str">
        <f t="shared" si="15"/>
        <v>Low</v>
      </c>
      <c r="L1011" s="5" t="str">
        <f>TEXT(Table1[[#This Row],[Order_Date]],"MMM")</f>
        <v>Jan</v>
      </c>
      <c r="M1011" s="5" t="str">
        <f>IF(Table1[[#This Row],[Profit]]&gt;=1000,"Excellent",IF(Table1[[#This Row],[Profit]]&gt;=500,"Good", IF(Table1[[#This Row],[Profit]]&lt;500,"Low")))</f>
        <v>Low</v>
      </c>
      <c r="N1011" s="7" t="str">
        <f>TEXT(Table1[[#This Row],[Order_Date]],"YYY")</f>
        <v>2025</v>
      </c>
    </row>
    <row r="1012" spans="1:14" x14ac:dyDescent="0.3">
      <c r="A1012" s="4">
        <v>45669</v>
      </c>
      <c r="B1012" s="5" t="s">
        <v>18</v>
      </c>
      <c r="C1012" s="5" t="s">
        <v>23</v>
      </c>
      <c r="D1012" s="23">
        <v>780.64</v>
      </c>
      <c r="E1012" s="23">
        <v>327.95</v>
      </c>
      <c r="F1012" s="23">
        <v>452.69</v>
      </c>
      <c r="G1012" s="5" t="s">
        <v>20</v>
      </c>
      <c r="H1012" s="5" t="s">
        <v>28</v>
      </c>
      <c r="I1012" s="5" t="s">
        <v>17</v>
      </c>
      <c r="J1012" s="6">
        <f>Table1[[#This Row],[Profit]]/Table1[[#This Row],[Sales]]</f>
        <v>0.5798959827833573</v>
      </c>
      <c r="K1012" s="5" t="str">
        <f t="shared" si="15"/>
        <v>Low</v>
      </c>
      <c r="L1012" s="5" t="str">
        <f>TEXT(Table1[[#This Row],[Order_Date]],"MMM")</f>
        <v>Jan</v>
      </c>
      <c r="M1012" s="5" t="str">
        <f>IF(Table1[[#This Row],[Profit]]&gt;=1000,"Excellent",IF(Table1[[#This Row],[Profit]]&gt;=500,"Good", IF(Table1[[#This Row],[Profit]]&lt;500,"Low")))</f>
        <v>Low</v>
      </c>
      <c r="N1012" s="7" t="str">
        <f>TEXT(Table1[[#This Row],[Order_Date]],"YYY")</f>
        <v>2025</v>
      </c>
    </row>
    <row r="1013" spans="1:14" x14ac:dyDescent="0.3">
      <c r="A1013" s="4">
        <v>45670</v>
      </c>
      <c r="B1013" s="5" t="s">
        <v>13</v>
      </c>
      <c r="C1013" s="5" t="s">
        <v>1</v>
      </c>
      <c r="D1013" s="23">
        <v>1127.24</v>
      </c>
      <c r="E1013" s="23">
        <v>561.14</v>
      </c>
      <c r="F1013" s="23">
        <v>566.1</v>
      </c>
      <c r="G1013" s="5" t="s">
        <v>2</v>
      </c>
      <c r="H1013" s="5" t="s">
        <v>34</v>
      </c>
      <c r="I1013" s="5" t="s">
        <v>25</v>
      </c>
      <c r="J1013" s="6">
        <f>Table1[[#This Row],[Profit]]/Table1[[#This Row],[Sales]]</f>
        <v>0.50220006387282212</v>
      </c>
      <c r="K1013" s="5" t="str">
        <f t="shared" si="15"/>
        <v>Low</v>
      </c>
      <c r="L1013" s="5" t="str">
        <f>TEXT(Table1[[#This Row],[Order_Date]],"MMM")</f>
        <v>Jan</v>
      </c>
      <c r="M1013" s="5" t="str">
        <f>IF(Table1[[#This Row],[Profit]]&gt;=1000,"Excellent",IF(Table1[[#This Row],[Profit]]&gt;=500,"Good", IF(Table1[[#This Row],[Profit]]&lt;500,"Low")))</f>
        <v>Good</v>
      </c>
      <c r="N1013" s="7" t="str">
        <f>TEXT(Table1[[#This Row],[Order_Date]],"YYY")</f>
        <v>2025</v>
      </c>
    </row>
    <row r="1014" spans="1:14" x14ac:dyDescent="0.3">
      <c r="A1014" s="4">
        <v>45672</v>
      </c>
      <c r="B1014" s="5" t="s">
        <v>0</v>
      </c>
      <c r="C1014" s="5" t="s">
        <v>5</v>
      </c>
      <c r="D1014" s="23">
        <v>2293.7199999999998</v>
      </c>
      <c r="E1014" s="23">
        <v>713.72</v>
      </c>
      <c r="F1014" s="23">
        <v>1580</v>
      </c>
      <c r="G1014" s="5" t="s">
        <v>6</v>
      </c>
      <c r="H1014" s="5" t="s">
        <v>33</v>
      </c>
      <c r="I1014" s="5" t="s">
        <v>27</v>
      </c>
      <c r="J1014" s="6">
        <f>Table1[[#This Row],[Profit]]/Table1[[#This Row],[Sales]]</f>
        <v>0.68883734719146195</v>
      </c>
      <c r="K1014" s="5" t="str">
        <f t="shared" si="15"/>
        <v>High</v>
      </c>
      <c r="L1014" s="5" t="str">
        <f>TEXT(Table1[[#This Row],[Order_Date]],"MMM")</f>
        <v>Jan</v>
      </c>
      <c r="M1014" s="5" t="str">
        <f>IF(Table1[[#This Row],[Profit]]&gt;=1000,"Excellent",IF(Table1[[#This Row],[Profit]]&gt;=500,"Good", IF(Table1[[#This Row],[Profit]]&lt;500,"Low")))</f>
        <v>Excellent</v>
      </c>
      <c r="N1014" s="7" t="str">
        <f>TEXT(Table1[[#This Row],[Order_Date]],"YYY")</f>
        <v>2025</v>
      </c>
    </row>
    <row r="1015" spans="1:14" x14ac:dyDescent="0.3">
      <c r="A1015" s="4">
        <v>45672</v>
      </c>
      <c r="B1015" s="5" t="s">
        <v>18</v>
      </c>
      <c r="C1015" s="5" t="s">
        <v>1</v>
      </c>
      <c r="D1015" s="23">
        <v>64.83</v>
      </c>
      <c r="E1015" s="23">
        <v>32.03</v>
      </c>
      <c r="F1015" s="23">
        <v>32.799999999999997</v>
      </c>
      <c r="G1015" s="5" t="s">
        <v>2</v>
      </c>
      <c r="H1015" s="5" t="s">
        <v>12</v>
      </c>
      <c r="I1015" s="5" t="s">
        <v>22</v>
      </c>
      <c r="J1015" s="6">
        <f>Table1[[#This Row],[Profit]]/Table1[[#This Row],[Sales]]</f>
        <v>0.50593860866882612</v>
      </c>
      <c r="K1015" s="5" t="str">
        <f t="shared" si="15"/>
        <v>Low</v>
      </c>
      <c r="L1015" s="5" t="str">
        <f>TEXT(Table1[[#This Row],[Order_Date]],"MMM")</f>
        <v>Jan</v>
      </c>
      <c r="M1015" s="5" t="str">
        <f>IF(Table1[[#This Row],[Profit]]&gt;=1000,"Excellent",IF(Table1[[#This Row],[Profit]]&gt;=500,"Good", IF(Table1[[#This Row],[Profit]]&lt;500,"Low")))</f>
        <v>Low</v>
      </c>
      <c r="N1015" s="7" t="str">
        <f>TEXT(Table1[[#This Row],[Order_Date]],"YYY")</f>
        <v>2025</v>
      </c>
    </row>
    <row r="1016" spans="1:14" x14ac:dyDescent="0.3">
      <c r="A1016" s="4">
        <v>45674</v>
      </c>
      <c r="B1016" s="5" t="s">
        <v>0</v>
      </c>
      <c r="C1016" s="5" t="s">
        <v>23</v>
      </c>
      <c r="D1016" s="23">
        <v>193.5</v>
      </c>
      <c r="E1016" s="23">
        <v>91.15</v>
      </c>
      <c r="F1016" s="23">
        <v>102.35</v>
      </c>
      <c r="G1016" s="5" t="s">
        <v>32</v>
      </c>
      <c r="H1016" s="5" t="s">
        <v>36</v>
      </c>
      <c r="I1016" s="5" t="s">
        <v>4</v>
      </c>
      <c r="J1016" s="6">
        <f>Table1[[#This Row],[Profit]]/Table1[[#This Row],[Sales]]</f>
        <v>0.52894056847545212</v>
      </c>
      <c r="K1016" s="5" t="str">
        <f t="shared" si="15"/>
        <v>Low</v>
      </c>
      <c r="L1016" s="5" t="str">
        <f>TEXT(Table1[[#This Row],[Order_Date]],"MMM")</f>
        <v>Jan</v>
      </c>
      <c r="M1016" s="5" t="str">
        <f>IF(Table1[[#This Row],[Profit]]&gt;=1000,"Excellent",IF(Table1[[#This Row],[Profit]]&gt;=500,"Good", IF(Table1[[#This Row],[Profit]]&lt;500,"Low")))</f>
        <v>Low</v>
      </c>
      <c r="N1016" s="7" t="str">
        <f>TEXT(Table1[[#This Row],[Order_Date]],"YYY")</f>
        <v>2025</v>
      </c>
    </row>
    <row r="1017" spans="1:14" x14ac:dyDescent="0.3">
      <c r="A1017" s="4">
        <v>45674</v>
      </c>
      <c r="B1017" s="5" t="s">
        <v>8</v>
      </c>
      <c r="C1017" s="5" t="s">
        <v>26</v>
      </c>
      <c r="D1017" s="23">
        <v>546.01</v>
      </c>
      <c r="E1017" s="23">
        <v>139.91</v>
      </c>
      <c r="F1017" s="23">
        <v>406.1</v>
      </c>
      <c r="G1017" s="5" t="s">
        <v>2</v>
      </c>
      <c r="H1017" s="5" t="s">
        <v>30</v>
      </c>
      <c r="I1017" s="5" t="s">
        <v>25</v>
      </c>
      <c r="J1017" s="6">
        <f>Table1[[#This Row],[Profit]]/Table1[[#This Row],[Sales]]</f>
        <v>0.74375927180820867</v>
      </c>
      <c r="K1017" s="5" t="str">
        <f t="shared" si="15"/>
        <v>Low</v>
      </c>
      <c r="L1017" s="5" t="str">
        <f>TEXT(Table1[[#This Row],[Order_Date]],"MMM")</f>
        <v>Jan</v>
      </c>
      <c r="M1017" s="5" t="str">
        <f>IF(Table1[[#This Row],[Profit]]&gt;=1000,"Excellent",IF(Table1[[#This Row],[Profit]]&gt;=500,"Good", IF(Table1[[#This Row],[Profit]]&lt;500,"Low")))</f>
        <v>Low</v>
      </c>
      <c r="N1017" s="7" t="str">
        <f>TEXT(Table1[[#This Row],[Order_Date]],"YYY")</f>
        <v>2025</v>
      </c>
    </row>
    <row r="1018" spans="1:14" x14ac:dyDescent="0.3">
      <c r="A1018" s="4">
        <v>45674</v>
      </c>
      <c r="B1018" s="5" t="s">
        <v>0</v>
      </c>
      <c r="C1018" s="5" t="s">
        <v>31</v>
      </c>
      <c r="D1018" s="23">
        <v>133.63</v>
      </c>
      <c r="E1018" s="23">
        <v>36.979999999999997</v>
      </c>
      <c r="F1018" s="23">
        <v>96.65</v>
      </c>
      <c r="G1018" s="5" t="s">
        <v>32</v>
      </c>
      <c r="H1018" s="5" t="s">
        <v>35</v>
      </c>
      <c r="I1018" s="5" t="s">
        <v>25</v>
      </c>
      <c r="J1018" s="6">
        <f>Table1[[#This Row],[Profit]]/Table1[[#This Row],[Sales]]</f>
        <v>0.7232657337424232</v>
      </c>
      <c r="K1018" s="5" t="str">
        <f t="shared" si="15"/>
        <v>Low</v>
      </c>
      <c r="L1018" s="5" t="str">
        <f>TEXT(Table1[[#This Row],[Order_Date]],"MMM")</f>
        <v>Jan</v>
      </c>
      <c r="M1018" s="5" t="str">
        <f>IF(Table1[[#This Row],[Profit]]&gt;=1000,"Excellent",IF(Table1[[#This Row],[Profit]]&gt;=500,"Good", IF(Table1[[#This Row],[Profit]]&lt;500,"Low")))</f>
        <v>Low</v>
      </c>
      <c r="N1018" s="7" t="str">
        <f>TEXT(Table1[[#This Row],[Order_Date]],"YYY")</f>
        <v>2025</v>
      </c>
    </row>
    <row r="1019" spans="1:14" x14ac:dyDescent="0.3">
      <c r="A1019" s="4">
        <v>45675</v>
      </c>
      <c r="B1019" s="5" t="s">
        <v>8</v>
      </c>
      <c r="C1019" s="5" t="s">
        <v>1</v>
      </c>
      <c r="D1019" s="23">
        <v>801.53</v>
      </c>
      <c r="E1019" s="23">
        <v>461.77</v>
      </c>
      <c r="F1019" s="23">
        <v>339.76</v>
      </c>
      <c r="G1019" s="5" t="s">
        <v>20</v>
      </c>
      <c r="H1019" s="5" t="s">
        <v>36</v>
      </c>
      <c r="I1019" s="5" t="s">
        <v>25</v>
      </c>
      <c r="J1019" s="6">
        <f>Table1[[#This Row],[Profit]]/Table1[[#This Row],[Sales]]</f>
        <v>0.42388931169139021</v>
      </c>
      <c r="K1019" s="5" t="str">
        <f t="shared" si="15"/>
        <v>Low</v>
      </c>
      <c r="L1019" s="5" t="str">
        <f>TEXT(Table1[[#This Row],[Order_Date]],"MMM")</f>
        <v>Jan</v>
      </c>
      <c r="M1019" s="5" t="str">
        <f>IF(Table1[[#This Row],[Profit]]&gt;=1000,"Excellent",IF(Table1[[#This Row],[Profit]]&gt;=500,"Good", IF(Table1[[#This Row],[Profit]]&lt;500,"Low")))</f>
        <v>Low</v>
      </c>
      <c r="N1019" s="7" t="str">
        <f>TEXT(Table1[[#This Row],[Order_Date]],"YYY")</f>
        <v>2025</v>
      </c>
    </row>
    <row r="1020" spans="1:14" x14ac:dyDescent="0.3">
      <c r="A1020" s="4">
        <v>45676</v>
      </c>
      <c r="B1020" s="5" t="s">
        <v>8</v>
      </c>
      <c r="C1020" s="5" t="s">
        <v>26</v>
      </c>
      <c r="D1020" s="23">
        <v>854.74</v>
      </c>
      <c r="E1020" s="23">
        <v>315.19</v>
      </c>
      <c r="F1020" s="23">
        <v>539.54999999999995</v>
      </c>
      <c r="G1020" s="5" t="s">
        <v>20</v>
      </c>
      <c r="H1020" s="5" t="s">
        <v>36</v>
      </c>
      <c r="I1020" s="5" t="s">
        <v>11</v>
      </c>
      <c r="J1020" s="6">
        <f>Table1[[#This Row],[Profit]]/Table1[[#This Row],[Sales]]</f>
        <v>0.63124458899782387</v>
      </c>
      <c r="K1020" s="5" t="str">
        <f t="shared" si="15"/>
        <v>Low</v>
      </c>
      <c r="L1020" s="5" t="str">
        <f>TEXT(Table1[[#This Row],[Order_Date]],"MMM")</f>
        <v>Jan</v>
      </c>
      <c r="M1020" s="5" t="str">
        <f>IF(Table1[[#This Row],[Profit]]&gt;=1000,"Excellent",IF(Table1[[#This Row],[Profit]]&gt;=500,"Good", IF(Table1[[#This Row],[Profit]]&lt;500,"Low")))</f>
        <v>Good</v>
      </c>
      <c r="N1020" s="7" t="str">
        <f>TEXT(Table1[[#This Row],[Order_Date]],"YYY")</f>
        <v>2025</v>
      </c>
    </row>
    <row r="1021" spans="1:14" x14ac:dyDescent="0.3">
      <c r="A1021" s="4">
        <v>45676</v>
      </c>
      <c r="B1021" s="5" t="s">
        <v>16</v>
      </c>
      <c r="C1021" s="5" t="s">
        <v>5</v>
      </c>
      <c r="D1021" s="23">
        <v>141.13999999999999</v>
      </c>
      <c r="E1021" s="23">
        <v>47.62</v>
      </c>
      <c r="F1021" s="23">
        <v>93.52</v>
      </c>
      <c r="G1021" s="5" t="s">
        <v>2</v>
      </c>
      <c r="H1021" s="5" t="s">
        <v>36</v>
      </c>
      <c r="I1021" s="5" t="s">
        <v>22</v>
      </c>
      <c r="J1021" s="6">
        <f>Table1[[#This Row],[Profit]]/Table1[[#This Row],[Sales]]</f>
        <v>0.66260450616409239</v>
      </c>
      <c r="K1021" s="5" t="str">
        <f t="shared" si="15"/>
        <v>Low</v>
      </c>
      <c r="L1021" s="5" t="str">
        <f>TEXT(Table1[[#This Row],[Order_Date]],"MMM")</f>
        <v>Jan</v>
      </c>
      <c r="M1021" s="5" t="str">
        <f>IF(Table1[[#This Row],[Profit]]&gt;=1000,"Excellent",IF(Table1[[#This Row],[Profit]]&gt;=500,"Good", IF(Table1[[#This Row],[Profit]]&lt;500,"Low")))</f>
        <v>Low</v>
      </c>
      <c r="N1021" s="7" t="str">
        <f>TEXT(Table1[[#This Row],[Order_Date]],"YYY")</f>
        <v>2025</v>
      </c>
    </row>
    <row r="1022" spans="1:14" x14ac:dyDescent="0.3">
      <c r="A1022" s="4">
        <v>45676</v>
      </c>
      <c r="B1022" s="5" t="s">
        <v>13</v>
      </c>
      <c r="C1022" s="5" t="s">
        <v>23</v>
      </c>
      <c r="D1022" s="23">
        <v>330.87</v>
      </c>
      <c r="E1022" s="23">
        <v>159.63</v>
      </c>
      <c r="F1022" s="23">
        <v>171.24</v>
      </c>
      <c r="G1022" s="5" t="s">
        <v>6</v>
      </c>
      <c r="H1022" s="5" t="s">
        <v>29</v>
      </c>
      <c r="I1022" s="5" t="s">
        <v>4</v>
      </c>
      <c r="J1022" s="6">
        <f>Table1[[#This Row],[Profit]]/Table1[[#This Row],[Sales]]</f>
        <v>0.51754465500045332</v>
      </c>
      <c r="K1022" s="5" t="str">
        <f t="shared" si="15"/>
        <v>Low</v>
      </c>
      <c r="L1022" s="5" t="str">
        <f>TEXT(Table1[[#This Row],[Order_Date]],"MMM")</f>
        <v>Jan</v>
      </c>
      <c r="M1022" s="5" t="str">
        <f>IF(Table1[[#This Row],[Profit]]&gt;=1000,"Excellent",IF(Table1[[#This Row],[Profit]]&gt;=500,"Good", IF(Table1[[#This Row],[Profit]]&lt;500,"Low")))</f>
        <v>Low</v>
      </c>
      <c r="N1022" s="7" t="str">
        <f>TEXT(Table1[[#This Row],[Order_Date]],"YYY")</f>
        <v>2025</v>
      </c>
    </row>
    <row r="1023" spans="1:14" x14ac:dyDescent="0.3">
      <c r="A1023" s="4">
        <v>45676</v>
      </c>
      <c r="B1023" s="5" t="s">
        <v>13</v>
      </c>
      <c r="C1023" s="5" t="s">
        <v>23</v>
      </c>
      <c r="D1023" s="23">
        <v>823.01</v>
      </c>
      <c r="E1023" s="23">
        <v>334.34</v>
      </c>
      <c r="F1023" s="23">
        <v>488.67</v>
      </c>
      <c r="G1023" s="5" t="s">
        <v>6</v>
      </c>
      <c r="H1023" s="5" t="s">
        <v>15</v>
      </c>
      <c r="I1023" s="5" t="s">
        <v>4</v>
      </c>
      <c r="J1023" s="6">
        <f>Table1[[#This Row],[Profit]]/Table1[[#This Row],[Sales]]</f>
        <v>0.59375949259425764</v>
      </c>
      <c r="K1023" s="5" t="str">
        <f t="shared" si="15"/>
        <v>Low</v>
      </c>
      <c r="L1023" s="5" t="str">
        <f>TEXT(Table1[[#This Row],[Order_Date]],"MMM")</f>
        <v>Jan</v>
      </c>
      <c r="M1023" s="5" t="str">
        <f>IF(Table1[[#This Row],[Profit]]&gt;=1000,"Excellent",IF(Table1[[#This Row],[Profit]]&gt;=500,"Good", IF(Table1[[#This Row],[Profit]]&lt;500,"Low")))</f>
        <v>Low</v>
      </c>
      <c r="N1023" s="7" t="str">
        <f>TEXT(Table1[[#This Row],[Order_Date]],"YYY")</f>
        <v>2025</v>
      </c>
    </row>
    <row r="1024" spans="1:14" x14ac:dyDescent="0.3">
      <c r="A1024" s="4">
        <v>45677</v>
      </c>
      <c r="B1024" s="5" t="s">
        <v>13</v>
      </c>
      <c r="C1024" s="5" t="s">
        <v>14</v>
      </c>
      <c r="D1024" s="23">
        <v>355.7</v>
      </c>
      <c r="E1024" s="23">
        <v>192.55</v>
      </c>
      <c r="F1024" s="23">
        <v>163.15</v>
      </c>
      <c r="G1024" s="5" t="s">
        <v>20</v>
      </c>
      <c r="H1024" s="5" t="s">
        <v>3</v>
      </c>
      <c r="I1024" s="5" t="s">
        <v>22</v>
      </c>
      <c r="J1024" s="6">
        <f>Table1[[#This Row],[Profit]]/Table1[[#This Row],[Sales]]</f>
        <v>0.45867303907787466</v>
      </c>
      <c r="K1024" s="5" t="str">
        <f t="shared" si="15"/>
        <v>Low</v>
      </c>
      <c r="L1024" s="5" t="str">
        <f>TEXT(Table1[[#This Row],[Order_Date]],"MMM")</f>
        <v>Jan</v>
      </c>
      <c r="M1024" s="5" t="str">
        <f>IF(Table1[[#This Row],[Profit]]&gt;=1000,"Excellent",IF(Table1[[#This Row],[Profit]]&gt;=500,"Good", IF(Table1[[#This Row],[Profit]]&lt;500,"Low")))</f>
        <v>Low</v>
      </c>
      <c r="N1024" s="7" t="str">
        <f>TEXT(Table1[[#This Row],[Order_Date]],"YYY")</f>
        <v>2025</v>
      </c>
    </row>
    <row r="1025" spans="1:14" x14ac:dyDescent="0.3">
      <c r="A1025" s="4">
        <v>45677</v>
      </c>
      <c r="B1025" s="5" t="s">
        <v>18</v>
      </c>
      <c r="C1025" s="5" t="s">
        <v>14</v>
      </c>
      <c r="D1025" s="23">
        <v>343.6</v>
      </c>
      <c r="E1025" s="23">
        <v>149.55000000000001</v>
      </c>
      <c r="F1025" s="23">
        <v>194.05</v>
      </c>
      <c r="G1025" s="5" t="s">
        <v>9</v>
      </c>
      <c r="H1025" s="5" t="s">
        <v>29</v>
      </c>
      <c r="I1025" s="5" t="s">
        <v>27</v>
      </c>
      <c r="J1025" s="6">
        <f>Table1[[#This Row],[Profit]]/Table1[[#This Row],[Sales]]</f>
        <v>0.56475552968568099</v>
      </c>
      <c r="K1025" s="5" t="str">
        <f t="shared" si="15"/>
        <v>Low</v>
      </c>
      <c r="L1025" s="5" t="str">
        <f>TEXT(Table1[[#This Row],[Order_Date]],"MMM")</f>
        <v>Jan</v>
      </c>
      <c r="M1025" s="5" t="str">
        <f>IF(Table1[[#This Row],[Profit]]&gt;=1000,"Excellent",IF(Table1[[#This Row],[Profit]]&gt;=500,"Good", IF(Table1[[#This Row],[Profit]]&lt;500,"Low")))</f>
        <v>Low</v>
      </c>
      <c r="N1025" s="7" t="str">
        <f>TEXT(Table1[[#This Row],[Order_Date]],"YYY")</f>
        <v>2025</v>
      </c>
    </row>
    <row r="1026" spans="1:14" x14ac:dyDescent="0.3">
      <c r="A1026" s="4">
        <v>45677</v>
      </c>
      <c r="B1026" s="5" t="s">
        <v>18</v>
      </c>
      <c r="C1026" s="5" t="s">
        <v>14</v>
      </c>
      <c r="D1026" s="23">
        <v>285.11</v>
      </c>
      <c r="E1026" s="23">
        <v>149.16</v>
      </c>
      <c r="F1026" s="23">
        <v>135.94999999999999</v>
      </c>
      <c r="G1026" s="5" t="s">
        <v>2</v>
      </c>
      <c r="H1026" s="5" t="s">
        <v>35</v>
      </c>
      <c r="I1026" s="5" t="s">
        <v>17</v>
      </c>
      <c r="J1026" s="6">
        <f>Table1[[#This Row],[Profit]]/Table1[[#This Row],[Sales]]</f>
        <v>0.47683350285854575</v>
      </c>
      <c r="K1026" s="5" t="str">
        <f t="shared" ref="K1026:K1089" si="16">IF(D1026&gt;=2000,"High",IF(D1026&gt;=1500,"Medium","Low"))</f>
        <v>Low</v>
      </c>
      <c r="L1026" s="5" t="str">
        <f>TEXT(Table1[[#This Row],[Order_Date]],"MMM")</f>
        <v>Jan</v>
      </c>
      <c r="M1026" s="5" t="str">
        <f>IF(Table1[[#This Row],[Profit]]&gt;=1000,"Excellent",IF(Table1[[#This Row],[Profit]]&gt;=500,"Good", IF(Table1[[#This Row],[Profit]]&lt;500,"Low")))</f>
        <v>Low</v>
      </c>
      <c r="N1026" s="7" t="str">
        <f>TEXT(Table1[[#This Row],[Order_Date]],"YYY")</f>
        <v>2025</v>
      </c>
    </row>
    <row r="1027" spans="1:14" x14ac:dyDescent="0.3">
      <c r="A1027" s="4">
        <v>45677</v>
      </c>
      <c r="B1027" s="5" t="s">
        <v>16</v>
      </c>
      <c r="C1027" s="5" t="s">
        <v>26</v>
      </c>
      <c r="D1027" s="23">
        <v>949.39</v>
      </c>
      <c r="E1027" s="23">
        <v>399.12</v>
      </c>
      <c r="F1027" s="23">
        <v>550.27</v>
      </c>
      <c r="G1027" s="5" t="s">
        <v>6</v>
      </c>
      <c r="H1027" s="5" t="s">
        <v>24</v>
      </c>
      <c r="I1027" s="5" t="s">
        <v>22</v>
      </c>
      <c r="J1027" s="6">
        <f>Table1[[#This Row],[Profit]]/Table1[[#This Row],[Sales]]</f>
        <v>0.57960374556294036</v>
      </c>
      <c r="K1027" s="5" t="str">
        <f t="shared" si="16"/>
        <v>Low</v>
      </c>
      <c r="L1027" s="5" t="str">
        <f>TEXT(Table1[[#This Row],[Order_Date]],"MMM")</f>
        <v>Jan</v>
      </c>
      <c r="M1027" s="5" t="str">
        <f>IF(Table1[[#This Row],[Profit]]&gt;=1000,"Excellent",IF(Table1[[#This Row],[Profit]]&gt;=500,"Good", IF(Table1[[#This Row],[Profit]]&lt;500,"Low")))</f>
        <v>Good</v>
      </c>
      <c r="N1027" s="7" t="str">
        <f>TEXT(Table1[[#This Row],[Order_Date]],"YYY")</f>
        <v>2025</v>
      </c>
    </row>
    <row r="1028" spans="1:14" x14ac:dyDescent="0.3">
      <c r="A1028" s="4">
        <v>45678</v>
      </c>
      <c r="B1028" s="5" t="s">
        <v>18</v>
      </c>
      <c r="C1028" s="5" t="s">
        <v>31</v>
      </c>
      <c r="D1028" s="23">
        <v>189.29</v>
      </c>
      <c r="E1028" s="23">
        <v>49.94</v>
      </c>
      <c r="F1028" s="23">
        <v>139.35</v>
      </c>
      <c r="G1028" s="5" t="s">
        <v>2</v>
      </c>
      <c r="H1028" s="5" t="s">
        <v>24</v>
      </c>
      <c r="I1028" s="5" t="s">
        <v>17</v>
      </c>
      <c r="J1028" s="6">
        <f>Table1[[#This Row],[Profit]]/Table1[[#This Row],[Sales]]</f>
        <v>0.7361720111997464</v>
      </c>
      <c r="K1028" s="5" t="str">
        <f t="shared" si="16"/>
        <v>Low</v>
      </c>
      <c r="L1028" s="5" t="str">
        <f>TEXT(Table1[[#This Row],[Order_Date]],"MMM")</f>
        <v>Jan</v>
      </c>
      <c r="M1028" s="5" t="str">
        <f>IF(Table1[[#This Row],[Profit]]&gt;=1000,"Excellent",IF(Table1[[#This Row],[Profit]]&gt;=500,"Good", IF(Table1[[#This Row],[Profit]]&lt;500,"Low")))</f>
        <v>Low</v>
      </c>
      <c r="N1028" s="7" t="str">
        <f>TEXT(Table1[[#This Row],[Order_Date]],"YYY")</f>
        <v>2025</v>
      </c>
    </row>
    <row r="1029" spans="1:14" x14ac:dyDescent="0.3">
      <c r="A1029" s="4">
        <v>45678</v>
      </c>
      <c r="B1029" s="5" t="s">
        <v>18</v>
      </c>
      <c r="C1029" s="5" t="s">
        <v>19</v>
      </c>
      <c r="D1029" s="23">
        <v>141.54</v>
      </c>
      <c r="E1029" s="23">
        <v>35</v>
      </c>
      <c r="F1029" s="23">
        <v>106.54</v>
      </c>
      <c r="G1029" s="5" t="s">
        <v>9</v>
      </c>
      <c r="H1029" s="5" t="s">
        <v>12</v>
      </c>
      <c r="I1029" s="5" t="s">
        <v>11</v>
      </c>
      <c r="J1029" s="6">
        <f>Table1[[#This Row],[Profit]]/Table1[[#This Row],[Sales]]</f>
        <v>0.75272007912957473</v>
      </c>
      <c r="K1029" s="5" t="str">
        <f t="shared" si="16"/>
        <v>Low</v>
      </c>
      <c r="L1029" s="5" t="str">
        <f>TEXT(Table1[[#This Row],[Order_Date]],"MMM")</f>
        <v>Jan</v>
      </c>
      <c r="M1029" s="5" t="str">
        <f>IF(Table1[[#This Row],[Profit]]&gt;=1000,"Excellent",IF(Table1[[#This Row],[Profit]]&gt;=500,"Good", IF(Table1[[#This Row],[Profit]]&lt;500,"Low")))</f>
        <v>Low</v>
      </c>
      <c r="N1029" s="7" t="str">
        <f>TEXT(Table1[[#This Row],[Order_Date]],"YYY")</f>
        <v>2025</v>
      </c>
    </row>
    <row r="1030" spans="1:14" x14ac:dyDescent="0.3">
      <c r="A1030" s="4">
        <v>45679</v>
      </c>
      <c r="B1030" s="5" t="s">
        <v>8</v>
      </c>
      <c r="C1030" s="5" t="s">
        <v>1</v>
      </c>
      <c r="D1030" s="23">
        <v>264.52999999999997</v>
      </c>
      <c r="E1030" s="23">
        <v>175.22</v>
      </c>
      <c r="F1030" s="23">
        <v>89.31</v>
      </c>
      <c r="G1030" s="5" t="s">
        <v>9</v>
      </c>
      <c r="H1030" s="5" t="s">
        <v>28</v>
      </c>
      <c r="I1030" s="5" t="s">
        <v>11</v>
      </c>
      <c r="J1030" s="6">
        <f>Table1[[#This Row],[Profit]]/Table1[[#This Row],[Sales]]</f>
        <v>0.33761766151287192</v>
      </c>
      <c r="K1030" s="5" t="str">
        <f t="shared" si="16"/>
        <v>Low</v>
      </c>
      <c r="L1030" s="5" t="str">
        <f>TEXT(Table1[[#This Row],[Order_Date]],"MMM")</f>
        <v>Jan</v>
      </c>
      <c r="M1030" s="5" t="str">
        <f>IF(Table1[[#This Row],[Profit]]&gt;=1000,"Excellent",IF(Table1[[#This Row],[Profit]]&gt;=500,"Good", IF(Table1[[#This Row],[Profit]]&lt;500,"Low")))</f>
        <v>Low</v>
      </c>
      <c r="N1030" s="7" t="str">
        <f>TEXT(Table1[[#This Row],[Order_Date]],"YYY")</f>
        <v>2025</v>
      </c>
    </row>
    <row r="1031" spans="1:14" x14ac:dyDescent="0.3">
      <c r="A1031" s="4">
        <v>45680</v>
      </c>
      <c r="B1031" s="5" t="s">
        <v>18</v>
      </c>
      <c r="C1031" s="5" t="s">
        <v>23</v>
      </c>
      <c r="D1031" s="23">
        <v>71.59</v>
      </c>
      <c r="E1031" s="23">
        <v>28.58</v>
      </c>
      <c r="F1031" s="23">
        <v>43.01</v>
      </c>
      <c r="G1031" s="5" t="s">
        <v>6</v>
      </c>
      <c r="H1031" s="5" t="s">
        <v>36</v>
      </c>
      <c r="I1031" s="5" t="s">
        <v>22</v>
      </c>
      <c r="J1031" s="6">
        <f>Table1[[#This Row],[Profit]]/Table1[[#This Row],[Sales]]</f>
        <v>0.60078223215532889</v>
      </c>
      <c r="K1031" s="5" t="str">
        <f t="shared" si="16"/>
        <v>Low</v>
      </c>
      <c r="L1031" s="5" t="str">
        <f>TEXT(Table1[[#This Row],[Order_Date]],"MMM")</f>
        <v>Jan</v>
      </c>
      <c r="M1031" s="5" t="str">
        <f>IF(Table1[[#This Row],[Profit]]&gt;=1000,"Excellent",IF(Table1[[#This Row],[Profit]]&gt;=500,"Good", IF(Table1[[#This Row],[Profit]]&lt;500,"Low")))</f>
        <v>Low</v>
      </c>
      <c r="N1031" s="7" t="str">
        <f>TEXT(Table1[[#This Row],[Order_Date]],"YYY")</f>
        <v>2025</v>
      </c>
    </row>
    <row r="1032" spans="1:14" x14ac:dyDescent="0.3">
      <c r="A1032" s="4">
        <v>45681</v>
      </c>
      <c r="B1032" s="5" t="s">
        <v>13</v>
      </c>
      <c r="C1032" s="5" t="s">
        <v>1</v>
      </c>
      <c r="D1032" s="23">
        <v>1081.0899999999999</v>
      </c>
      <c r="E1032" s="23">
        <v>515.58000000000004</v>
      </c>
      <c r="F1032" s="23">
        <v>565.51</v>
      </c>
      <c r="G1032" s="5" t="s">
        <v>6</v>
      </c>
      <c r="H1032" s="5" t="s">
        <v>34</v>
      </c>
      <c r="I1032" s="5" t="s">
        <v>22</v>
      </c>
      <c r="J1032" s="6">
        <f>Table1[[#This Row],[Profit]]/Table1[[#This Row],[Sales]]</f>
        <v>0.52309243448741549</v>
      </c>
      <c r="K1032" s="5" t="str">
        <f t="shared" si="16"/>
        <v>Low</v>
      </c>
      <c r="L1032" s="5" t="str">
        <f>TEXT(Table1[[#This Row],[Order_Date]],"MMM")</f>
        <v>Jan</v>
      </c>
      <c r="M1032" s="5" t="str">
        <f>IF(Table1[[#This Row],[Profit]]&gt;=1000,"Excellent",IF(Table1[[#This Row],[Profit]]&gt;=500,"Good", IF(Table1[[#This Row],[Profit]]&lt;500,"Low")))</f>
        <v>Good</v>
      </c>
      <c r="N1032" s="7" t="str">
        <f>TEXT(Table1[[#This Row],[Order_Date]],"YYY")</f>
        <v>2025</v>
      </c>
    </row>
    <row r="1033" spans="1:14" x14ac:dyDescent="0.3">
      <c r="A1033" s="4">
        <v>45682</v>
      </c>
      <c r="B1033" s="5" t="s">
        <v>8</v>
      </c>
      <c r="C1033" s="5" t="s">
        <v>23</v>
      </c>
      <c r="D1033" s="23">
        <v>174.08</v>
      </c>
      <c r="E1033" s="23">
        <v>86.09</v>
      </c>
      <c r="F1033" s="23">
        <v>87.99</v>
      </c>
      <c r="G1033" s="5" t="s">
        <v>6</v>
      </c>
      <c r="H1033" s="5" t="s">
        <v>28</v>
      </c>
      <c r="I1033" s="5" t="s">
        <v>11</v>
      </c>
      <c r="J1033" s="6">
        <f>Table1[[#This Row],[Profit]]/Table1[[#This Row],[Sales]]</f>
        <v>0.50545726102941169</v>
      </c>
      <c r="K1033" s="5" t="str">
        <f t="shared" si="16"/>
        <v>Low</v>
      </c>
      <c r="L1033" s="5" t="str">
        <f>TEXT(Table1[[#This Row],[Order_Date]],"MMM")</f>
        <v>Jan</v>
      </c>
      <c r="M1033" s="5" t="str">
        <f>IF(Table1[[#This Row],[Profit]]&gt;=1000,"Excellent",IF(Table1[[#This Row],[Profit]]&gt;=500,"Good", IF(Table1[[#This Row],[Profit]]&lt;500,"Low")))</f>
        <v>Low</v>
      </c>
      <c r="N1033" s="7" t="str">
        <f>TEXT(Table1[[#This Row],[Order_Date]],"YYY")</f>
        <v>2025</v>
      </c>
    </row>
    <row r="1034" spans="1:14" x14ac:dyDescent="0.3">
      <c r="A1034" s="4">
        <v>45682</v>
      </c>
      <c r="B1034" s="5" t="s">
        <v>0</v>
      </c>
      <c r="C1034" s="5" t="s">
        <v>23</v>
      </c>
      <c r="D1034" s="23">
        <v>410.4</v>
      </c>
      <c r="E1034" s="23">
        <v>165.32</v>
      </c>
      <c r="F1034" s="23">
        <v>245.08</v>
      </c>
      <c r="G1034" s="5" t="s">
        <v>6</v>
      </c>
      <c r="H1034" s="5" t="s">
        <v>7</v>
      </c>
      <c r="I1034" s="5" t="s">
        <v>25</v>
      </c>
      <c r="J1034" s="6">
        <f>Table1[[#This Row],[Profit]]/Table1[[#This Row],[Sales]]</f>
        <v>0.59717348927875247</v>
      </c>
      <c r="K1034" s="5" t="str">
        <f t="shared" si="16"/>
        <v>Low</v>
      </c>
      <c r="L1034" s="5" t="str">
        <f>TEXT(Table1[[#This Row],[Order_Date]],"MMM")</f>
        <v>Jan</v>
      </c>
      <c r="M1034" s="5" t="str">
        <f>IF(Table1[[#This Row],[Profit]]&gt;=1000,"Excellent",IF(Table1[[#This Row],[Profit]]&gt;=500,"Good", IF(Table1[[#This Row],[Profit]]&lt;500,"Low")))</f>
        <v>Low</v>
      </c>
      <c r="N1034" s="7" t="str">
        <f>TEXT(Table1[[#This Row],[Order_Date]],"YYY")</f>
        <v>2025</v>
      </c>
    </row>
    <row r="1035" spans="1:14" x14ac:dyDescent="0.3">
      <c r="A1035" s="4">
        <v>45682</v>
      </c>
      <c r="B1035" s="5" t="s">
        <v>0</v>
      </c>
      <c r="C1035" s="5" t="s">
        <v>1</v>
      </c>
      <c r="D1035" s="23">
        <v>940.31</v>
      </c>
      <c r="E1035" s="23">
        <v>654.29999999999995</v>
      </c>
      <c r="F1035" s="23">
        <v>286.01</v>
      </c>
      <c r="G1035" s="5" t="s">
        <v>6</v>
      </c>
      <c r="H1035" s="5" t="s">
        <v>10</v>
      </c>
      <c r="I1035" s="5" t="s">
        <v>11</v>
      </c>
      <c r="J1035" s="6">
        <f>Table1[[#This Row],[Profit]]/Table1[[#This Row],[Sales]]</f>
        <v>0.30416564749922897</v>
      </c>
      <c r="K1035" s="5" t="str">
        <f t="shared" si="16"/>
        <v>Low</v>
      </c>
      <c r="L1035" s="5" t="str">
        <f>TEXT(Table1[[#This Row],[Order_Date]],"MMM")</f>
        <v>Jan</v>
      </c>
      <c r="M1035" s="5" t="str">
        <f>IF(Table1[[#This Row],[Profit]]&gt;=1000,"Excellent",IF(Table1[[#This Row],[Profit]]&gt;=500,"Good", IF(Table1[[#This Row],[Profit]]&lt;500,"Low")))</f>
        <v>Low</v>
      </c>
      <c r="N1035" s="7" t="str">
        <f>TEXT(Table1[[#This Row],[Order_Date]],"YYY")</f>
        <v>2025</v>
      </c>
    </row>
    <row r="1036" spans="1:14" x14ac:dyDescent="0.3">
      <c r="A1036" s="4">
        <v>45682</v>
      </c>
      <c r="B1036" s="5" t="s">
        <v>8</v>
      </c>
      <c r="C1036" s="5" t="s">
        <v>1</v>
      </c>
      <c r="D1036" s="23">
        <v>325.52</v>
      </c>
      <c r="E1036" s="23">
        <v>160.26</v>
      </c>
      <c r="F1036" s="23">
        <v>165.26</v>
      </c>
      <c r="G1036" s="5" t="s">
        <v>32</v>
      </c>
      <c r="H1036" s="5" t="s">
        <v>10</v>
      </c>
      <c r="I1036" s="5" t="s">
        <v>22</v>
      </c>
      <c r="J1036" s="6">
        <f>Table1[[#This Row],[Profit]]/Table1[[#This Row],[Sales]]</f>
        <v>0.5076800196608503</v>
      </c>
      <c r="K1036" s="5" t="str">
        <f t="shared" si="16"/>
        <v>Low</v>
      </c>
      <c r="L1036" s="5" t="str">
        <f>TEXT(Table1[[#This Row],[Order_Date]],"MMM")</f>
        <v>Jan</v>
      </c>
      <c r="M1036" s="5" t="str">
        <f>IF(Table1[[#This Row],[Profit]]&gt;=1000,"Excellent",IF(Table1[[#This Row],[Profit]]&gt;=500,"Good", IF(Table1[[#This Row],[Profit]]&lt;500,"Low")))</f>
        <v>Low</v>
      </c>
      <c r="N1036" s="7" t="str">
        <f>TEXT(Table1[[#This Row],[Order_Date]],"YYY")</f>
        <v>2025</v>
      </c>
    </row>
    <row r="1037" spans="1:14" x14ac:dyDescent="0.3">
      <c r="A1037" s="4">
        <v>45683</v>
      </c>
      <c r="B1037" s="5" t="s">
        <v>8</v>
      </c>
      <c r="C1037" s="5" t="s">
        <v>23</v>
      </c>
      <c r="D1037" s="23">
        <v>731.06</v>
      </c>
      <c r="E1037" s="23">
        <v>253.25</v>
      </c>
      <c r="F1037" s="23">
        <v>477.81</v>
      </c>
      <c r="G1037" s="5" t="s">
        <v>6</v>
      </c>
      <c r="H1037" s="5" t="s">
        <v>12</v>
      </c>
      <c r="I1037" s="5" t="s">
        <v>22</v>
      </c>
      <c r="J1037" s="6">
        <f>Table1[[#This Row],[Profit]]/Table1[[#This Row],[Sales]]</f>
        <v>0.65358520504472961</v>
      </c>
      <c r="K1037" s="5" t="str">
        <f t="shared" si="16"/>
        <v>Low</v>
      </c>
      <c r="L1037" s="5" t="str">
        <f>TEXT(Table1[[#This Row],[Order_Date]],"MMM")</f>
        <v>Jan</v>
      </c>
      <c r="M1037" s="5" t="str">
        <f>IF(Table1[[#This Row],[Profit]]&gt;=1000,"Excellent",IF(Table1[[#This Row],[Profit]]&gt;=500,"Good", IF(Table1[[#This Row],[Profit]]&lt;500,"Low")))</f>
        <v>Low</v>
      </c>
      <c r="N1037" s="7" t="str">
        <f>TEXT(Table1[[#This Row],[Order_Date]],"YYY")</f>
        <v>2025</v>
      </c>
    </row>
    <row r="1038" spans="1:14" x14ac:dyDescent="0.3">
      <c r="A1038" s="4">
        <v>45683</v>
      </c>
      <c r="B1038" s="5" t="s">
        <v>18</v>
      </c>
      <c r="C1038" s="5" t="s">
        <v>5</v>
      </c>
      <c r="D1038" s="23">
        <v>2103.79</v>
      </c>
      <c r="E1038" s="23">
        <v>854.01</v>
      </c>
      <c r="F1038" s="23">
        <v>1249.78</v>
      </c>
      <c r="G1038" s="5" t="s">
        <v>20</v>
      </c>
      <c r="H1038" s="5" t="s">
        <v>24</v>
      </c>
      <c r="I1038" s="5" t="s">
        <v>27</v>
      </c>
      <c r="J1038" s="6">
        <f>Table1[[#This Row],[Profit]]/Table1[[#This Row],[Sales]]</f>
        <v>0.5940611943207259</v>
      </c>
      <c r="K1038" s="5" t="str">
        <f t="shared" si="16"/>
        <v>High</v>
      </c>
      <c r="L1038" s="5" t="str">
        <f>TEXT(Table1[[#This Row],[Order_Date]],"MMM")</f>
        <v>Jan</v>
      </c>
      <c r="M1038" s="5" t="str">
        <f>IF(Table1[[#This Row],[Profit]]&gt;=1000,"Excellent",IF(Table1[[#This Row],[Profit]]&gt;=500,"Good", IF(Table1[[#This Row],[Profit]]&lt;500,"Low")))</f>
        <v>Excellent</v>
      </c>
      <c r="N1038" s="7" t="str">
        <f>TEXT(Table1[[#This Row],[Order_Date]],"YYY")</f>
        <v>2025</v>
      </c>
    </row>
    <row r="1039" spans="1:14" x14ac:dyDescent="0.3">
      <c r="A1039" s="4">
        <v>45683</v>
      </c>
      <c r="B1039" s="5" t="s">
        <v>0</v>
      </c>
      <c r="C1039" s="5" t="s">
        <v>19</v>
      </c>
      <c r="D1039" s="23">
        <v>68.2</v>
      </c>
      <c r="E1039" s="23">
        <v>17.920000000000002</v>
      </c>
      <c r="F1039" s="23">
        <v>50.28</v>
      </c>
      <c r="G1039" s="5" t="s">
        <v>32</v>
      </c>
      <c r="H1039" s="5" t="s">
        <v>29</v>
      </c>
      <c r="I1039" s="5" t="s">
        <v>27</v>
      </c>
      <c r="J1039" s="6">
        <f>Table1[[#This Row],[Profit]]/Table1[[#This Row],[Sales]]</f>
        <v>0.73724340175953074</v>
      </c>
      <c r="K1039" s="5" t="str">
        <f t="shared" si="16"/>
        <v>Low</v>
      </c>
      <c r="L1039" s="5" t="str">
        <f>TEXT(Table1[[#This Row],[Order_Date]],"MMM")</f>
        <v>Jan</v>
      </c>
      <c r="M1039" s="5" t="str">
        <f>IF(Table1[[#This Row],[Profit]]&gt;=1000,"Excellent",IF(Table1[[#This Row],[Profit]]&gt;=500,"Good", IF(Table1[[#This Row],[Profit]]&lt;500,"Low")))</f>
        <v>Low</v>
      </c>
      <c r="N1039" s="7" t="str">
        <f>TEXT(Table1[[#This Row],[Order_Date]],"YYY")</f>
        <v>2025</v>
      </c>
    </row>
    <row r="1040" spans="1:14" x14ac:dyDescent="0.3">
      <c r="A1040" s="4">
        <v>45683</v>
      </c>
      <c r="B1040" s="5" t="s">
        <v>16</v>
      </c>
      <c r="C1040" s="5" t="s">
        <v>1</v>
      </c>
      <c r="D1040" s="23">
        <v>858.45</v>
      </c>
      <c r="E1040" s="23">
        <v>423.81</v>
      </c>
      <c r="F1040" s="23">
        <v>434.64</v>
      </c>
      <c r="G1040" s="5" t="s">
        <v>32</v>
      </c>
      <c r="H1040" s="5" t="s">
        <v>37</v>
      </c>
      <c r="I1040" s="5" t="s">
        <v>22</v>
      </c>
      <c r="J1040" s="6">
        <f>Table1[[#This Row],[Profit]]/Table1[[#This Row],[Sales]]</f>
        <v>0.50630788048226449</v>
      </c>
      <c r="K1040" s="5" t="str">
        <f t="shared" si="16"/>
        <v>Low</v>
      </c>
      <c r="L1040" s="5" t="str">
        <f>TEXT(Table1[[#This Row],[Order_Date]],"MMM")</f>
        <v>Jan</v>
      </c>
      <c r="M1040" s="5" t="str">
        <f>IF(Table1[[#This Row],[Profit]]&gt;=1000,"Excellent",IF(Table1[[#This Row],[Profit]]&gt;=500,"Good", IF(Table1[[#This Row],[Profit]]&lt;500,"Low")))</f>
        <v>Low</v>
      </c>
      <c r="N1040" s="7" t="str">
        <f>TEXT(Table1[[#This Row],[Order_Date]],"YYY")</f>
        <v>2025</v>
      </c>
    </row>
    <row r="1041" spans="1:14" x14ac:dyDescent="0.3">
      <c r="A1041" s="4">
        <v>45683</v>
      </c>
      <c r="B1041" s="5" t="s">
        <v>18</v>
      </c>
      <c r="C1041" s="5" t="s">
        <v>31</v>
      </c>
      <c r="D1041" s="23">
        <v>209.02</v>
      </c>
      <c r="E1041" s="23">
        <v>43.83</v>
      </c>
      <c r="F1041" s="23">
        <v>165.19</v>
      </c>
      <c r="G1041" s="5" t="s">
        <v>20</v>
      </c>
      <c r="H1041" s="5" t="s">
        <v>7</v>
      </c>
      <c r="I1041" s="5" t="s">
        <v>25</v>
      </c>
      <c r="J1041" s="6">
        <f>Table1[[#This Row],[Profit]]/Table1[[#This Row],[Sales]]</f>
        <v>0.790307147641374</v>
      </c>
      <c r="K1041" s="5" t="str">
        <f t="shared" si="16"/>
        <v>Low</v>
      </c>
      <c r="L1041" s="5" t="str">
        <f>TEXT(Table1[[#This Row],[Order_Date]],"MMM")</f>
        <v>Jan</v>
      </c>
      <c r="M1041" s="5" t="str">
        <f>IF(Table1[[#This Row],[Profit]]&gt;=1000,"Excellent",IF(Table1[[#This Row],[Profit]]&gt;=500,"Good", IF(Table1[[#This Row],[Profit]]&lt;500,"Low")))</f>
        <v>Low</v>
      </c>
      <c r="N1041" s="7" t="str">
        <f>TEXT(Table1[[#This Row],[Order_Date]],"YYY")</f>
        <v>2025</v>
      </c>
    </row>
    <row r="1042" spans="1:14" x14ac:dyDescent="0.3">
      <c r="A1042" s="4">
        <v>45684</v>
      </c>
      <c r="B1042" s="5" t="s">
        <v>18</v>
      </c>
      <c r="C1042" s="5" t="s">
        <v>5</v>
      </c>
      <c r="D1042" s="23">
        <v>2278.4</v>
      </c>
      <c r="E1042" s="23">
        <v>896.23</v>
      </c>
      <c r="F1042" s="23">
        <v>1382.17</v>
      </c>
      <c r="G1042" s="5" t="s">
        <v>9</v>
      </c>
      <c r="H1042" s="5" t="s">
        <v>21</v>
      </c>
      <c r="I1042" s="5" t="s">
        <v>25</v>
      </c>
      <c r="J1042" s="6">
        <f>Table1[[#This Row],[Profit]]/Table1[[#This Row],[Sales]]</f>
        <v>0.60664062500000004</v>
      </c>
      <c r="K1042" s="5" t="str">
        <f t="shared" si="16"/>
        <v>High</v>
      </c>
      <c r="L1042" s="5" t="str">
        <f>TEXT(Table1[[#This Row],[Order_Date]],"MMM")</f>
        <v>Jan</v>
      </c>
      <c r="M1042" s="5" t="str">
        <f>IF(Table1[[#This Row],[Profit]]&gt;=1000,"Excellent",IF(Table1[[#This Row],[Profit]]&gt;=500,"Good", IF(Table1[[#This Row],[Profit]]&lt;500,"Low")))</f>
        <v>Excellent</v>
      </c>
      <c r="N1042" s="7" t="str">
        <f>TEXT(Table1[[#This Row],[Order_Date]],"YYY")</f>
        <v>2025</v>
      </c>
    </row>
    <row r="1043" spans="1:14" x14ac:dyDescent="0.3">
      <c r="A1043" s="4">
        <v>45685</v>
      </c>
      <c r="B1043" s="5" t="s">
        <v>0</v>
      </c>
      <c r="C1043" s="5" t="s">
        <v>31</v>
      </c>
      <c r="D1043" s="23">
        <v>253.16</v>
      </c>
      <c r="E1043" s="23">
        <v>70.53</v>
      </c>
      <c r="F1043" s="23">
        <v>182.63</v>
      </c>
      <c r="G1043" s="5" t="s">
        <v>9</v>
      </c>
      <c r="H1043" s="5" t="s">
        <v>12</v>
      </c>
      <c r="I1043" s="5" t="s">
        <v>25</v>
      </c>
      <c r="J1043" s="6">
        <f>Table1[[#This Row],[Profit]]/Table1[[#This Row],[Sales]]</f>
        <v>0.72140148522673408</v>
      </c>
      <c r="K1043" s="5" t="str">
        <f t="shared" si="16"/>
        <v>Low</v>
      </c>
      <c r="L1043" s="5" t="str">
        <f>TEXT(Table1[[#This Row],[Order_Date]],"MMM")</f>
        <v>Jan</v>
      </c>
      <c r="M1043" s="5" t="str">
        <f>IF(Table1[[#This Row],[Profit]]&gt;=1000,"Excellent",IF(Table1[[#This Row],[Profit]]&gt;=500,"Good", IF(Table1[[#This Row],[Profit]]&lt;500,"Low")))</f>
        <v>Low</v>
      </c>
      <c r="N1043" s="7" t="str">
        <f>TEXT(Table1[[#This Row],[Order_Date]],"YYY")</f>
        <v>2025</v>
      </c>
    </row>
    <row r="1044" spans="1:14" x14ac:dyDescent="0.3">
      <c r="A1044" s="4">
        <v>45687</v>
      </c>
      <c r="B1044" s="5" t="s">
        <v>13</v>
      </c>
      <c r="C1044" s="5" t="s">
        <v>5</v>
      </c>
      <c r="D1044" s="23">
        <v>1636.64</v>
      </c>
      <c r="E1044" s="23">
        <v>710.68</v>
      </c>
      <c r="F1044" s="23">
        <v>925.96</v>
      </c>
      <c r="G1044" s="5" t="s">
        <v>6</v>
      </c>
      <c r="H1044" s="5" t="s">
        <v>15</v>
      </c>
      <c r="I1044" s="5" t="s">
        <v>25</v>
      </c>
      <c r="J1044" s="6">
        <f>Table1[[#This Row],[Profit]]/Table1[[#This Row],[Sales]]</f>
        <v>0.56576889236484507</v>
      </c>
      <c r="K1044" s="5" t="str">
        <f t="shared" si="16"/>
        <v>Medium</v>
      </c>
      <c r="L1044" s="5" t="str">
        <f>TEXT(Table1[[#This Row],[Order_Date]],"MMM")</f>
        <v>Jan</v>
      </c>
      <c r="M1044" s="5" t="str">
        <f>IF(Table1[[#This Row],[Profit]]&gt;=1000,"Excellent",IF(Table1[[#This Row],[Profit]]&gt;=500,"Good", IF(Table1[[#This Row],[Profit]]&lt;500,"Low")))</f>
        <v>Good</v>
      </c>
      <c r="N1044" s="7" t="str">
        <f>TEXT(Table1[[#This Row],[Order_Date]],"YYY")</f>
        <v>2025</v>
      </c>
    </row>
    <row r="1045" spans="1:14" x14ac:dyDescent="0.3">
      <c r="A1045" s="4">
        <v>45688</v>
      </c>
      <c r="B1045" s="5" t="s">
        <v>16</v>
      </c>
      <c r="C1045" s="5" t="s">
        <v>19</v>
      </c>
      <c r="D1045" s="23">
        <v>100.43</v>
      </c>
      <c r="E1045" s="23">
        <v>41.05</v>
      </c>
      <c r="F1045" s="23">
        <v>59.38</v>
      </c>
      <c r="G1045" s="5" t="s">
        <v>6</v>
      </c>
      <c r="H1045" s="5" t="s">
        <v>24</v>
      </c>
      <c r="I1045" s="5" t="s">
        <v>22</v>
      </c>
      <c r="J1045" s="6">
        <f>Table1[[#This Row],[Profit]]/Table1[[#This Row],[Sales]]</f>
        <v>0.59125759235288255</v>
      </c>
      <c r="K1045" s="5" t="str">
        <f t="shared" si="16"/>
        <v>Low</v>
      </c>
      <c r="L1045" s="5" t="str">
        <f>TEXT(Table1[[#This Row],[Order_Date]],"MMM")</f>
        <v>Jan</v>
      </c>
      <c r="M1045" s="5" t="str">
        <f>IF(Table1[[#This Row],[Profit]]&gt;=1000,"Excellent",IF(Table1[[#This Row],[Profit]]&gt;=500,"Good", IF(Table1[[#This Row],[Profit]]&lt;500,"Low")))</f>
        <v>Low</v>
      </c>
      <c r="N1045" s="7" t="str">
        <f>TEXT(Table1[[#This Row],[Order_Date]],"YYY")</f>
        <v>2025</v>
      </c>
    </row>
    <row r="1046" spans="1:14" x14ac:dyDescent="0.3">
      <c r="A1046" s="4">
        <v>45688</v>
      </c>
      <c r="B1046" s="5" t="s">
        <v>0</v>
      </c>
      <c r="C1046" s="5" t="s">
        <v>1</v>
      </c>
      <c r="D1046" s="23">
        <v>423.56</v>
      </c>
      <c r="E1046" s="23">
        <v>246.06</v>
      </c>
      <c r="F1046" s="23">
        <v>177.5</v>
      </c>
      <c r="G1046" s="5" t="s">
        <v>32</v>
      </c>
      <c r="H1046" s="5" t="s">
        <v>7</v>
      </c>
      <c r="I1046" s="5" t="s">
        <v>22</v>
      </c>
      <c r="J1046" s="6">
        <f>Table1[[#This Row],[Profit]]/Table1[[#This Row],[Sales]]</f>
        <v>0.4190669562753801</v>
      </c>
      <c r="K1046" s="5" t="str">
        <f t="shared" si="16"/>
        <v>Low</v>
      </c>
      <c r="L1046" s="5" t="str">
        <f>TEXT(Table1[[#This Row],[Order_Date]],"MMM")</f>
        <v>Jan</v>
      </c>
      <c r="M1046" s="5" t="str">
        <f>IF(Table1[[#This Row],[Profit]]&gt;=1000,"Excellent",IF(Table1[[#This Row],[Profit]]&gt;=500,"Good", IF(Table1[[#This Row],[Profit]]&lt;500,"Low")))</f>
        <v>Low</v>
      </c>
      <c r="N1046" s="7" t="str">
        <f>TEXT(Table1[[#This Row],[Order_Date]],"YYY")</f>
        <v>2025</v>
      </c>
    </row>
    <row r="1047" spans="1:14" x14ac:dyDescent="0.3">
      <c r="A1047" s="4">
        <v>45689</v>
      </c>
      <c r="B1047" s="5" t="s">
        <v>8</v>
      </c>
      <c r="C1047" s="5" t="s">
        <v>23</v>
      </c>
      <c r="D1047" s="23">
        <v>892.63</v>
      </c>
      <c r="E1047" s="23">
        <v>342.35</v>
      </c>
      <c r="F1047" s="23">
        <v>550.28</v>
      </c>
      <c r="G1047" s="5" t="s">
        <v>20</v>
      </c>
      <c r="H1047" s="5" t="s">
        <v>34</v>
      </c>
      <c r="I1047" s="5" t="s">
        <v>22</v>
      </c>
      <c r="J1047" s="6">
        <f>Table1[[#This Row],[Profit]]/Table1[[#This Row],[Sales]]</f>
        <v>0.61647043007741165</v>
      </c>
      <c r="K1047" s="5" t="str">
        <f t="shared" si="16"/>
        <v>Low</v>
      </c>
      <c r="L1047" s="5" t="str">
        <f>TEXT(Table1[[#This Row],[Order_Date]],"MMM")</f>
        <v>Feb</v>
      </c>
      <c r="M1047" s="5" t="str">
        <f>IF(Table1[[#This Row],[Profit]]&gt;=1000,"Excellent",IF(Table1[[#This Row],[Profit]]&gt;=500,"Good", IF(Table1[[#This Row],[Profit]]&lt;500,"Low")))</f>
        <v>Good</v>
      </c>
      <c r="N1047" s="7" t="str">
        <f>TEXT(Table1[[#This Row],[Order_Date]],"YYY")</f>
        <v>2025</v>
      </c>
    </row>
    <row r="1048" spans="1:14" x14ac:dyDescent="0.3">
      <c r="A1048" s="4">
        <v>45690</v>
      </c>
      <c r="B1048" s="5" t="s">
        <v>13</v>
      </c>
      <c r="C1048" s="5" t="s">
        <v>23</v>
      </c>
      <c r="D1048" s="23">
        <v>451.86</v>
      </c>
      <c r="E1048" s="23">
        <v>192.1</v>
      </c>
      <c r="F1048" s="23">
        <v>259.76</v>
      </c>
      <c r="G1048" s="5" t="s">
        <v>9</v>
      </c>
      <c r="H1048" s="5" t="s">
        <v>30</v>
      </c>
      <c r="I1048" s="5" t="s">
        <v>22</v>
      </c>
      <c r="J1048" s="6">
        <f>Table1[[#This Row],[Profit]]/Table1[[#This Row],[Sales]]</f>
        <v>0.57486832204665161</v>
      </c>
      <c r="K1048" s="5" t="str">
        <f t="shared" si="16"/>
        <v>Low</v>
      </c>
      <c r="L1048" s="5" t="str">
        <f>TEXT(Table1[[#This Row],[Order_Date]],"MMM")</f>
        <v>Feb</v>
      </c>
      <c r="M1048" s="5" t="str">
        <f>IF(Table1[[#This Row],[Profit]]&gt;=1000,"Excellent",IF(Table1[[#This Row],[Profit]]&gt;=500,"Good", IF(Table1[[#This Row],[Profit]]&lt;500,"Low")))</f>
        <v>Low</v>
      </c>
      <c r="N1048" s="7" t="str">
        <f>TEXT(Table1[[#This Row],[Order_Date]],"YYY")</f>
        <v>2025</v>
      </c>
    </row>
    <row r="1049" spans="1:14" x14ac:dyDescent="0.3">
      <c r="A1049" s="4">
        <v>45691</v>
      </c>
      <c r="B1049" s="5" t="s">
        <v>0</v>
      </c>
      <c r="C1049" s="5" t="s">
        <v>23</v>
      </c>
      <c r="D1049" s="23">
        <v>497.3</v>
      </c>
      <c r="E1049" s="23">
        <v>142.13</v>
      </c>
      <c r="F1049" s="23">
        <v>355.17</v>
      </c>
      <c r="G1049" s="5" t="s">
        <v>32</v>
      </c>
      <c r="H1049" s="5" t="s">
        <v>10</v>
      </c>
      <c r="I1049" s="5" t="s">
        <v>22</v>
      </c>
      <c r="J1049" s="6">
        <f>Table1[[#This Row],[Profit]]/Table1[[#This Row],[Sales]]</f>
        <v>0.71419666197466325</v>
      </c>
      <c r="K1049" s="5" t="str">
        <f t="shared" si="16"/>
        <v>Low</v>
      </c>
      <c r="L1049" s="5" t="str">
        <f>TEXT(Table1[[#This Row],[Order_Date]],"MMM")</f>
        <v>Feb</v>
      </c>
      <c r="M1049" s="5" t="str">
        <f>IF(Table1[[#This Row],[Profit]]&gt;=1000,"Excellent",IF(Table1[[#This Row],[Profit]]&gt;=500,"Good", IF(Table1[[#This Row],[Profit]]&lt;500,"Low")))</f>
        <v>Low</v>
      </c>
      <c r="N1049" s="7" t="str">
        <f>TEXT(Table1[[#This Row],[Order_Date]],"YYY")</f>
        <v>2025</v>
      </c>
    </row>
    <row r="1050" spans="1:14" x14ac:dyDescent="0.3">
      <c r="A1050" s="4">
        <v>45692</v>
      </c>
      <c r="B1050" s="5" t="s">
        <v>13</v>
      </c>
      <c r="C1050" s="5" t="s">
        <v>1</v>
      </c>
      <c r="D1050" s="23">
        <v>206.75</v>
      </c>
      <c r="E1050" s="23">
        <v>141.43</v>
      </c>
      <c r="F1050" s="23">
        <v>65.319999999999993</v>
      </c>
      <c r="G1050" s="5" t="s">
        <v>6</v>
      </c>
      <c r="H1050" s="5" t="s">
        <v>7</v>
      </c>
      <c r="I1050" s="5" t="s">
        <v>27</v>
      </c>
      <c r="J1050" s="6">
        <f>Table1[[#This Row],[Profit]]/Table1[[#This Row],[Sales]]</f>
        <v>0.3159371221281741</v>
      </c>
      <c r="K1050" s="5" t="str">
        <f t="shared" si="16"/>
        <v>Low</v>
      </c>
      <c r="L1050" s="5" t="str">
        <f>TEXT(Table1[[#This Row],[Order_Date]],"MMM")</f>
        <v>Feb</v>
      </c>
      <c r="M1050" s="5" t="str">
        <f>IF(Table1[[#This Row],[Profit]]&gt;=1000,"Excellent",IF(Table1[[#This Row],[Profit]]&gt;=500,"Good", IF(Table1[[#This Row],[Profit]]&lt;500,"Low")))</f>
        <v>Low</v>
      </c>
      <c r="N1050" s="7" t="str">
        <f>TEXT(Table1[[#This Row],[Order_Date]],"YYY")</f>
        <v>2025</v>
      </c>
    </row>
    <row r="1051" spans="1:14" x14ac:dyDescent="0.3">
      <c r="A1051" s="4">
        <v>45692</v>
      </c>
      <c r="B1051" s="5" t="s">
        <v>16</v>
      </c>
      <c r="C1051" s="5" t="s">
        <v>14</v>
      </c>
      <c r="D1051" s="23">
        <v>190.88</v>
      </c>
      <c r="E1051" s="23">
        <v>69.290000000000006</v>
      </c>
      <c r="F1051" s="23">
        <v>121.59</v>
      </c>
      <c r="G1051" s="5" t="s">
        <v>2</v>
      </c>
      <c r="H1051" s="5" t="s">
        <v>3</v>
      </c>
      <c r="I1051" s="5" t="s">
        <v>27</v>
      </c>
      <c r="J1051" s="6">
        <f>Table1[[#This Row],[Profit]]/Table1[[#This Row],[Sales]]</f>
        <v>0.63699706621961449</v>
      </c>
      <c r="K1051" s="5" t="str">
        <f t="shared" si="16"/>
        <v>Low</v>
      </c>
      <c r="L1051" s="5" t="str">
        <f>TEXT(Table1[[#This Row],[Order_Date]],"MMM")</f>
        <v>Feb</v>
      </c>
      <c r="M1051" s="5" t="str">
        <f>IF(Table1[[#This Row],[Profit]]&gt;=1000,"Excellent",IF(Table1[[#This Row],[Profit]]&gt;=500,"Good", IF(Table1[[#This Row],[Profit]]&lt;500,"Low")))</f>
        <v>Low</v>
      </c>
      <c r="N1051" s="7" t="str">
        <f>TEXT(Table1[[#This Row],[Order_Date]],"YYY")</f>
        <v>2025</v>
      </c>
    </row>
    <row r="1052" spans="1:14" x14ac:dyDescent="0.3">
      <c r="A1052" s="4">
        <v>45694</v>
      </c>
      <c r="B1052" s="5" t="s">
        <v>13</v>
      </c>
      <c r="C1052" s="5" t="s">
        <v>31</v>
      </c>
      <c r="D1052" s="23">
        <v>19.87</v>
      </c>
      <c r="E1052" s="23">
        <v>5.49</v>
      </c>
      <c r="F1052" s="23">
        <v>14.38</v>
      </c>
      <c r="G1052" s="5" t="s">
        <v>32</v>
      </c>
      <c r="H1052" s="5" t="s">
        <v>3</v>
      </c>
      <c r="I1052" s="5" t="s">
        <v>11</v>
      </c>
      <c r="J1052" s="6">
        <f>Table1[[#This Row],[Profit]]/Table1[[#This Row],[Sales]]</f>
        <v>0.72370407649723201</v>
      </c>
      <c r="K1052" s="5" t="str">
        <f t="shared" si="16"/>
        <v>Low</v>
      </c>
      <c r="L1052" s="5" t="str">
        <f>TEXT(Table1[[#This Row],[Order_Date]],"MMM")</f>
        <v>Feb</v>
      </c>
      <c r="M1052" s="5" t="str">
        <f>IF(Table1[[#This Row],[Profit]]&gt;=1000,"Excellent",IF(Table1[[#This Row],[Profit]]&gt;=500,"Good", IF(Table1[[#This Row],[Profit]]&lt;500,"Low")))</f>
        <v>Low</v>
      </c>
      <c r="N1052" s="7" t="str">
        <f>TEXT(Table1[[#This Row],[Order_Date]],"YYY")</f>
        <v>2025</v>
      </c>
    </row>
    <row r="1053" spans="1:14" x14ac:dyDescent="0.3">
      <c r="A1053" s="4">
        <v>45695</v>
      </c>
      <c r="B1053" s="5" t="s">
        <v>16</v>
      </c>
      <c r="C1053" s="5" t="s">
        <v>1</v>
      </c>
      <c r="D1053" s="23">
        <v>967.76</v>
      </c>
      <c r="E1053" s="23">
        <v>596.34</v>
      </c>
      <c r="F1053" s="23">
        <v>371.42</v>
      </c>
      <c r="G1053" s="5" t="s">
        <v>9</v>
      </c>
      <c r="H1053" s="5" t="s">
        <v>7</v>
      </c>
      <c r="I1053" s="5" t="s">
        <v>27</v>
      </c>
      <c r="J1053" s="6">
        <f>Table1[[#This Row],[Profit]]/Table1[[#This Row],[Sales]]</f>
        <v>0.3837935025212863</v>
      </c>
      <c r="K1053" s="5" t="str">
        <f t="shared" si="16"/>
        <v>Low</v>
      </c>
      <c r="L1053" s="5" t="str">
        <f>TEXT(Table1[[#This Row],[Order_Date]],"MMM")</f>
        <v>Feb</v>
      </c>
      <c r="M1053" s="5" t="str">
        <f>IF(Table1[[#This Row],[Profit]]&gt;=1000,"Excellent",IF(Table1[[#This Row],[Profit]]&gt;=500,"Good", IF(Table1[[#This Row],[Profit]]&lt;500,"Low")))</f>
        <v>Low</v>
      </c>
      <c r="N1053" s="7" t="str">
        <f>TEXT(Table1[[#This Row],[Order_Date]],"YYY")</f>
        <v>2025</v>
      </c>
    </row>
    <row r="1054" spans="1:14" x14ac:dyDescent="0.3">
      <c r="A1054" s="4">
        <v>45695</v>
      </c>
      <c r="B1054" s="5" t="s">
        <v>18</v>
      </c>
      <c r="C1054" s="5" t="s">
        <v>1</v>
      </c>
      <c r="D1054" s="23">
        <v>1220.75</v>
      </c>
      <c r="E1054" s="23">
        <v>618.75</v>
      </c>
      <c r="F1054" s="23">
        <v>602</v>
      </c>
      <c r="G1054" s="5" t="s">
        <v>9</v>
      </c>
      <c r="H1054" s="5" t="s">
        <v>34</v>
      </c>
      <c r="I1054" s="5" t="s">
        <v>22</v>
      </c>
      <c r="J1054" s="6">
        <f>Table1[[#This Row],[Profit]]/Table1[[#This Row],[Sales]]</f>
        <v>0.49313946344460374</v>
      </c>
      <c r="K1054" s="5" t="str">
        <f t="shared" si="16"/>
        <v>Low</v>
      </c>
      <c r="L1054" s="5" t="str">
        <f>TEXT(Table1[[#This Row],[Order_Date]],"MMM")</f>
        <v>Feb</v>
      </c>
      <c r="M1054" s="5" t="str">
        <f>IF(Table1[[#This Row],[Profit]]&gt;=1000,"Excellent",IF(Table1[[#This Row],[Profit]]&gt;=500,"Good", IF(Table1[[#This Row],[Profit]]&lt;500,"Low")))</f>
        <v>Good</v>
      </c>
      <c r="N1054" s="7" t="str">
        <f>TEXT(Table1[[#This Row],[Order_Date]],"YYY")</f>
        <v>2025</v>
      </c>
    </row>
    <row r="1055" spans="1:14" x14ac:dyDescent="0.3">
      <c r="A1055" s="4">
        <v>45695</v>
      </c>
      <c r="B1055" s="5" t="s">
        <v>0</v>
      </c>
      <c r="C1055" s="5" t="s">
        <v>26</v>
      </c>
      <c r="D1055" s="23">
        <v>687.26</v>
      </c>
      <c r="E1055" s="23">
        <v>266.35000000000002</v>
      </c>
      <c r="F1055" s="23">
        <v>420.91</v>
      </c>
      <c r="G1055" s="5" t="s">
        <v>6</v>
      </c>
      <c r="H1055" s="5" t="s">
        <v>36</v>
      </c>
      <c r="I1055" s="5" t="s">
        <v>11</v>
      </c>
      <c r="J1055" s="6">
        <f>Table1[[#This Row],[Profit]]/Table1[[#This Row],[Sales]]</f>
        <v>0.6124465267875332</v>
      </c>
      <c r="K1055" s="5" t="str">
        <f t="shared" si="16"/>
        <v>Low</v>
      </c>
      <c r="L1055" s="5" t="str">
        <f>TEXT(Table1[[#This Row],[Order_Date]],"MMM")</f>
        <v>Feb</v>
      </c>
      <c r="M1055" s="5" t="str">
        <f>IF(Table1[[#This Row],[Profit]]&gt;=1000,"Excellent",IF(Table1[[#This Row],[Profit]]&gt;=500,"Good", IF(Table1[[#This Row],[Profit]]&lt;500,"Low")))</f>
        <v>Low</v>
      </c>
      <c r="N1055" s="7" t="str">
        <f>TEXT(Table1[[#This Row],[Order_Date]],"YYY")</f>
        <v>2025</v>
      </c>
    </row>
    <row r="1056" spans="1:14" x14ac:dyDescent="0.3">
      <c r="A1056" s="4">
        <v>45696</v>
      </c>
      <c r="B1056" s="5" t="s">
        <v>18</v>
      </c>
      <c r="C1056" s="5" t="s">
        <v>14</v>
      </c>
      <c r="D1056" s="23">
        <v>187.38</v>
      </c>
      <c r="E1056" s="23">
        <v>94.42</v>
      </c>
      <c r="F1056" s="23">
        <v>92.96</v>
      </c>
      <c r="G1056" s="5" t="s">
        <v>32</v>
      </c>
      <c r="H1056" s="5" t="s">
        <v>12</v>
      </c>
      <c r="I1056" s="5" t="s">
        <v>17</v>
      </c>
      <c r="J1056" s="6">
        <f>Table1[[#This Row],[Profit]]/Table1[[#This Row],[Sales]]</f>
        <v>0.49610417333760271</v>
      </c>
      <c r="K1056" s="5" t="str">
        <f t="shared" si="16"/>
        <v>Low</v>
      </c>
      <c r="L1056" s="5" t="str">
        <f>TEXT(Table1[[#This Row],[Order_Date]],"MMM")</f>
        <v>Feb</v>
      </c>
      <c r="M1056" s="5" t="str">
        <f>IF(Table1[[#This Row],[Profit]]&gt;=1000,"Excellent",IF(Table1[[#This Row],[Profit]]&gt;=500,"Good", IF(Table1[[#This Row],[Profit]]&lt;500,"Low")))</f>
        <v>Low</v>
      </c>
      <c r="N1056" s="7" t="str">
        <f>TEXT(Table1[[#This Row],[Order_Date]],"YYY")</f>
        <v>2025</v>
      </c>
    </row>
    <row r="1057" spans="1:14" x14ac:dyDescent="0.3">
      <c r="A1057" s="4">
        <v>45696</v>
      </c>
      <c r="B1057" s="5" t="s">
        <v>16</v>
      </c>
      <c r="C1057" s="5" t="s">
        <v>19</v>
      </c>
      <c r="D1057" s="23">
        <v>55.47</v>
      </c>
      <c r="E1057" s="23">
        <v>12.67</v>
      </c>
      <c r="F1057" s="23">
        <v>42.8</v>
      </c>
      <c r="G1057" s="5" t="s">
        <v>6</v>
      </c>
      <c r="H1057" s="5" t="s">
        <v>34</v>
      </c>
      <c r="I1057" s="5" t="s">
        <v>4</v>
      </c>
      <c r="J1057" s="6">
        <f>Table1[[#This Row],[Profit]]/Table1[[#This Row],[Sales]]</f>
        <v>0.77158824589868391</v>
      </c>
      <c r="K1057" s="5" t="str">
        <f t="shared" si="16"/>
        <v>Low</v>
      </c>
      <c r="L1057" s="5" t="str">
        <f>TEXT(Table1[[#This Row],[Order_Date]],"MMM")</f>
        <v>Feb</v>
      </c>
      <c r="M1057" s="5" t="str">
        <f>IF(Table1[[#This Row],[Profit]]&gt;=1000,"Excellent",IF(Table1[[#This Row],[Profit]]&gt;=500,"Good", IF(Table1[[#This Row],[Profit]]&lt;500,"Low")))</f>
        <v>Low</v>
      </c>
      <c r="N1057" s="7" t="str">
        <f>TEXT(Table1[[#This Row],[Order_Date]],"YYY")</f>
        <v>2025</v>
      </c>
    </row>
    <row r="1058" spans="1:14" x14ac:dyDescent="0.3">
      <c r="A1058" s="4">
        <v>45696</v>
      </c>
      <c r="B1058" s="5" t="s">
        <v>16</v>
      </c>
      <c r="C1058" s="5" t="s">
        <v>1</v>
      </c>
      <c r="D1058" s="23">
        <v>1052.69</v>
      </c>
      <c r="E1058" s="23">
        <v>580.29999999999995</v>
      </c>
      <c r="F1058" s="23">
        <v>472.39</v>
      </c>
      <c r="G1058" s="5" t="s">
        <v>20</v>
      </c>
      <c r="H1058" s="5" t="s">
        <v>37</v>
      </c>
      <c r="I1058" s="5" t="s">
        <v>17</v>
      </c>
      <c r="J1058" s="6">
        <f>Table1[[#This Row],[Profit]]/Table1[[#This Row],[Sales]]</f>
        <v>0.44874559461949859</v>
      </c>
      <c r="K1058" s="5" t="str">
        <f t="shared" si="16"/>
        <v>Low</v>
      </c>
      <c r="L1058" s="5" t="str">
        <f>TEXT(Table1[[#This Row],[Order_Date]],"MMM")</f>
        <v>Feb</v>
      </c>
      <c r="M1058" s="5" t="str">
        <f>IF(Table1[[#This Row],[Profit]]&gt;=1000,"Excellent",IF(Table1[[#This Row],[Profit]]&gt;=500,"Good", IF(Table1[[#This Row],[Profit]]&lt;500,"Low")))</f>
        <v>Low</v>
      </c>
      <c r="N1058" s="7" t="str">
        <f>TEXT(Table1[[#This Row],[Order_Date]],"YYY")</f>
        <v>2025</v>
      </c>
    </row>
    <row r="1059" spans="1:14" x14ac:dyDescent="0.3">
      <c r="A1059" s="4">
        <v>45696</v>
      </c>
      <c r="B1059" s="5" t="s">
        <v>18</v>
      </c>
      <c r="C1059" s="5" t="s">
        <v>31</v>
      </c>
      <c r="D1059" s="23">
        <v>189.4</v>
      </c>
      <c r="E1059" s="23">
        <v>69.67</v>
      </c>
      <c r="F1059" s="23">
        <v>119.73</v>
      </c>
      <c r="G1059" s="5" t="s">
        <v>20</v>
      </c>
      <c r="H1059" s="5" t="s">
        <v>12</v>
      </c>
      <c r="I1059" s="5" t="s">
        <v>22</v>
      </c>
      <c r="J1059" s="6">
        <f>Table1[[#This Row],[Profit]]/Table1[[#This Row],[Sales]]</f>
        <v>0.63215417106652583</v>
      </c>
      <c r="K1059" s="5" t="str">
        <f t="shared" si="16"/>
        <v>Low</v>
      </c>
      <c r="L1059" s="5" t="str">
        <f>TEXT(Table1[[#This Row],[Order_Date]],"MMM")</f>
        <v>Feb</v>
      </c>
      <c r="M1059" s="5" t="str">
        <f>IF(Table1[[#This Row],[Profit]]&gt;=1000,"Excellent",IF(Table1[[#This Row],[Profit]]&gt;=500,"Good", IF(Table1[[#This Row],[Profit]]&lt;500,"Low")))</f>
        <v>Low</v>
      </c>
      <c r="N1059" s="7" t="str">
        <f>TEXT(Table1[[#This Row],[Order_Date]],"YYY")</f>
        <v>2025</v>
      </c>
    </row>
    <row r="1060" spans="1:14" x14ac:dyDescent="0.3">
      <c r="A1060" s="4">
        <v>45696</v>
      </c>
      <c r="B1060" s="5" t="s">
        <v>13</v>
      </c>
      <c r="C1060" s="5" t="s">
        <v>5</v>
      </c>
      <c r="D1060" s="23">
        <v>839.4</v>
      </c>
      <c r="E1060" s="23">
        <v>344.9</v>
      </c>
      <c r="F1060" s="23">
        <v>494.5</v>
      </c>
      <c r="G1060" s="5" t="s">
        <v>20</v>
      </c>
      <c r="H1060" s="5" t="s">
        <v>30</v>
      </c>
      <c r="I1060" s="5" t="s">
        <v>22</v>
      </c>
      <c r="J1060" s="6">
        <f>Table1[[#This Row],[Profit]]/Table1[[#This Row],[Sales]]</f>
        <v>0.58911126995472962</v>
      </c>
      <c r="K1060" s="5" t="str">
        <f t="shared" si="16"/>
        <v>Low</v>
      </c>
      <c r="L1060" s="5" t="str">
        <f>TEXT(Table1[[#This Row],[Order_Date]],"MMM")</f>
        <v>Feb</v>
      </c>
      <c r="M1060" s="5" t="str">
        <f>IF(Table1[[#This Row],[Profit]]&gt;=1000,"Excellent",IF(Table1[[#This Row],[Profit]]&gt;=500,"Good", IF(Table1[[#This Row],[Profit]]&lt;500,"Low")))</f>
        <v>Low</v>
      </c>
      <c r="N1060" s="7" t="str">
        <f>TEXT(Table1[[#This Row],[Order_Date]],"YYY")</f>
        <v>2025</v>
      </c>
    </row>
    <row r="1061" spans="1:14" x14ac:dyDescent="0.3">
      <c r="A1061" s="4">
        <v>45696</v>
      </c>
      <c r="B1061" s="5" t="s">
        <v>0</v>
      </c>
      <c r="C1061" s="5" t="s">
        <v>23</v>
      </c>
      <c r="D1061" s="23">
        <v>871.16</v>
      </c>
      <c r="E1061" s="23">
        <v>428.49</v>
      </c>
      <c r="F1061" s="23">
        <v>442.67</v>
      </c>
      <c r="G1061" s="5" t="s">
        <v>20</v>
      </c>
      <c r="H1061" s="5" t="s">
        <v>10</v>
      </c>
      <c r="I1061" s="5" t="s">
        <v>4</v>
      </c>
      <c r="J1061" s="6">
        <f>Table1[[#This Row],[Profit]]/Table1[[#This Row],[Sales]]</f>
        <v>0.50813857385554895</v>
      </c>
      <c r="K1061" s="5" t="str">
        <f t="shared" si="16"/>
        <v>Low</v>
      </c>
      <c r="L1061" s="5" t="str">
        <f>TEXT(Table1[[#This Row],[Order_Date]],"MMM")</f>
        <v>Feb</v>
      </c>
      <c r="M1061" s="5" t="str">
        <f>IF(Table1[[#This Row],[Profit]]&gt;=1000,"Excellent",IF(Table1[[#This Row],[Profit]]&gt;=500,"Good", IF(Table1[[#This Row],[Profit]]&lt;500,"Low")))</f>
        <v>Low</v>
      </c>
      <c r="N1061" s="7" t="str">
        <f>TEXT(Table1[[#This Row],[Order_Date]],"YYY")</f>
        <v>2025</v>
      </c>
    </row>
    <row r="1062" spans="1:14" x14ac:dyDescent="0.3">
      <c r="A1062" s="4">
        <v>45697</v>
      </c>
      <c r="B1062" s="5" t="s">
        <v>8</v>
      </c>
      <c r="C1062" s="5" t="s">
        <v>23</v>
      </c>
      <c r="D1062" s="23">
        <v>169.47</v>
      </c>
      <c r="E1062" s="23">
        <v>67.98</v>
      </c>
      <c r="F1062" s="23">
        <v>101.49</v>
      </c>
      <c r="G1062" s="5" t="s">
        <v>20</v>
      </c>
      <c r="H1062" s="5" t="s">
        <v>37</v>
      </c>
      <c r="I1062" s="5" t="s">
        <v>17</v>
      </c>
      <c r="J1062" s="6">
        <f>Table1[[#This Row],[Profit]]/Table1[[#This Row],[Sales]]</f>
        <v>0.59886705611612667</v>
      </c>
      <c r="K1062" s="5" t="str">
        <f t="shared" si="16"/>
        <v>Low</v>
      </c>
      <c r="L1062" s="5" t="str">
        <f>TEXT(Table1[[#This Row],[Order_Date]],"MMM")</f>
        <v>Feb</v>
      </c>
      <c r="M1062" s="5" t="str">
        <f>IF(Table1[[#This Row],[Profit]]&gt;=1000,"Excellent",IF(Table1[[#This Row],[Profit]]&gt;=500,"Good", IF(Table1[[#This Row],[Profit]]&lt;500,"Low")))</f>
        <v>Low</v>
      </c>
      <c r="N1062" s="7" t="str">
        <f>TEXT(Table1[[#This Row],[Order_Date]],"YYY")</f>
        <v>2025</v>
      </c>
    </row>
    <row r="1063" spans="1:14" x14ac:dyDescent="0.3">
      <c r="A1063" s="4">
        <v>45697</v>
      </c>
      <c r="B1063" s="5" t="s">
        <v>8</v>
      </c>
      <c r="C1063" s="5" t="s">
        <v>23</v>
      </c>
      <c r="D1063" s="23">
        <v>766.95</v>
      </c>
      <c r="E1063" s="23">
        <v>235.7</v>
      </c>
      <c r="F1063" s="23">
        <v>531.25</v>
      </c>
      <c r="G1063" s="5" t="s">
        <v>9</v>
      </c>
      <c r="H1063" s="5" t="s">
        <v>28</v>
      </c>
      <c r="I1063" s="5" t="s">
        <v>4</v>
      </c>
      <c r="J1063" s="6">
        <f>Table1[[#This Row],[Profit]]/Table1[[#This Row],[Sales]]</f>
        <v>0.69267879262011856</v>
      </c>
      <c r="K1063" s="5" t="str">
        <f t="shared" si="16"/>
        <v>Low</v>
      </c>
      <c r="L1063" s="5" t="str">
        <f>TEXT(Table1[[#This Row],[Order_Date]],"MMM")</f>
        <v>Feb</v>
      </c>
      <c r="M1063" s="5" t="str">
        <f>IF(Table1[[#This Row],[Profit]]&gt;=1000,"Excellent",IF(Table1[[#This Row],[Profit]]&gt;=500,"Good", IF(Table1[[#This Row],[Profit]]&lt;500,"Low")))</f>
        <v>Good</v>
      </c>
      <c r="N1063" s="7" t="str">
        <f>TEXT(Table1[[#This Row],[Order_Date]],"YYY")</f>
        <v>2025</v>
      </c>
    </row>
    <row r="1064" spans="1:14" x14ac:dyDescent="0.3">
      <c r="A1064" s="4">
        <v>45697</v>
      </c>
      <c r="B1064" s="5" t="s">
        <v>8</v>
      </c>
      <c r="C1064" s="5" t="s">
        <v>1</v>
      </c>
      <c r="D1064" s="23">
        <v>1185.79</v>
      </c>
      <c r="E1064" s="23">
        <v>659.37</v>
      </c>
      <c r="F1064" s="23">
        <v>526.41999999999996</v>
      </c>
      <c r="G1064" s="5" t="s">
        <v>32</v>
      </c>
      <c r="H1064" s="5" t="s">
        <v>10</v>
      </c>
      <c r="I1064" s="5" t="s">
        <v>17</v>
      </c>
      <c r="J1064" s="6">
        <f>Table1[[#This Row],[Profit]]/Table1[[#This Row],[Sales]]</f>
        <v>0.44394032670202987</v>
      </c>
      <c r="K1064" s="5" t="str">
        <f t="shared" si="16"/>
        <v>Low</v>
      </c>
      <c r="L1064" s="5" t="str">
        <f>TEXT(Table1[[#This Row],[Order_Date]],"MMM")</f>
        <v>Feb</v>
      </c>
      <c r="M1064" s="5" t="str">
        <f>IF(Table1[[#This Row],[Profit]]&gt;=1000,"Excellent",IF(Table1[[#This Row],[Profit]]&gt;=500,"Good", IF(Table1[[#This Row],[Profit]]&lt;500,"Low")))</f>
        <v>Good</v>
      </c>
      <c r="N1064" s="7" t="str">
        <f>TEXT(Table1[[#This Row],[Order_Date]],"YYY")</f>
        <v>2025</v>
      </c>
    </row>
    <row r="1065" spans="1:14" x14ac:dyDescent="0.3">
      <c r="A1065" s="4">
        <v>45697</v>
      </c>
      <c r="B1065" s="5" t="s">
        <v>0</v>
      </c>
      <c r="C1065" s="5" t="s">
        <v>26</v>
      </c>
      <c r="D1065" s="23">
        <v>452.24</v>
      </c>
      <c r="E1065" s="23">
        <v>159.49</v>
      </c>
      <c r="F1065" s="23">
        <v>292.75</v>
      </c>
      <c r="G1065" s="5" t="s">
        <v>9</v>
      </c>
      <c r="H1065" s="5" t="s">
        <v>10</v>
      </c>
      <c r="I1065" s="5" t="s">
        <v>22</v>
      </c>
      <c r="J1065" s="6">
        <f>Table1[[#This Row],[Profit]]/Table1[[#This Row],[Sales]]</f>
        <v>0.64733327436759247</v>
      </c>
      <c r="K1065" s="5" t="str">
        <f t="shared" si="16"/>
        <v>Low</v>
      </c>
      <c r="L1065" s="5" t="str">
        <f>TEXT(Table1[[#This Row],[Order_Date]],"MMM")</f>
        <v>Feb</v>
      </c>
      <c r="M1065" s="5" t="str">
        <f>IF(Table1[[#This Row],[Profit]]&gt;=1000,"Excellent",IF(Table1[[#This Row],[Profit]]&gt;=500,"Good", IF(Table1[[#This Row],[Profit]]&lt;500,"Low")))</f>
        <v>Low</v>
      </c>
      <c r="N1065" s="7" t="str">
        <f>TEXT(Table1[[#This Row],[Order_Date]],"YYY")</f>
        <v>2025</v>
      </c>
    </row>
    <row r="1066" spans="1:14" x14ac:dyDescent="0.3">
      <c r="A1066" s="4">
        <v>45700</v>
      </c>
      <c r="B1066" s="5" t="s">
        <v>13</v>
      </c>
      <c r="C1066" s="5" t="s">
        <v>23</v>
      </c>
      <c r="D1066" s="23">
        <v>525.99</v>
      </c>
      <c r="E1066" s="23">
        <v>250.44</v>
      </c>
      <c r="F1066" s="23">
        <v>275.55</v>
      </c>
      <c r="G1066" s="5" t="s">
        <v>32</v>
      </c>
      <c r="H1066" s="5" t="s">
        <v>21</v>
      </c>
      <c r="I1066" s="5" t="s">
        <v>22</v>
      </c>
      <c r="J1066" s="6">
        <f>Table1[[#This Row],[Profit]]/Table1[[#This Row],[Sales]]</f>
        <v>0.52386927508127534</v>
      </c>
      <c r="K1066" s="5" t="str">
        <f t="shared" si="16"/>
        <v>Low</v>
      </c>
      <c r="L1066" s="5" t="str">
        <f>TEXT(Table1[[#This Row],[Order_Date]],"MMM")</f>
        <v>Feb</v>
      </c>
      <c r="M1066" s="5" t="str">
        <f>IF(Table1[[#This Row],[Profit]]&gt;=1000,"Excellent",IF(Table1[[#This Row],[Profit]]&gt;=500,"Good", IF(Table1[[#This Row],[Profit]]&lt;500,"Low")))</f>
        <v>Low</v>
      </c>
      <c r="N1066" s="7" t="str">
        <f>TEXT(Table1[[#This Row],[Order_Date]],"YYY")</f>
        <v>2025</v>
      </c>
    </row>
    <row r="1067" spans="1:14" x14ac:dyDescent="0.3">
      <c r="A1067" s="4">
        <v>45701</v>
      </c>
      <c r="B1067" s="5" t="s">
        <v>18</v>
      </c>
      <c r="C1067" s="5" t="s">
        <v>1</v>
      </c>
      <c r="D1067" s="23">
        <v>1255.1099999999999</v>
      </c>
      <c r="E1067" s="23">
        <v>640.47</v>
      </c>
      <c r="F1067" s="23">
        <v>614.64</v>
      </c>
      <c r="G1067" s="5" t="s">
        <v>2</v>
      </c>
      <c r="H1067" s="5" t="s">
        <v>29</v>
      </c>
      <c r="I1067" s="5" t="s">
        <v>4</v>
      </c>
      <c r="J1067" s="6">
        <f>Table1[[#This Row],[Profit]]/Table1[[#This Row],[Sales]]</f>
        <v>0.48971006525324479</v>
      </c>
      <c r="K1067" s="5" t="str">
        <f t="shared" si="16"/>
        <v>Low</v>
      </c>
      <c r="L1067" s="5" t="str">
        <f>TEXT(Table1[[#This Row],[Order_Date]],"MMM")</f>
        <v>Feb</v>
      </c>
      <c r="M1067" s="5" t="str">
        <f>IF(Table1[[#This Row],[Profit]]&gt;=1000,"Excellent",IF(Table1[[#This Row],[Profit]]&gt;=500,"Good", IF(Table1[[#This Row],[Profit]]&lt;500,"Low")))</f>
        <v>Good</v>
      </c>
      <c r="N1067" s="7" t="str">
        <f>TEXT(Table1[[#This Row],[Order_Date]],"YYY")</f>
        <v>2025</v>
      </c>
    </row>
    <row r="1068" spans="1:14" x14ac:dyDescent="0.3">
      <c r="A1068" s="4">
        <v>45701</v>
      </c>
      <c r="B1068" s="5" t="s">
        <v>0</v>
      </c>
      <c r="C1068" s="5" t="s">
        <v>1</v>
      </c>
      <c r="D1068" s="23">
        <v>607.88</v>
      </c>
      <c r="E1068" s="23">
        <v>291.14</v>
      </c>
      <c r="F1068" s="23">
        <v>316.74</v>
      </c>
      <c r="G1068" s="5" t="s">
        <v>32</v>
      </c>
      <c r="H1068" s="5" t="s">
        <v>29</v>
      </c>
      <c r="I1068" s="5" t="s">
        <v>22</v>
      </c>
      <c r="J1068" s="6">
        <f>Table1[[#This Row],[Profit]]/Table1[[#This Row],[Sales]]</f>
        <v>0.52105678752385343</v>
      </c>
      <c r="K1068" s="5" t="str">
        <f t="shared" si="16"/>
        <v>Low</v>
      </c>
      <c r="L1068" s="5" t="str">
        <f>TEXT(Table1[[#This Row],[Order_Date]],"MMM")</f>
        <v>Feb</v>
      </c>
      <c r="M1068" s="5" t="str">
        <f>IF(Table1[[#This Row],[Profit]]&gt;=1000,"Excellent",IF(Table1[[#This Row],[Profit]]&gt;=500,"Good", IF(Table1[[#This Row],[Profit]]&lt;500,"Low")))</f>
        <v>Low</v>
      </c>
      <c r="N1068" s="7" t="str">
        <f>TEXT(Table1[[#This Row],[Order_Date]],"YYY")</f>
        <v>2025</v>
      </c>
    </row>
    <row r="1069" spans="1:14" x14ac:dyDescent="0.3">
      <c r="A1069" s="4">
        <v>45703</v>
      </c>
      <c r="B1069" s="5" t="s">
        <v>16</v>
      </c>
      <c r="C1069" s="5" t="s">
        <v>31</v>
      </c>
      <c r="D1069" s="23">
        <v>31.42</v>
      </c>
      <c r="E1069" s="23">
        <v>6.63</v>
      </c>
      <c r="F1069" s="23">
        <v>24.79</v>
      </c>
      <c r="G1069" s="5" t="s">
        <v>20</v>
      </c>
      <c r="H1069" s="5" t="s">
        <v>12</v>
      </c>
      <c r="I1069" s="5" t="s">
        <v>11</v>
      </c>
      <c r="J1069" s="6">
        <f>Table1[[#This Row],[Profit]]/Table1[[#This Row],[Sales]]</f>
        <v>0.78898790579248879</v>
      </c>
      <c r="K1069" s="5" t="str">
        <f t="shared" si="16"/>
        <v>Low</v>
      </c>
      <c r="L1069" s="5" t="str">
        <f>TEXT(Table1[[#This Row],[Order_Date]],"MMM")</f>
        <v>Feb</v>
      </c>
      <c r="M1069" s="5" t="str">
        <f>IF(Table1[[#This Row],[Profit]]&gt;=1000,"Excellent",IF(Table1[[#This Row],[Profit]]&gt;=500,"Good", IF(Table1[[#This Row],[Profit]]&lt;500,"Low")))</f>
        <v>Low</v>
      </c>
      <c r="N1069" s="7" t="str">
        <f>TEXT(Table1[[#This Row],[Order_Date]],"YYY")</f>
        <v>2025</v>
      </c>
    </row>
    <row r="1070" spans="1:14" x14ac:dyDescent="0.3">
      <c r="A1070" s="4">
        <v>45703</v>
      </c>
      <c r="B1070" s="5" t="s">
        <v>8</v>
      </c>
      <c r="C1070" s="5" t="s">
        <v>5</v>
      </c>
      <c r="D1070" s="23">
        <v>2317.62</v>
      </c>
      <c r="E1070" s="23">
        <v>854.75</v>
      </c>
      <c r="F1070" s="23">
        <v>1462.87</v>
      </c>
      <c r="G1070" s="5" t="s">
        <v>2</v>
      </c>
      <c r="H1070" s="5" t="s">
        <v>34</v>
      </c>
      <c r="I1070" s="5" t="s">
        <v>22</v>
      </c>
      <c r="J1070" s="6">
        <f>Table1[[#This Row],[Profit]]/Table1[[#This Row],[Sales]]</f>
        <v>0.63119493273271721</v>
      </c>
      <c r="K1070" s="5" t="str">
        <f t="shared" si="16"/>
        <v>High</v>
      </c>
      <c r="L1070" s="5" t="str">
        <f>TEXT(Table1[[#This Row],[Order_Date]],"MMM")</f>
        <v>Feb</v>
      </c>
      <c r="M1070" s="5" t="str">
        <f>IF(Table1[[#This Row],[Profit]]&gt;=1000,"Excellent",IF(Table1[[#This Row],[Profit]]&gt;=500,"Good", IF(Table1[[#This Row],[Profit]]&lt;500,"Low")))</f>
        <v>Excellent</v>
      </c>
      <c r="N1070" s="7" t="str">
        <f>TEXT(Table1[[#This Row],[Order_Date]],"YYY")</f>
        <v>2025</v>
      </c>
    </row>
    <row r="1071" spans="1:14" x14ac:dyDescent="0.3">
      <c r="A1071" s="4">
        <v>45703</v>
      </c>
      <c r="B1071" s="5" t="s">
        <v>16</v>
      </c>
      <c r="C1071" s="5" t="s">
        <v>23</v>
      </c>
      <c r="D1071" s="23">
        <v>430.76</v>
      </c>
      <c r="E1071" s="23">
        <v>175.51</v>
      </c>
      <c r="F1071" s="23">
        <v>255.25</v>
      </c>
      <c r="G1071" s="5" t="s">
        <v>20</v>
      </c>
      <c r="H1071" s="5" t="s">
        <v>15</v>
      </c>
      <c r="I1071" s="5" t="s">
        <v>4</v>
      </c>
      <c r="J1071" s="6">
        <f>Table1[[#This Row],[Profit]]/Table1[[#This Row],[Sales]]</f>
        <v>0.59255734051443965</v>
      </c>
      <c r="K1071" s="5" t="str">
        <f t="shared" si="16"/>
        <v>Low</v>
      </c>
      <c r="L1071" s="5" t="str">
        <f>TEXT(Table1[[#This Row],[Order_Date]],"MMM")</f>
        <v>Feb</v>
      </c>
      <c r="M1071" s="5" t="str">
        <f>IF(Table1[[#This Row],[Profit]]&gt;=1000,"Excellent",IF(Table1[[#This Row],[Profit]]&gt;=500,"Good", IF(Table1[[#This Row],[Profit]]&lt;500,"Low")))</f>
        <v>Low</v>
      </c>
      <c r="N1071" s="7" t="str">
        <f>TEXT(Table1[[#This Row],[Order_Date]],"YYY")</f>
        <v>2025</v>
      </c>
    </row>
    <row r="1072" spans="1:14" x14ac:dyDescent="0.3">
      <c r="A1072" s="4">
        <v>45704</v>
      </c>
      <c r="B1072" s="5" t="s">
        <v>8</v>
      </c>
      <c r="C1072" s="5" t="s">
        <v>31</v>
      </c>
      <c r="D1072" s="23">
        <v>255.61</v>
      </c>
      <c r="E1072" s="23">
        <v>85.31</v>
      </c>
      <c r="F1072" s="23">
        <v>170.3</v>
      </c>
      <c r="G1072" s="5" t="s">
        <v>9</v>
      </c>
      <c r="H1072" s="5" t="s">
        <v>34</v>
      </c>
      <c r="I1072" s="5" t="s">
        <v>4</v>
      </c>
      <c r="J1072" s="6">
        <f>Table1[[#This Row],[Profit]]/Table1[[#This Row],[Sales]]</f>
        <v>0.66624936426587378</v>
      </c>
      <c r="K1072" s="5" t="str">
        <f t="shared" si="16"/>
        <v>Low</v>
      </c>
      <c r="L1072" s="5" t="str">
        <f>TEXT(Table1[[#This Row],[Order_Date]],"MMM")</f>
        <v>Feb</v>
      </c>
      <c r="M1072" s="5" t="str">
        <f>IF(Table1[[#This Row],[Profit]]&gt;=1000,"Excellent",IF(Table1[[#This Row],[Profit]]&gt;=500,"Good", IF(Table1[[#This Row],[Profit]]&lt;500,"Low")))</f>
        <v>Low</v>
      </c>
      <c r="N1072" s="7" t="str">
        <f>TEXT(Table1[[#This Row],[Order_Date]],"YYY")</f>
        <v>2025</v>
      </c>
    </row>
    <row r="1073" spans="1:14" x14ac:dyDescent="0.3">
      <c r="A1073" s="4">
        <v>45704</v>
      </c>
      <c r="B1073" s="5" t="s">
        <v>13</v>
      </c>
      <c r="C1073" s="5" t="s">
        <v>19</v>
      </c>
      <c r="D1073" s="23">
        <v>114.25</v>
      </c>
      <c r="E1073" s="23">
        <v>27.12</v>
      </c>
      <c r="F1073" s="23">
        <v>87.13</v>
      </c>
      <c r="G1073" s="5" t="s">
        <v>6</v>
      </c>
      <c r="H1073" s="5" t="s">
        <v>37</v>
      </c>
      <c r="I1073" s="5" t="s">
        <v>25</v>
      </c>
      <c r="J1073" s="6">
        <f>Table1[[#This Row],[Profit]]/Table1[[#This Row],[Sales]]</f>
        <v>0.7626258205689278</v>
      </c>
      <c r="K1073" s="5" t="str">
        <f t="shared" si="16"/>
        <v>Low</v>
      </c>
      <c r="L1073" s="5" t="str">
        <f>TEXT(Table1[[#This Row],[Order_Date]],"MMM")</f>
        <v>Feb</v>
      </c>
      <c r="M1073" s="5" t="str">
        <f>IF(Table1[[#This Row],[Profit]]&gt;=1000,"Excellent",IF(Table1[[#This Row],[Profit]]&gt;=500,"Good", IF(Table1[[#This Row],[Profit]]&lt;500,"Low")))</f>
        <v>Low</v>
      </c>
      <c r="N1073" s="7" t="str">
        <f>TEXT(Table1[[#This Row],[Order_Date]],"YYY")</f>
        <v>2025</v>
      </c>
    </row>
    <row r="1074" spans="1:14" x14ac:dyDescent="0.3">
      <c r="A1074" s="4">
        <v>45705</v>
      </c>
      <c r="B1074" s="5" t="s">
        <v>18</v>
      </c>
      <c r="C1074" s="5" t="s">
        <v>26</v>
      </c>
      <c r="D1074" s="23">
        <v>642.13</v>
      </c>
      <c r="E1074" s="23">
        <v>249.91</v>
      </c>
      <c r="F1074" s="23">
        <v>392.22</v>
      </c>
      <c r="G1074" s="5" t="s">
        <v>2</v>
      </c>
      <c r="H1074" s="5" t="s">
        <v>12</v>
      </c>
      <c r="I1074" s="5" t="s">
        <v>4</v>
      </c>
      <c r="J1074" s="6">
        <f>Table1[[#This Row],[Profit]]/Table1[[#This Row],[Sales]]</f>
        <v>0.6108108949901111</v>
      </c>
      <c r="K1074" s="5" t="str">
        <f t="shared" si="16"/>
        <v>Low</v>
      </c>
      <c r="L1074" s="5" t="str">
        <f>TEXT(Table1[[#This Row],[Order_Date]],"MMM")</f>
        <v>Feb</v>
      </c>
      <c r="M1074" s="5" t="str">
        <f>IF(Table1[[#This Row],[Profit]]&gt;=1000,"Excellent",IF(Table1[[#This Row],[Profit]]&gt;=500,"Good", IF(Table1[[#This Row],[Profit]]&lt;500,"Low")))</f>
        <v>Low</v>
      </c>
      <c r="N1074" s="7" t="str">
        <f>TEXT(Table1[[#This Row],[Order_Date]],"YYY")</f>
        <v>2025</v>
      </c>
    </row>
    <row r="1075" spans="1:14" x14ac:dyDescent="0.3">
      <c r="A1075" s="4">
        <v>45705</v>
      </c>
      <c r="B1075" s="5" t="s">
        <v>8</v>
      </c>
      <c r="C1075" s="5" t="s">
        <v>14</v>
      </c>
      <c r="D1075" s="23">
        <v>211.62</v>
      </c>
      <c r="E1075" s="23">
        <v>75.95</v>
      </c>
      <c r="F1075" s="23">
        <v>135.66999999999999</v>
      </c>
      <c r="G1075" s="5" t="s">
        <v>6</v>
      </c>
      <c r="H1075" s="5" t="s">
        <v>35</v>
      </c>
      <c r="I1075" s="5" t="s">
        <v>4</v>
      </c>
      <c r="J1075" s="6">
        <f>Table1[[#This Row],[Profit]]/Table1[[#This Row],[Sales]]</f>
        <v>0.64110197523863521</v>
      </c>
      <c r="K1075" s="5" t="str">
        <f t="shared" si="16"/>
        <v>Low</v>
      </c>
      <c r="L1075" s="5" t="str">
        <f>TEXT(Table1[[#This Row],[Order_Date]],"MMM")</f>
        <v>Feb</v>
      </c>
      <c r="M1075" s="5" t="str">
        <f>IF(Table1[[#This Row],[Profit]]&gt;=1000,"Excellent",IF(Table1[[#This Row],[Profit]]&gt;=500,"Good", IF(Table1[[#This Row],[Profit]]&lt;500,"Low")))</f>
        <v>Low</v>
      </c>
      <c r="N1075" s="7" t="str">
        <f>TEXT(Table1[[#This Row],[Order_Date]],"YYY")</f>
        <v>2025</v>
      </c>
    </row>
    <row r="1076" spans="1:14" x14ac:dyDescent="0.3">
      <c r="A1076" s="4">
        <v>45705</v>
      </c>
      <c r="B1076" s="5" t="s">
        <v>0</v>
      </c>
      <c r="C1076" s="5" t="s">
        <v>23</v>
      </c>
      <c r="D1076" s="23">
        <v>427.87</v>
      </c>
      <c r="E1076" s="23">
        <v>144.04</v>
      </c>
      <c r="F1076" s="23">
        <v>283.83</v>
      </c>
      <c r="G1076" s="5" t="s">
        <v>2</v>
      </c>
      <c r="H1076" s="5" t="s">
        <v>28</v>
      </c>
      <c r="I1076" s="5" t="s">
        <v>4</v>
      </c>
      <c r="J1076" s="6">
        <f>Table1[[#This Row],[Profit]]/Table1[[#This Row],[Sales]]</f>
        <v>0.66335569214948464</v>
      </c>
      <c r="K1076" s="5" t="str">
        <f t="shared" si="16"/>
        <v>Low</v>
      </c>
      <c r="L1076" s="5" t="str">
        <f>TEXT(Table1[[#This Row],[Order_Date]],"MMM")</f>
        <v>Feb</v>
      </c>
      <c r="M1076" s="5" t="str">
        <f>IF(Table1[[#This Row],[Profit]]&gt;=1000,"Excellent",IF(Table1[[#This Row],[Profit]]&gt;=500,"Good", IF(Table1[[#This Row],[Profit]]&lt;500,"Low")))</f>
        <v>Low</v>
      </c>
      <c r="N1076" s="7" t="str">
        <f>TEXT(Table1[[#This Row],[Order_Date]],"YYY")</f>
        <v>2025</v>
      </c>
    </row>
    <row r="1077" spans="1:14" x14ac:dyDescent="0.3">
      <c r="A1077" s="4">
        <v>45705</v>
      </c>
      <c r="B1077" s="5" t="s">
        <v>0</v>
      </c>
      <c r="C1077" s="5" t="s">
        <v>5</v>
      </c>
      <c r="D1077" s="23">
        <v>1779.17</v>
      </c>
      <c r="E1077" s="23">
        <v>710.33</v>
      </c>
      <c r="F1077" s="23">
        <v>1068.8399999999999</v>
      </c>
      <c r="G1077" s="5" t="s">
        <v>6</v>
      </c>
      <c r="H1077" s="5" t="s">
        <v>30</v>
      </c>
      <c r="I1077" s="5" t="s">
        <v>4</v>
      </c>
      <c r="J1077" s="6">
        <f>Table1[[#This Row],[Profit]]/Table1[[#This Row],[Sales]]</f>
        <v>0.60075203606175909</v>
      </c>
      <c r="K1077" s="5" t="str">
        <f t="shared" si="16"/>
        <v>Medium</v>
      </c>
      <c r="L1077" s="5" t="str">
        <f>TEXT(Table1[[#This Row],[Order_Date]],"MMM")</f>
        <v>Feb</v>
      </c>
      <c r="M1077" s="5" t="str">
        <f>IF(Table1[[#This Row],[Profit]]&gt;=1000,"Excellent",IF(Table1[[#This Row],[Profit]]&gt;=500,"Good", IF(Table1[[#This Row],[Profit]]&lt;500,"Low")))</f>
        <v>Excellent</v>
      </c>
      <c r="N1077" s="7" t="str">
        <f>TEXT(Table1[[#This Row],[Order_Date]],"YYY")</f>
        <v>2025</v>
      </c>
    </row>
    <row r="1078" spans="1:14" x14ac:dyDescent="0.3">
      <c r="A1078" s="4">
        <v>45706</v>
      </c>
      <c r="B1078" s="5" t="s">
        <v>8</v>
      </c>
      <c r="C1078" s="5" t="s">
        <v>26</v>
      </c>
      <c r="D1078" s="23">
        <v>463.31</v>
      </c>
      <c r="E1078" s="23">
        <v>152.63</v>
      </c>
      <c r="F1078" s="23">
        <v>310.68</v>
      </c>
      <c r="G1078" s="5" t="s">
        <v>6</v>
      </c>
      <c r="H1078" s="5" t="s">
        <v>12</v>
      </c>
      <c r="I1078" s="5" t="s">
        <v>17</v>
      </c>
      <c r="J1078" s="6">
        <f>Table1[[#This Row],[Profit]]/Table1[[#This Row],[Sales]]</f>
        <v>0.67056614361874345</v>
      </c>
      <c r="K1078" s="5" t="str">
        <f t="shared" si="16"/>
        <v>Low</v>
      </c>
      <c r="L1078" s="5" t="str">
        <f>TEXT(Table1[[#This Row],[Order_Date]],"MMM")</f>
        <v>Feb</v>
      </c>
      <c r="M1078" s="5" t="str">
        <f>IF(Table1[[#This Row],[Profit]]&gt;=1000,"Excellent",IF(Table1[[#This Row],[Profit]]&gt;=500,"Good", IF(Table1[[#This Row],[Profit]]&lt;500,"Low")))</f>
        <v>Low</v>
      </c>
      <c r="N1078" s="7" t="str">
        <f>TEXT(Table1[[#This Row],[Order_Date]],"YYY")</f>
        <v>2025</v>
      </c>
    </row>
    <row r="1079" spans="1:14" x14ac:dyDescent="0.3">
      <c r="A1079" s="4">
        <v>45706</v>
      </c>
      <c r="B1079" s="5" t="s">
        <v>0</v>
      </c>
      <c r="C1079" s="5" t="s">
        <v>23</v>
      </c>
      <c r="D1079" s="23">
        <v>827.27</v>
      </c>
      <c r="E1079" s="23">
        <v>308.77999999999997</v>
      </c>
      <c r="F1079" s="23">
        <v>518.49</v>
      </c>
      <c r="G1079" s="5" t="s">
        <v>20</v>
      </c>
      <c r="H1079" s="5" t="s">
        <v>3</v>
      </c>
      <c r="I1079" s="5" t="s">
        <v>11</v>
      </c>
      <c r="J1079" s="6">
        <f>Table1[[#This Row],[Profit]]/Table1[[#This Row],[Sales]]</f>
        <v>0.62674822004907715</v>
      </c>
      <c r="K1079" s="5" t="str">
        <f t="shared" si="16"/>
        <v>Low</v>
      </c>
      <c r="L1079" s="5" t="str">
        <f>TEXT(Table1[[#This Row],[Order_Date]],"MMM")</f>
        <v>Feb</v>
      </c>
      <c r="M1079" s="5" t="str">
        <f>IF(Table1[[#This Row],[Profit]]&gt;=1000,"Excellent",IF(Table1[[#This Row],[Profit]]&gt;=500,"Good", IF(Table1[[#This Row],[Profit]]&lt;500,"Low")))</f>
        <v>Good</v>
      </c>
      <c r="N1079" s="7" t="str">
        <f>TEXT(Table1[[#This Row],[Order_Date]],"YYY")</f>
        <v>2025</v>
      </c>
    </row>
    <row r="1080" spans="1:14" x14ac:dyDescent="0.3">
      <c r="A1080" s="4">
        <v>45707</v>
      </c>
      <c r="B1080" s="5" t="s">
        <v>13</v>
      </c>
      <c r="C1080" s="5" t="s">
        <v>14</v>
      </c>
      <c r="D1080" s="23">
        <v>113.05</v>
      </c>
      <c r="E1080" s="23">
        <v>39.36</v>
      </c>
      <c r="F1080" s="23">
        <v>73.69</v>
      </c>
      <c r="G1080" s="5" t="s">
        <v>2</v>
      </c>
      <c r="H1080" s="5" t="s">
        <v>12</v>
      </c>
      <c r="I1080" s="5" t="s">
        <v>17</v>
      </c>
      <c r="J1080" s="6">
        <f>Table1[[#This Row],[Profit]]/Table1[[#This Row],[Sales]]</f>
        <v>0.65183547103051742</v>
      </c>
      <c r="K1080" s="5" t="str">
        <f t="shared" si="16"/>
        <v>Low</v>
      </c>
      <c r="L1080" s="5" t="str">
        <f>TEXT(Table1[[#This Row],[Order_Date]],"MMM")</f>
        <v>Feb</v>
      </c>
      <c r="M1080" s="5" t="str">
        <f>IF(Table1[[#This Row],[Profit]]&gt;=1000,"Excellent",IF(Table1[[#This Row],[Profit]]&gt;=500,"Good", IF(Table1[[#This Row],[Profit]]&lt;500,"Low")))</f>
        <v>Low</v>
      </c>
      <c r="N1080" s="7" t="str">
        <f>TEXT(Table1[[#This Row],[Order_Date]],"YYY")</f>
        <v>2025</v>
      </c>
    </row>
    <row r="1081" spans="1:14" x14ac:dyDescent="0.3">
      <c r="A1081" s="4">
        <v>45709</v>
      </c>
      <c r="B1081" s="5" t="s">
        <v>13</v>
      </c>
      <c r="C1081" s="5" t="s">
        <v>23</v>
      </c>
      <c r="D1081" s="23">
        <v>618.79</v>
      </c>
      <c r="E1081" s="23">
        <v>251.4</v>
      </c>
      <c r="F1081" s="23">
        <v>367.39</v>
      </c>
      <c r="G1081" s="5" t="s">
        <v>32</v>
      </c>
      <c r="H1081" s="5" t="s">
        <v>30</v>
      </c>
      <c r="I1081" s="5" t="s">
        <v>25</v>
      </c>
      <c r="J1081" s="6">
        <f>Table1[[#This Row],[Profit]]/Table1[[#This Row],[Sales]]</f>
        <v>0.59372323405355609</v>
      </c>
      <c r="K1081" s="5" t="str">
        <f t="shared" si="16"/>
        <v>Low</v>
      </c>
      <c r="L1081" s="5" t="str">
        <f>TEXT(Table1[[#This Row],[Order_Date]],"MMM")</f>
        <v>Feb</v>
      </c>
      <c r="M1081" s="5" t="str">
        <f>IF(Table1[[#This Row],[Profit]]&gt;=1000,"Excellent",IF(Table1[[#This Row],[Profit]]&gt;=500,"Good", IF(Table1[[#This Row],[Profit]]&lt;500,"Low")))</f>
        <v>Low</v>
      </c>
      <c r="N1081" s="7" t="str">
        <f>TEXT(Table1[[#This Row],[Order_Date]],"YYY")</f>
        <v>2025</v>
      </c>
    </row>
    <row r="1082" spans="1:14" x14ac:dyDescent="0.3">
      <c r="A1082" s="4">
        <v>45709</v>
      </c>
      <c r="B1082" s="5" t="s">
        <v>8</v>
      </c>
      <c r="C1082" s="5" t="s">
        <v>14</v>
      </c>
      <c r="D1082" s="23">
        <v>171.88</v>
      </c>
      <c r="E1082" s="23">
        <v>72.48</v>
      </c>
      <c r="F1082" s="23">
        <v>99.4</v>
      </c>
      <c r="G1082" s="5" t="s">
        <v>20</v>
      </c>
      <c r="H1082" s="5" t="s">
        <v>10</v>
      </c>
      <c r="I1082" s="5" t="s">
        <v>11</v>
      </c>
      <c r="J1082" s="6">
        <f>Table1[[#This Row],[Profit]]/Table1[[#This Row],[Sales]]</f>
        <v>0.57831044915057017</v>
      </c>
      <c r="K1082" s="5" t="str">
        <f t="shared" si="16"/>
        <v>Low</v>
      </c>
      <c r="L1082" s="5" t="str">
        <f>TEXT(Table1[[#This Row],[Order_Date]],"MMM")</f>
        <v>Feb</v>
      </c>
      <c r="M1082" s="5" t="str">
        <f>IF(Table1[[#This Row],[Profit]]&gt;=1000,"Excellent",IF(Table1[[#This Row],[Profit]]&gt;=500,"Good", IF(Table1[[#This Row],[Profit]]&lt;500,"Low")))</f>
        <v>Low</v>
      </c>
      <c r="N1082" s="7" t="str">
        <f>TEXT(Table1[[#This Row],[Order_Date]],"YYY")</f>
        <v>2025</v>
      </c>
    </row>
    <row r="1083" spans="1:14" x14ac:dyDescent="0.3">
      <c r="A1083" s="4">
        <v>45709</v>
      </c>
      <c r="B1083" s="5" t="s">
        <v>16</v>
      </c>
      <c r="C1083" s="5" t="s">
        <v>14</v>
      </c>
      <c r="D1083" s="23">
        <v>282.43</v>
      </c>
      <c r="E1083" s="23">
        <v>94.31</v>
      </c>
      <c r="F1083" s="23">
        <v>188.12</v>
      </c>
      <c r="G1083" s="5" t="s">
        <v>32</v>
      </c>
      <c r="H1083" s="5" t="s">
        <v>33</v>
      </c>
      <c r="I1083" s="5" t="s">
        <v>4</v>
      </c>
      <c r="J1083" s="6">
        <f>Table1[[#This Row],[Profit]]/Table1[[#This Row],[Sales]]</f>
        <v>0.6660765499415785</v>
      </c>
      <c r="K1083" s="5" t="str">
        <f t="shared" si="16"/>
        <v>Low</v>
      </c>
      <c r="L1083" s="5" t="str">
        <f>TEXT(Table1[[#This Row],[Order_Date]],"MMM")</f>
        <v>Feb</v>
      </c>
      <c r="M1083" s="5" t="str">
        <f>IF(Table1[[#This Row],[Profit]]&gt;=1000,"Excellent",IF(Table1[[#This Row],[Profit]]&gt;=500,"Good", IF(Table1[[#This Row],[Profit]]&lt;500,"Low")))</f>
        <v>Low</v>
      </c>
      <c r="N1083" s="7" t="str">
        <f>TEXT(Table1[[#This Row],[Order_Date]],"YYY")</f>
        <v>2025</v>
      </c>
    </row>
    <row r="1084" spans="1:14" x14ac:dyDescent="0.3">
      <c r="A1084" s="4">
        <v>45710</v>
      </c>
      <c r="B1084" s="5" t="s">
        <v>8</v>
      </c>
      <c r="C1084" s="5" t="s">
        <v>5</v>
      </c>
      <c r="D1084" s="23">
        <v>1739.28</v>
      </c>
      <c r="E1084" s="23">
        <v>664.37</v>
      </c>
      <c r="F1084" s="23">
        <v>1074.9100000000001</v>
      </c>
      <c r="G1084" s="5" t="s">
        <v>9</v>
      </c>
      <c r="H1084" s="5" t="s">
        <v>10</v>
      </c>
      <c r="I1084" s="5" t="s">
        <v>25</v>
      </c>
      <c r="J1084" s="6">
        <f>Table1[[#This Row],[Profit]]/Table1[[#This Row],[Sales]]</f>
        <v>0.61802010027137677</v>
      </c>
      <c r="K1084" s="5" t="str">
        <f t="shared" si="16"/>
        <v>Medium</v>
      </c>
      <c r="L1084" s="5" t="str">
        <f>TEXT(Table1[[#This Row],[Order_Date]],"MMM")</f>
        <v>Feb</v>
      </c>
      <c r="M1084" s="5" t="str">
        <f>IF(Table1[[#This Row],[Profit]]&gt;=1000,"Excellent",IF(Table1[[#This Row],[Profit]]&gt;=500,"Good", IF(Table1[[#This Row],[Profit]]&lt;500,"Low")))</f>
        <v>Excellent</v>
      </c>
      <c r="N1084" s="7" t="str">
        <f>TEXT(Table1[[#This Row],[Order_Date]],"YYY")</f>
        <v>2025</v>
      </c>
    </row>
    <row r="1085" spans="1:14" x14ac:dyDescent="0.3">
      <c r="A1085" s="4">
        <v>45711</v>
      </c>
      <c r="B1085" s="5" t="s">
        <v>16</v>
      </c>
      <c r="C1085" s="5" t="s">
        <v>19</v>
      </c>
      <c r="D1085" s="23">
        <v>59.21</v>
      </c>
      <c r="E1085" s="23">
        <v>25.2</v>
      </c>
      <c r="F1085" s="23">
        <v>34.01</v>
      </c>
      <c r="G1085" s="5" t="s">
        <v>9</v>
      </c>
      <c r="H1085" s="5" t="s">
        <v>29</v>
      </c>
      <c r="I1085" s="5" t="s">
        <v>22</v>
      </c>
      <c r="J1085" s="6">
        <f>Table1[[#This Row],[Profit]]/Table1[[#This Row],[Sales]]</f>
        <v>0.57439621685526088</v>
      </c>
      <c r="K1085" s="5" t="str">
        <f t="shared" si="16"/>
        <v>Low</v>
      </c>
      <c r="L1085" s="5" t="str">
        <f>TEXT(Table1[[#This Row],[Order_Date]],"MMM")</f>
        <v>Feb</v>
      </c>
      <c r="M1085" s="5" t="str">
        <f>IF(Table1[[#This Row],[Profit]]&gt;=1000,"Excellent",IF(Table1[[#This Row],[Profit]]&gt;=500,"Good", IF(Table1[[#This Row],[Profit]]&lt;500,"Low")))</f>
        <v>Low</v>
      </c>
      <c r="N1085" s="7" t="str">
        <f>TEXT(Table1[[#This Row],[Order_Date]],"YYY")</f>
        <v>2025</v>
      </c>
    </row>
    <row r="1086" spans="1:14" x14ac:dyDescent="0.3">
      <c r="A1086" s="4">
        <v>45711</v>
      </c>
      <c r="B1086" s="5" t="s">
        <v>16</v>
      </c>
      <c r="C1086" s="5" t="s">
        <v>26</v>
      </c>
      <c r="D1086" s="23">
        <v>451.16</v>
      </c>
      <c r="E1086" s="23">
        <v>195.58</v>
      </c>
      <c r="F1086" s="23">
        <v>255.58</v>
      </c>
      <c r="G1086" s="5" t="s">
        <v>20</v>
      </c>
      <c r="H1086" s="5" t="s">
        <v>30</v>
      </c>
      <c r="I1086" s="5" t="s">
        <v>27</v>
      </c>
      <c r="J1086" s="6">
        <f>Table1[[#This Row],[Profit]]/Table1[[#This Row],[Sales]]</f>
        <v>0.56649525667169076</v>
      </c>
      <c r="K1086" s="5" t="str">
        <f t="shared" si="16"/>
        <v>Low</v>
      </c>
      <c r="L1086" s="5" t="str">
        <f>TEXT(Table1[[#This Row],[Order_Date]],"MMM")</f>
        <v>Feb</v>
      </c>
      <c r="M1086" s="5" t="str">
        <f>IF(Table1[[#This Row],[Profit]]&gt;=1000,"Excellent",IF(Table1[[#This Row],[Profit]]&gt;=500,"Good", IF(Table1[[#This Row],[Profit]]&lt;500,"Low")))</f>
        <v>Low</v>
      </c>
      <c r="N1086" s="7" t="str">
        <f>TEXT(Table1[[#This Row],[Order_Date]],"YYY")</f>
        <v>2025</v>
      </c>
    </row>
    <row r="1087" spans="1:14" x14ac:dyDescent="0.3">
      <c r="A1087" s="4">
        <v>45711</v>
      </c>
      <c r="B1087" s="5" t="s">
        <v>8</v>
      </c>
      <c r="C1087" s="5" t="s">
        <v>1</v>
      </c>
      <c r="D1087" s="23">
        <v>1103.48</v>
      </c>
      <c r="E1087" s="23">
        <v>523.54</v>
      </c>
      <c r="F1087" s="23">
        <v>579.94000000000005</v>
      </c>
      <c r="G1087" s="5" t="s">
        <v>2</v>
      </c>
      <c r="H1087" s="5" t="s">
        <v>21</v>
      </c>
      <c r="I1087" s="5" t="s">
        <v>4</v>
      </c>
      <c r="J1087" s="6">
        <f>Table1[[#This Row],[Profit]]/Table1[[#This Row],[Sales]]</f>
        <v>0.52555551527893574</v>
      </c>
      <c r="K1087" s="5" t="str">
        <f t="shared" si="16"/>
        <v>Low</v>
      </c>
      <c r="L1087" s="5" t="str">
        <f>TEXT(Table1[[#This Row],[Order_Date]],"MMM")</f>
        <v>Feb</v>
      </c>
      <c r="M1087" s="5" t="str">
        <f>IF(Table1[[#This Row],[Profit]]&gt;=1000,"Excellent",IF(Table1[[#This Row],[Profit]]&gt;=500,"Good", IF(Table1[[#This Row],[Profit]]&lt;500,"Low")))</f>
        <v>Good</v>
      </c>
      <c r="N1087" s="7" t="str">
        <f>TEXT(Table1[[#This Row],[Order_Date]],"YYY")</f>
        <v>2025</v>
      </c>
    </row>
    <row r="1088" spans="1:14" x14ac:dyDescent="0.3">
      <c r="A1088" s="4">
        <v>45712</v>
      </c>
      <c r="B1088" s="5" t="s">
        <v>18</v>
      </c>
      <c r="C1088" s="5" t="s">
        <v>5</v>
      </c>
      <c r="D1088" s="23">
        <v>1628.23</v>
      </c>
      <c r="E1088" s="23">
        <v>805</v>
      </c>
      <c r="F1088" s="23">
        <v>823.23</v>
      </c>
      <c r="G1088" s="5" t="s">
        <v>9</v>
      </c>
      <c r="H1088" s="5" t="s">
        <v>3</v>
      </c>
      <c r="I1088" s="5" t="s">
        <v>27</v>
      </c>
      <c r="J1088" s="6">
        <f>Table1[[#This Row],[Profit]]/Table1[[#This Row],[Sales]]</f>
        <v>0.50559810346204159</v>
      </c>
      <c r="K1088" s="5" t="str">
        <f t="shared" si="16"/>
        <v>Medium</v>
      </c>
      <c r="L1088" s="5" t="str">
        <f>TEXT(Table1[[#This Row],[Order_Date]],"MMM")</f>
        <v>Feb</v>
      </c>
      <c r="M1088" s="5" t="str">
        <f>IF(Table1[[#This Row],[Profit]]&gt;=1000,"Excellent",IF(Table1[[#This Row],[Profit]]&gt;=500,"Good", IF(Table1[[#This Row],[Profit]]&lt;500,"Low")))</f>
        <v>Good</v>
      </c>
      <c r="N1088" s="7" t="str">
        <f>TEXT(Table1[[#This Row],[Order_Date]],"YYY")</f>
        <v>2025</v>
      </c>
    </row>
    <row r="1089" spans="1:14" x14ac:dyDescent="0.3">
      <c r="A1089" s="4">
        <v>45713</v>
      </c>
      <c r="B1089" s="5" t="s">
        <v>0</v>
      </c>
      <c r="C1089" s="5" t="s">
        <v>19</v>
      </c>
      <c r="D1089" s="23">
        <v>134.47999999999999</v>
      </c>
      <c r="E1089" s="23">
        <v>50.65</v>
      </c>
      <c r="F1089" s="23">
        <v>83.83</v>
      </c>
      <c r="G1089" s="5" t="s">
        <v>20</v>
      </c>
      <c r="H1089" s="5" t="s">
        <v>28</v>
      </c>
      <c r="I1089" s="5" t="s">
        <v>25</v>
      </c>
      <c r="J1089" s="6">
        <f>Table1[[#This Row],[Profit]]/Table1[[#This Row],[Sales]]</f>
        <v>0.62336406900654373</v>
      </c>
      <c r="K1089" s="5" t="str">
        <f t="shared" si="16"/>
        <v>Low</v>
      </c>
      <c r="L1089" s="5" t="str">
        <f>TEXT(Table1[[#This Row],[Order_Date]],"MMM")</f>
        <v>Feb</v>
      </c>
      <c r="M1089" s="5" t="str">
        <f>IF(Table1[[#This Row],[Profit]]&gt;=1000,"Excellent",IF(Table1[[#This Row],[Profit]]&gt;=500,"Good", IF(Table1[[#This Row],[Profit]]&lt;500,"Low")))</f>
        <v>Low</v>
      </c>
      <c r="N1089" s="7" t="str">
        <f>TEXT(Table1[[#This Row],[Order_Date]],"YYY")</f>
        <v>2025</v>
      </c>
    </row>
    <row r="1090" spans="1:14" x14ac:dyDescent="0.3">
      <c r="A1090" s="4">
        <v>45716</v>
      </c>
      <c r="B1090" s="5" t="s">
        <v>18</v>
      </c>
      <c r="C1090" s="5" t="s">
        <v>1</v>
      </c>
      <c r="D1090" s="23">
        <v>1223.07</v>
      </c>
      <c r="E1090" s="23">
        <v>722.82</v>
      </c>
      <c r="F1090" s="23">
        <v>500.25</v>
      </c>
      <c r="G1090" s="5" t="s">
        <v>2</v>
      </c>
      <c r="H1090" s="5" t="s">
        <v>10</v>
      </c>
      <c r="I1090" s="5" t="s">
        <v>22</v>
      </c>
      <c r="J1090" s="6">
        <f>Table1[[#This Row],[Profit]]/Table1[[#This Row],[Sales]]</f>
        <v>0.40901174912310828</v>
      </c>
      <c r="K1090" s="5" t="str">
        <f t="shared" ref="K1090:K1153" si="17">IF(D1090&gt;=2000,"High",IF(D1090&gt;=1500,"Medium","Low"))</f>
        <v>Low</v>
      </c>
      <c r="L1090" s="5" t="str">
        <f>TEXT(Table1[[#This Row],[Order_Date]],"MMM")</f>
        <v>Feb</v>
      </c>
      <c r="M1090" s="5" t="str">
        <f>IF(Table1[[#This Row],[Profit]]&gt;=1000,"Excellent",IF(Table1[[#This Row],[Profit]]&gt;=500,"Good", IF(Table1[[#This Row],[Profit]]&lt;500,"Low")))</f>
        <v>Good</v>
      </c>
      <c r="N1090" s="7" t="str">
        <f>TEXT(Table1[[#This Row],[Order_Date]],"YYY")</f>
        <v>2025</v>
      </c>
    </row>
    <row r="1091" spans="1:14" x14ac:dyDescent="0.3">
      <c r="A1091" s="4">
        <v>45717</v>
      </c>
      <c r="B1091" s="5" t="s">
        <v>16</v>
      </c>
      <c r="C1091" s="5" t="s">
        <v>19</v>
      </c>
      <c r="D1091" s="23">
        <v>84.26</v>
      </c>
      <c r="E1091" s="23">
        <v>36.4</v>
      </c>
      <c r="F1091" s="23">
        <v>47.86</v>
      </c>
      <c r="G1091" s="5" t="s">
        <v>6</v>
      </c>
      <c r="H1091" s="5" t="s">
        <v>10</v>
      </c>
      <c r="I1091" s="5" t="s">
        <v>22</v>
      </c>
      <c r="J1091" s="6">
        <f>Table1[[#This Row],[Profit]]/Table1[[#This Row],[Sales]]</f>
        <v>0.56800379776881083</v>
      </c>
      <c r="K1091" s="5" t="str">
        <f t="shared" si="17"/>
        <v>Low</v>
      </c>
      <c r="L1091" s="5" t="str">
        <f>TEXT(Table1[[#This Row],[Order_Date]],"MMM")</f>
        <v>Mar</v>
      </c>
      <c r="M1091" s="5" t="str">
        <f>IF(Table1[[#This Row],[Profit]]&gt;=1000,"Excellent",IF(Table1[[#This Row],[Profit]]&gt;=500,"Good", IF(Table1[[#This Row],[Profit]]&lt;500,"Low")))</f>
        <v>Low</v>
      </c>
      <c r="N1091" s="7" t="str">
        <f>TEXT(Table1[[#This Row],[Order_Date]],"YYY")</f>
        <v>2025</v>
      </c>
    </row>
    <row r="1092" spans="1:14" x14ac:dyDescent="0.3">
      <c r="A1092" s="4">
        <v>45718</v>
      </c>
      <c r="B1092" s="5" t="s">
        <v>0</v>
      </c>
      <c r="C1092" s="5" t="s">
        <v>1</v>
      </c>
      <c r="D1092" s="23">
        <v>156.58000000000001</v>
      </c>
      <c r="E1092" s="23">
        <v>99.12</v>
      </c>
      <c r="F1092" s="23">
        <v>57.46</v>
      </c>
      <c r="G1092" s="5" t="s">
        <v>2</v>
      </c>
      <c r="H1092" s="5" t="s">
        <v>33</v>
      </c>
      <c r="I1092" s="5" t="s">
        <v>11</v>
      </c>
      <c r="J1092" s="6">
        <f>Table1[[#This Row],[Profit]]/Table1[[#This Row],[Sales]]</f>
        <v>0.36696896155319964</v>
      </c>
      <c r="K1092" s="5" t="str">
        <f t="shared" si="17"/>
        <v>Low</v>
      </c>
      <c r="L1092" s="5" t="str">
        <f>TEXT(Table1[[#This Row],[Order_Date]],"MMM")</f>
        <v>Mar</v>
      </c>
      <c r="M1092" s="5" t="str">
        <f>IF(Table1[[#This Row],[Profit]]&gt;=1000,"Excellent",IF(Table1[[#This Row],[Profit]]&gt;=500,"Good", IF(Table1[[#This Row],[Profit]]&lt;500,"Low")))</f>
        <v>Low</v>
      </c>
      <c r="N1092" s="7" t="str">
        <f>TEXT(Table1[[#This Row],[Order_Date]],"YYY")</f>
        <v>2025</v>
      </c>
    </row>
    <row r="1093" spans="1:14" x14ac:dyDescent="0.3">
      <c r="A1093" s="4">
        <v>45718</v>
      </c>
      <c r="B1093" s="5" t="s">
        <v>18</v>
      </c>
      <c r="C1093" s="5" t="s">
        <v>14</v>
      </c>
      <c r="D1093" s="23">
        <v>355.46</v>
      </c>
      <c r="E1093" s="23">
        <v>152.93</v>
      </c>
      <c r="F1093" s="23">
        <v>202.53</v>
      </c>
      <c r="G1093" s="5" t="s">
        <v>32</v>
      </c>
      <c r="H1093" s="5" t="s">
        <v>12</v>
      </c>
      <c r="I1093" s="5" t="s">
        <v>17</v>
      </c>
      <c r="J1093" s="6">
        <f>Table1[[#This Row],[Profit]]/Table1[[#This Row],[Sales]]</f>
        <v>0.56976875035165708</v>
      </c>
      <c r="K1093" s="5" t="str">
        <f t="shared" si="17"/>
        <v>Low</v>
      </c>
      <c r="L1093" s="5" t="str">
        <f>TEXT(Table1[[#This Row],[Order_Date]],"MMM")</f>
        <v>Mar</v>
      </c>
      <c r="M1093" s="5" t="str">
        <f>IF(Table1[[#This Row],[Profit]]&gt;=1000,"Excellent",IF(Table1[[#This Row],[Profit]]&gt;=500,"Good", IF(Table1[[#This Row],[Profit]]&lt;500,"Low")))</f>
        <v>Low</v>
      </c>
      <c r="N1093" s="7" t="str">
        <f>TEXT(Table1[[#This Row],[Order_Date]],"YYY")</f>
        <v>2025</v>
      </c>
    </row>
    <row r="1094" spans="1:14" x14ac:dyDescent="0.3">
      <c r="A1094" s="4">
        <v>45718</v>
      </c>
      <c r="B1094" s="5" t="s">
        <v>0</v>
      </c>
      <c r="C1094" s="5" t="s">
        <v>5</v>
      </c>
      <c r="D1094" s="23">
        <v>1725.49</v>
      </c>
      <c r="E1094" s="23">
        <v>547.27</v>
      </c>
      <c r="F1094" s="23">
        <v>1178.22</v>
      </c>
      <c r="G1094" s="5" t="s">
        <v>6</v>
      </c>
      <c r="H1094" s="5" t="s">
        <v>24</v>
      </c>
      <c r="I1094" s="5" t="s">
        <v>4</v>
      </c>
      <c r="J1094" s="6">
        <f>Table1[[#This Row],[Profit]]/Table1[[#This Row],[Sales]]</f>
        <v>0.6828321230491049</v>
      </c>
      <c r="K1094" s="5" t="str">
        <f t="shared" si="17"/>
        <v>Medium</v>
      </c>
      <c r="L1094" s="5" t="str">
        <f>TEXT(Table1[[#This Row],[Order_Date]],"MMM")</f>
        <v>Mar</v>
      </c>
      <c r="M1094" s="5" t="str">
        <f>IF(Table1[[#This Row],[Profit]]&gt;=1000,"Excellent",IF(Table1[[#This Row],[Profit]]&gt;=500,"Good", IF(Table1[[#This Row],[Profit]]&lt;500,"Low")))</f>
        <v>Excellent</v>
      </c>
      <c r="N1094" s="7" t="str">
        <f>TEXT(Table1[[#This Row],[Order_Date]],"YYY")</f>
        <v>2025</v>
      </c>
    </row>
    <row r="1095" spans="1:14" x14ac:dyDescent="0.3">
      <c r="A1095" s="4">
        <v>45719</v>
      </c>
      <c r="B1095" s="5" t="s">
        <v>13</v>
      </c>
      <c r="C1095" s="5" t="s">
        <v>19</v>
      </c>
      <c r="D1095" s="23">
        <v>62.22</v>
      </c>
      <c r="E1095" s="23">
        <v>19.190000000000001</v>
      </c>
      <c r="F1095" s="23">
        <v>43.03</v>
      </c>
      <c r="G1095" s="5" t="s">
        <v>6</v>
      </c>
      <c r="H1095" s="5" t="s">
        <v>12</v>
      </c>
      <c r="I1095" s="5" t="s">
        <v>11</v>
      </c>
      <c r="J1095" s="6">
        <f>Table1[[#This Row],[Profit]]/Table1[[#This Row],[Sales]]</f>
        <v>0.69157827065252331</v>
      </c>
      <c r="K1095" s="5" t="str">
        <f t="shared" si="17"/>
        <v>Low</v>
      </c>
      <c r="L1095" s="5" t="str">
        <f>TEXT(Table1[[#This Row],[Order_Date]],"MMM")</f>
        <v>Mar</v>
      </c>
      <c r="M1095" s="5" t="str">
        <f>IF(Table1[[#This Row],[Profit]]&gt;=1000,"Excellent",IF(Table1[[#This Row],[Profit]]&gt;=500,"Good", IF(Table1[[#This Row],[Profit]]&lt;500,"Low")))</f>
        <v>Low</v>
      </c>
      <c r="N1095" s="7" t="str">
        <f>TEXT(Table1[[#This Row],[Order_Date]],"YYY")</f>
        <v>2025</v>
      </c>
    </row>
    <row r="1096" spans="1:14" x14ac:dyDescent="0.3">
      <c r="A1096" s="4">
        <v>45723</v>
      </c>
      <c r="B1096" s="5" t="s">
        <v>16</v>
      </c>
      <c r="C1096" s="5" t="s">
        <v>19</v>
      </c>
      <c r="D1096" s="23">
        <v>17.29</v>
      </c>
      <c r="E1096" s="23">
        <v>7.25</v>
      </c>
      <c r="F1096" s="23">
        <v>10.039999999999999</v>
      </c>
      <c r="G1096" s="5" t="s">
        <v>32</v>
      </c>
      <c r="H1096" s="5" t="s">
        <v>34</v>
      </c>
      <c r="I1096" s="5" t="s">
        <v>27</v>
      </c>
      <c r="J1096" s="6">
        <f>Table1[[#This Row],[Profit]]/Table1[[#This Row],[Sales]]</f>
        <v>0.5806824754193175</v>
      </c>
      <c r="K1096" s="5" t="str">
        <f t="shared" si="17"/>
        <v>Low</v>
      </c>
      <c r="L1096" s="5" t="str">
        <f>TEXT(Table1[[#This Row],[Order_Date]],"MMM")</f>
        <v>Mar</v>
      </c>
      <c r="M1096" s="5" t="str">
        <f>IF(Table1[[#This Row],[Profit]]&gt;=1000,"Excellent",IF(Table1[[#This Row],[Profit]]&gt;=500,"Good", IF(Table1[[#This Row],[Profit]]&lt;500,"Low")))</f>
        <v>Low</v>
      </c>
      <c r="N1096" s="7" t="str">
        <f>TEXT(Table1[[#This Row],[Order_Date]],"YYY")</f>
        <v>2025</v>
      </c>
    </row>
    <row r="1097" spans="1:14" x14ac:dyDescent="0.3">
      <c r="A1097" s="4">
        <v>45723</v>
      </c>
      <c r="B1097" s="5" t="s">
        <v>13</v>
      </c>
      <c r="C1097" s="5" t="s">
        <v>19</v>
      </c>
      <c r="D1097" s="23">
        <v>109.99</v>
      </c>
      <c r="E1097" s="23">
        <v>30.34</v>
      </c>
      <c r="F1097" s="23">
        <v>79.650000000000006</v>
      </c>
      <c r="G1097" s="5" t="s">
        <v>2</v>
      </c>
      <c r="H1097" s="5" t="s">
        <v>3</v>
      </c>
      <c r="I1097" s="5" t="s">
        <v>27</v>
      </c>
      <c r="J1097" s="6">
        <f>Table1[[#This Row],[Profit]]/Table1[[#This Row],[Sales]]</f>
        <v>0.72415674152195664</v>
      </c>
      <c r="K1097" s="5" t="str">
        <f t="shared" si="17"/>
        <v>Low</v>
      </c>
      <c r="L1097" s="5" t="str">
        <f>TEXT(Table1[[#This Row],[Order_Date]],"MMM")</f>
        <v>Mar</v>
      </c>
      <c r="M1097" s="5" t="str">
        <f>IF(Table1[[#This Row],[Profit]]&gt;=1000,"Excellent",IF(Table1[[#This Row],[Profit]]&gt;=500,"Good", IF(Table1[[#This Row],[Profit]]&lt;500,"Low")))</f>
        <v>Low</v>
      </c>
      <c r="N1097" s="7" t="str">
        <f>TEXT(Table1[[#This Row],[Order_Date]],"YYY")</f>
        <v>2025</v>
      </c>
    </row>
    <row r="1098" spans="1:14" x14ac:dyDescent="0.3">
      <c r="A1098" s="4">
        <v>45724</v>
      </c>
      <c r="B1098" s="5" t="s">
        <v>18</v>
      </c>
      <c r="C1098" s="5" t="s">
        <v>26</v>
      </c>
      <c r="D1098" s="23">
        <v>486.04</v>
      </c>
      <c r="E1098" s="23">
        <v>178.59</v>
      </c>
      <c r="F1098" s="23">
        <v>307.45</v>
      </c>
      <c r="G1098" s="5" t="s">
        <v>6</v>
      </c>
      <c r="H1098" s="5" t="s">
        <v>12</v>
      </c>
      <c r="I1098" s="5" t="s">
        <v>17</v>
      </c>
      <c r="J1098" s="6">
        <f>Table1[[#This Row],[Profit]]/Table1[[#This Row],[Sales]]</f>
        <v>0.63256110608180394</v>
      </c>
      <c r="K1098" s="5" t="str">
        <f t="shared" si="17"/>
        <v>Low</v>
      </c>
      <c r="L1098" s="5" t="str">
        <f>TEXT(Table1[[#This Row],[Order_Date]],"MMM")</f>
        <v>Mar</v>
      </c>
      <c r="M1098" s="5" t="str">
        <f>IF(Table1[[#This Row],[Profit]]&gt;=1000,"Excellent",IF(Table1[[#This Row],[Profit]]&gt;=500,"Good", IF(Table1[[#This Row],[Profit]]&lt;500,"Low")))</f>
        <v>Low</v>
      </c>
      <c r="N1098" s="7" t="str">
        <f>TEXT(Table1[[#This Row],[Order_Date]],"YYY")</f>
        <v>2025</v>
      </c>
    </row>
    <row r="1099" spans="1:14" x14ac:dyDescent="0.3">
      <c r="A1099" s="4">
        <v>45725</v>
      </c>
      <c r="B1099" s="5" t="s">
        <v>13</v>
      </c>
      <c r="C1099" s="5" t="s">
        <v>26</v>
      </c>
      <c r="D1099" s="23">
        <v>201.48</v>
      </c>
      <c r="E1099" s="23">
        <v>73.86</v>
      </c>
      <c r="F1099" s="23">
        <v>127.62</v>
      </c>
      <c r="G1099" s="5" t="s">
        <v>9</v>
      </c>
      <c r="H1099" s="5" t="s">
        <v>37</v>
      </c>
      <c r="I1099" s="5" t="s">
        <v>11</v>
      </c>
      <c r="J1099" s="6">
        <f>Table1[[#This Row],[Profit]]/Table1[[#This Row],[Sales]]</f>
        <v>0.6334127456819536</v>
      </c>
      <c r="K1099" s="5" t="str">
        <f t="shared" si="17"/>
        <v>Low</v>
      </c>
      <c r="L1099" s="5" t="str">
        <f>TEXT(Table1[[#This Row],[Order_Date]],"MMM")</f>
        <v>Mar</v>
      </c>
      <c r="M1099" s="5" t="str">
        <f>IF(Table1[[#This Row],[Profit]]&gt;=1000,"Excellent",IF(Table1[[#This Row],[Profit]]&gt;=500,"Good", IF(Table1[[#This Row],[Profit]]&lt;500,"Low")))</f>
        <v>Low</v>
      </c>
      <c r="N1099" s="7" t="str">
        <f>TEXT(Table1[[#This Row],[Order_Date]],"YYY")</f>
        <v>2025</v>
      </c>
    </row>
    <row r="1100" spans="1:14" x14ac:dyDescent="0.3">
      <c r="A1100" s="4">
        <v>45725</v>
      </c>
      <c r="B1100" s="5" t="s">
        <v>13</v>
      </c>
      <c r="C1100" s="5" t="s">
        <v>26</v>
      </c>
      <c r="D1100" s="23">
        <v>155.41</v>
      </c>
      <c r="E1100" s="23">
        <v>42.27</v>
      </c>
      <c r="F1100" s="23">
        <v>113.14</v>
      </c>
      <c r="G1100" s="5" t="s">
        <v>9</v>
      </c>
      <c r="H1100" s="5" t="s">
        <v>21</v>
      </c>
      <c r="I1100" s="5" t="s">
        <v>27</v>
      </c>
      <c r="J1100" s="6">
        <f>Table1[[#This Row],[Profit]]/Table1[[#This Row],[Sales]]</f>
        <v>0.72800978058040022</v>
      </c>
      <c r="K1100" s="5" t="str">
        <f t="shared" si="17"/>
        <v>Low</v>
      </c>
      <c r="L1100" s="5" t="str">
        <f>TEXT(Table1[[#This Row],[Order_Date]],"MMM")</f>
        <v>Mar</v>
      </c>
      <c r="M1100" s="5" t="str">
        <f>IF(Table1[[#This Row],[Profit]]&gt;=1000,"Excellent",IF(Table1[[#This Row],[Profit]]&gt;=500,"Good", IF(Table1[[#This Row],[Profit]]&lt;500,"Low")))</f>
        <v>Low</v>
      </c>
      <c r="N1100" s="7" t="str">
        <f>TEXT(Table1[[#This Row],[Order_Date]],"YYY")</f>
        <v>2025</v>
      </c>
    </row>
    <row r="1101" spans="1:14" x14ac:dyDescent="0.3">
      <c r="A1101" s="4">
        <v>45726</v>
      </c>
      <c r="B1101" s="5" t="s">
        <v>16</v>
      </c>
      <c r="C1101" s="5" t="s">
        <v>31</v>
      </c>
      <c r="D1101" s="23">
        <v>172.93</v>
      </c>
      <c r="E1101" s="23">
        <v>54.01</v>
      </c>
      <c r="F1101" s="23">
        <v>118.92</v>
      </c>
      <c r="G1101" s="5" t="s">
        <v>6</v>
      </c>
      <c r="H1101" s="5" t="s">
        <v>3</v>
      </c>
      <c r="I1101" s="5" t="s">
        <v>4</v>
      </c>
      <c r="J1101" s="6">
        <f>Table1[[#This Row],[Profit]]/Table1[[#This Row],[Sales]]</f>
        <v>0.68767709477823391</v>
      </c>
      <c r="K1101" s="5" t="str">
        <f t="shared" si="17"/>
        <v>Low</v>
      </c>
      <c r="L1101" s="5" t="str">
        <f>TEXT(Table1[[#This Row],[Order_Date]],"MMM")</f>
        <v>Mar</v>
      </c>
      <c r="M1101" s="5" t="str">
        <f>IF(Table1[[#This Row],[Profit]]&gt;=1000,"Excellent",IF(Table1[[#This Row],[Profit]]&gt;=500,"Good", IF(Table1[[#This Row],[Profit]]&lt;500,"Low")))</f>
        <v>Low</v>
      </c>
      <c r="N1101" s="7" t="str">
        <f>TEXT(Table1[[#This Row],[Order_Date]],"YYY")</f>
        <v>2025</v>
      </c>
    </row>
    <row r="1102" spans="1:14" x14ac:dyDescent="0.3">
      <c r="A1102" s="4">
        <v>45727</v>
      </c>
      <c r="B1102" s="5" t="s">
        <v>8</v>
      </c>
      <c r="C1102" s="5" t="s">
        <v>26</v>
      </c>
      <c r="D1102" s="23">
        <v>490.59</v>
      </c>
      <c r="E1102" s="23">
        <v>215.26</v>
      </c>
      <c r="F1102" s="23">
        <v>275.33</v>
      </c>
      <c r="G1102" s="5" t="s">
        <v>6</v>
      </c>
      <c r="H1102" s="5" t="s">
        <v>15</v>
      </c>
      <c r="I1102" s="5" t="s">
        <v>17</v>
      </c>
      <c r="J1102" s="6">
        <f>Table1[[#This Row],[Profit]]/Table1[[#This Row],[Sales]]</f>
        <v>0.5612222018386025</v>
      </c>
      <c r="K1102" s="5" t="str">
        <f t="shared" si="17"/>
        <v>Low</v>
      </c>
      <c r="L1102" s="5" t="str">
        <f>TEXT(Table1[[#This Row],[Order_Date]],"MMM")</f>
        <v>Mar</v>
      </c>
      <c r="M1102" s="5" t="str">
        <f>IF(Table1[[#This Row],[Profit]]&gt;=1000,"Excellent",IF(Table1[[#This Row],[Profit]]&gt;=500,"Good", IF(Table1[[#This Row],[Profit]]&lt;500,"Low")))</f>
        <v>Low</v>
      </c>
      <c r="N1102" s="7" t="str">
        <f>TEXT(Table1[[#This Row],[Order_Date]],"YYY")</f>
        <v>2025</v>
      </c>
    </row>
    <row r="1103" spans="1:14" x14ac:dyDescent="0.3">
      <c r="A1103" s="4">
        <v>45727</v>
      </c>
      <c r="B1103" s="5" t="s">
        <v>8</v>
      </c>
      <c r="C1103" s="5" t="s">
        <v>23</v>
      </c>
      <c r="D1103" s="23">
        <v>404.48</v>
      </c>
      <c r="E1103" s="23">
        <v>176.17</v>
      </c>
      <c r="F1103" s="23">
        <v>228.31</v>
      </c>
      <c r="G1103" s="5" t="s">
        <v>9</v>
      </c>
      <c r="H1103" s="5" t="s">
        <v>36</v>
      </c>
      <c r="I1103" s="5" t="s">
        <v>25</v>
      </c>
      <c r="J1103" s="6">
        <f>Table1[[#This Row],[Profit]]/Table1[[#This Row],[Sales]]</f>
        <v>0.564453125</v>
      </c>
      <c r="K1103" s="5" t="str">
        <f t="shared" si="17"/>
        <v>Low</v>
      </c>
      <c r="L1103" s="5" t="str">
        <f>TEXT(Table1[[#This Row],[Order_Date]],"MMM")</f>
        <v>Mar</v>
      </c>
      <c r="M1103" s="5" t="str">
        <f>IF(Table1[[#This Row],[Profit]]&gt;=1000,"Excellent",IF(Table1[[#This Row],[Profit]]&gt;=500,"Good", IF(Table1[[#This Row],[Profit]]&lt;500,"Low")))</f>
        <v>Low</v>
      </c>
      <c r="N1103" s="7" t="str">
        <f>TEXT(Table1[[#This Row],[Order_Date]],"YYY")</f>
        <v>2025</v>
      </c>
    </row>
    <row r="1104" spans="1:14" x14ac:dyDescent="0.3">
      <c r="A1104" s="4">
        <v>45727</v>
      </c>
      <c r="B1104" s="5" t="s">
        <v>13</v>
      </c>
      <c r="C1104" s="5" t="s">
        <v>23</v>
      </c>
      <c r="D1104" s="23">
        <v>493.01</v>
      </c>
      <c r="E1104" s="23">
        <v>209.5</v>
      </c>
      <c r="F1104" s="23">
        <v>283.51</v>
      </c>
      <c r="G1104" s="5" t="s">
        <v>20</v>
      </c>
      <c r="H1104" s="5" t="s">
        <v>28</v>
      </c>
      <c r="I1104" s="5" t="s">
        <v>27</v>
      </c>
      <c r="J1104" s="6">
        <f>Table1[[#This Row],[Profit]]/Table1[[#This Row],[Sales]]</f>
        <v>0.57505932942536664</v>
      </c>
      <c r="K1104" s="5" t="str">
        <f t="shared" si="17"/>
        <v>Low</v>
      </c>
      <c r="L1104" s="5" t="str">
        <f>TEXT(Table1[[#This Row],[Order_Date]],"MMM")</f>
        <v>Mar</v>
      </c>
      <c r="M1104" s="5" t="str">
        <f>IF(Table1[[#This Row],[Profit]]&gt;=1000,"Excellent",IF(Table1[[#This Row],[Profit]]&gt;=500,"Good", IF(Table1[[#This Row],[Profit]]&lt;500,"Low")))</f>
        <v>Low</v>
      </c>
      <c r="N1104" s="7" t="str">
        <f>TEXT(Table1[[#This Row],[Order_Date]],"YYY")</f>
        <v>2025</v>
      </c>
    </row>
    <row r="1105" spans="1:14" x14ac:dyDescent="0.3">
      <c r="A1105" s="4">
        <v>45728</v>
      </c>
      <c r="B1105" s="5" t="s">
        <v>18</v>
      </c>
      <c r="C1105" s="5" t="s">
        <v>5</v>
      </c>
      <c r="D1105" s="23">
        <v>2329.64</v>
      </c>
      <c r="E1105" s="23">
        <v>728.84</v>
      </c>
      <c r="F1105" s="23">
        <v>1600.8</v>
      </c>
      <c r="G1105" s="5" t="s">
        <v>32</v>
      </c>
      <c r="H1105" s="5" t="s">
        <v>29</v>
      </c>
      <c r="I1105" s="5" t="s">
        <v>4</v>
      </c>
      <c r="J1105" s="6">
        <f>Table1[[#This Row],[Profit]]/Table1[[#This Row],[Sales]]</f>
        <v>0.68714479490393365</v>
      </c>
      <c r="K1105" s="5" t="str">
        <f t="shared" si="17"/>
        <v>High</v>
      </c>
      <c r="L1105" s="5" t="str">
        <f>TEXT(Table1[[#This Row],[Order_Date]],"MMM")</f>
        <v>Mar</v>
      </c>
      <c r="M1105" s="5" t="str">
        <f>IF(Table1[[#This Row],[Profit]]&gt;=1000,"Excellent",IF(Table1[[#This Row],[Profit]]&gt;=500,"Good", IF(Table1[[#This Row],[Profit]]&lt;500,"Low")))</f>
        <v>Excellent</v>
      </c>
      <c r="N1105" s="7" t="str">
        <f>TEXT(Table1[[#This Row],[Order_Date]],"YYY")</f>
        <v>2025</v>
      </c>
    </row>
    <row r="1106" spans="1:14" x14ac:dyDescent="0.3">
      <c r="A1106" s="4">
        <v>45728</v>
      </c>
      <c r="B1106" s="5" t="s">
        <v>13</v>
      </c>
      <c r="C1106" s="5" t="s">
        <v>19</v>
      </c>
      <c r="D1106" s="23">
        <v>129.47999999999999</v>
      </c>
      <c r="E1106" s="23">
        <v>56.85</v>
      </c>
      <c r="F1106" s="23">
        <v>72.63</v>
      </c>
      <c r="G1106" s="5" t="s">
        <v>32</v>
      </c>
      <c r="H1106" s="5" t="s">
        <v>33</v>
      </c>
      <c r="I1106" s="5" t="s">
        <v>22</v>
      </c>
      <c r="J1106" s="6">
        <f>Table1[[#This Row],[Profit]]/Table1[[#This Row],[Sales]]</f>
        <v>0.56093605189990736</v>
      </c>
      <c r="K1106" s="5" t="str">
        <f t="shared" si="17"/>
        <v>Low</v>
      </c>
      <c r="L1106" s="5" t="str">
        <f>TEXT(Table1[[#This Row],[Order_Date]],"MMM")</f>
        <v>Mar</v>
      </c>
      <c r="M1106" s="5" t="str">
        <f>IF(Table1[[#This Row],[Profit]]&gt;=1000,"Excellent",IF(Table1[[#This Row],[Profit]]&gt;=500,"Good", IF(Table1[[#This Row],[Profit]]&lt;500,"Low")))</f>
        <v>Low</v>
      </c>
      <c r="N1106" s="7" t="str">
        <f>TEXT(Table1[[#This Row],[Order_Date]],"YYY")</f>
        <v>2025</v>
      </c>
    </row>
    <row r="1107" spans="1:14" x14ac:dyDescent="0.3">
      <c r="A1107" s="4">
        <v>45728</v>
      </c>
      <c r="B1107" s="5" t="s">
        <v>18</v>
      </c>
      <c r="C1107" s="5" t="s">
        <v>26</v>
      </c>
      <c r="D1107" s="23">
        <v>836.5</v>
      </c>
      <c r="E1107" s="23">
        <v>227.08</v>
      </c>
      <c r="F1107" s="23">
        <v>609.41999999999996</v>
      </c>
      <c r="G1107" s="5" t="s">
        <v>2</v>
      </c>
      <c r="H1107" s="5" t="s">
        <v>37</v>
      </c>
      <c r="I1107" s="5" t="s">
        <v>17</v>
      </c>
      <c r="J1107" s="6">
        <f>Table1[[#This Row],[Profit]]/Table1[[#This Row],[Sales]]</f>
        <v>0.72853556485355642</v>
      </c>
      <c r="K1107" s="5" t="str">
        <f t="shared" si="17"/>
        <v>Low</v>
      </c>
      <c r="L1107" s="5" t="str">
        <f>TEXT(Table1[[#This Row],[Order_Date]],"MMM")</f>
        <v>Mar</v>
      </c>
      <c r="M1107" s="5" t="str">
        <f>IF(Table1[[#This Row],[Profit]]&gt;=1000,"Excellent",IF(Table1[[#This Row],[Profit]]&gt;=500,"Good", IF(Table1[[#This Row],[Profit]]&lt;500,"Low")))</f>
        <v>Good</v>
      </c>
      <c r="N1107" s="7" t="str">
        <f>TEXT(Table1[[#This Row],[Order_Date]],"YYY")</f>
        <v>2025</v>
      </c>
    </row>
    <row r="1108" spans="1:14" x14ac:dyDescent="0.3">
      <c r="A1108" s="4">
        <v>45728</v>
      </c>
      <c r="B1108" s="5" t="s">
        <v>18</v>
      </c>
      <c r="C1108" s="5" t="s">
        <v>14</v>
      </c>
      <c r="D1108" s="23">
        <v>141.09</v>
      </c>
      <c r="E1108" s="23">
        <v>48.32</v>
      </c>
      <c r="F1108" s="23">
        <v>92.77</v>
      </c>
      <c r="G1108" s="5" t="s">
        <v>32</v>
      </c>
      <c r="H1108" s="5" t="s">
        <v>7</v>
      </c>
      <c r="I1108" s="5" t="s">
        <v>22</v>
      </c>
      <c r="J1108" s="6">
        <f>Table1[[#This Row],[Profit]]/Table1[[#This Row],[Sales]]</f>
        <v>0.65752356651782551</v>
      </c>
      <c r="K1108" s="5" t="str">
        <f t="shared" si="17"/>
        <v>Low</v>
      </c>
      <c r="L1108" s="5" t="str">
        <f>TEXT(Table1[[#This Row],[Order_Date]],"MMM")</f>
        <v>Mar</v>
      </c>
      <c r="M1108" s="5" t="str">
        <f>IF(Table1[[#This Row],[Profit]]&gt;=1000,"Excellent",IF(Table1[[#This Row],[Profit]]&gt;=500,"Good", IF(Table1[[#This Row],[Profit]]&lt;500,"Low")))</f>
        <v>Low</v>
      </c>
      <c r="N1108" s="7" t="str">
        <f>TEXT(Table1[[#This Row],[Order_Date]],"YYY")</f>
        <v>2025</v>
      </c>
    </row>
    <row r="1109" spans="1:14" x14ac:dyDescent="0.3">
      <c r="A1109" s="4">
        <v>45729</v>
      </c>
      <c r="B1109" s="5" t="s">
        <v>13</v>
      </c>
      <c r="C1109" s="5" t="s">
        <v>26</v>
      </c>
      <c r="D1109" s="23">
        <v>734.55</v>
      </c>
      <c r="E1109" s="23">
        <v>243.63</v>
      </c>
      <c r="F1109" s="23">
        <v>490.92</v>
      </c>
      <c r="G1109" s="5" t="s">
        <v>9</v>
      </c>
      <c r="H1109" s="5" t="s">
        <v>7</v>
      </c>
      <c r="I1109" s="5" t="s">
        <v>11</v>
      </c>
      <c r="J1109" s="6">
        <f>Table1[[#This Row],[Profit]]/Table1[[#This Row],[Sales]]</f>
        <v>0.6683275474780479</v>
      </c>
      <c r="K1109" s="5" t="str">
        <f t="shared" si="17"/>
        <v>Low</v>
      </c>
      <c r="L1109" s="5" t="str">
        <f>TEXT(Table1[[#This Row],[Order_Date]],"MMM")</f>
        <v>Mar</v>
      </c>
      <c r="M1109" s="5" t="str">
        <f>IF(Table1[[#This Row],[Profit]]&gt;=1000,"Excellent",IF(Table1[[#This Row],[Profit]]&gt;=500,"Good", IF(Table1[[#This Row],[Profit]]&lt;500,"Low")))</f>
        <v>Low</v>
      </c>
      <c r="N1109" s="7" t="str">
        <f>TEXT(Table1[[#This Row],[Order_Date]],"YYY")</f>
        <v>2025</v>
      </c>
    </row>
    <row r="1110" spans="1:14" x14ac:dyDescent="0.3">
      <c r="A1110" s="4">
        <v>45729</v>
      </c>
      <c r="B1110" s="5" t="s">
        <v>8</v>
      </c>
      <c r="C1110" s="5" t="s">
        <v>1</v>
      </c>
      <c r="D1110" s="23">
        <v>1222.0899999999999</v>
      </c>
      <c r="E1110" s="23">
        <v>738.89</v>
      </c>
      <c r="F1110" s="23">
        <v>483.2</v>
      </c>
      <c r="G1110" s="5" t="s">
        <v>32</v>
      </c>
      <c r="H1110" s="5" t="s">
        <v>10</v>
      </c>
      <c r="I1110" s="5" t="s">
        <v>27</v>
      </c>
      <c r="J1110" s="6">
        <f>Table1[[#This Row],[Profit]]/Table1[[#This Row],[Sales]]</f>
        <v>0.39538822836288656</v>
      </c>
      <c r="K1110" s="5" t="str">
        <f t="shared" si="17"/>
        <v>Low</v>
      </c>
      <c r="L1110" s="5" t="str">
        <f>TEXT(Table1[[#This Row],[Order_Date]],"MMM")</f>
        <v>Mar</v>
      </c>
      <c r="M1110" s="5" t="str">
        <f>IF(Table1[[#This Row],[Profit]]&gt;=1000,"Excellent",IF(Table1[[#This Row],[Profit]]&gt;=500,"Good", IF(Table1[[#This Row],[Profit]]&lt;500,"Low")))</f>
        <v>Low</v>
      </c>
      <c r="N1110" s="7" t="str">
        <f>TEXT(Table1[[#This Row],[Order_Date]],"YYY")</f>
        <v>2025</v>
      </c>
    </row>
    <row r="1111" spans="1:14" x14ac:dyDescent="0.3">
      <c r="A1111" s="4">
        <v>45729</v>
      </c>
      <c r="B1111" s="5" t="s">
        <v>8</v>
      </c>
      <c r="C1111" s="5" t="s">
        <v>14</v>
      </c>
      <c r="D1111" s="23">
        <v>285.39999999999998</v>
      </c>
      <c r="E1111" s="23">
        <v>97.71</v>
      </c>
      <c r="F1111" s="23">
        <v>187.69</v>
      </c>
      <c r="G1111" s="5" t="s">
        <v>20</v>
      </c>
      <c r="H1111" s="5" t="s">
        <v>12</v>
      </c>
      <c r="I1111" s="5" t="s">
        <v>17</v>
      </c>
      <c r="J1111" s="6">
        <f>Table1[[#This Row],[Profit]]/Table1[[#This Row],[Sales]]</f>
        <v>0.65763840224246672</v>
      </c>
      <c r="K1111" s="5" t="str">
        <f t="shared" si="17"/>
        <v>Low</v>
      </c>
      <c r="L1111" s="5" t="str">
        <f>TEXT(Table1[[#This Row],[Order_Date]],"MMM")</f>
        <v>Mar</v>
      </c>
      <c r="M1111" s="5" t="str">
        <f>IF(Table1[[#This Row],[Profit]]&gt;=1000,"Excellent",IF(Table1[[#This Row],[Profit]]&gt;=500,"Good", IF(Table1[[#This Row],[Profit]]&lt;500,"Low")))</f>
        <v>Low</v>
      </c>
      <c r="N1111" s="7" t="str">
        <f>TEXT(Table1[[#This Row],[Order_Date]],"YYY")</f>
        <v>2025</v>
      </c>
    </row>
    <row r="1112" spans="1:14" x14ac:dyDescent="0.3">
      <c r="A1112" s="4">
        <v>45729</v>
      </c>
      <c r="B1112" s="5" t="s">
        <v>0</v>
      </c>
      <c r="C1112" s="5" t="s">
        <v>1</v>
      </c>
      <c r="D1112" s="23">
        <v>172.45</v>
      </c>
      <c r="E1112" s="23">
        <v>92.97</v>
      </c>
      <c r="F1112" s="23">
        <v>79.48</v>
      </c>
      <c r="G1112" s="5" t="s">
        <v>2</v>
      </c>
      <c r="H1112" s="5" t="s">
        <v>10</v>
      </c>
      <c r="I1112" s="5" t="s">
        <v>17</v>
      </c>
      <c r="J1112" s="6">
        <f>Table1[[#This Row],[Profit]]/Table1[[#This Row],[Sales]]</f>
        <v>0.4608872136851262</v>
      </c>
      <c r="K1112" s="5" t="str">
        <f t="shared" si="17"/>
        <v>Low</v>
      </c>
      <c r="L1112" s="5" t="str">
        <f>TEXT(Table1[[#This Row],[Order_Date]],"MMM")</f>
        <v>Mar</v>
      </c>
      <c r="M1112" s="5" t="str">
        <f>IF(Table1[[#This Row],[Profit]]&gt;=1000,"Excellent",IF(Table1[[#This Row],[Profit]]&gt;=500,"Good", IF(Table1[[#This Row],[Profit]]&lt;500,"Low")))</f>
        <v>Low</v>
      </c>
      <c r="N1112" s="7" t="str">
        <f>TEXT(Table1[[#This Row],[Order_Date]],"YYY")</f>
        <v>2025</v>
      </c>
    </row>
    <row r="1113" spans="1:14" x14ac:dyDescent="0.3">
      <c r="A1113" s="4">
        <v>45730</v>
      </c>
      <c r="B1113" s="5" t="s">
        <v>18</v>
      </c>
      <c r="C1113" s="5" t="s">
        <v>23</v>
      </c>
      <c r="D1113" s="23">
        <v>528.23</v>
      </c>
      <c r="E1113" s="23">
        <v>222.5</v>
      </c>
      <c r="F1113" s="23">
        <v>305.73</v>
      </c>
      <c r="G1113" s="5" t="s">
        <v>6</v>
      </c>
      <c r="H1113" s="5" t="s">
        <v>28</v>
      </c>
      <c r="I1113" s="5" t="s">
        <v>22</v>
      </c>
      <c r="J1113" s="6">
        <f>Table1[[#This Row],[Profit]]/Table1[[#This Row],[Sales]]</f>
        <v>0.57878196997520026</v>
      </c>
      <c r="K1113" s="5" t="str">
        <f t="shared" si="17"/>
        <v>Low</v>
      </c>
      <c r="L1113" s="5" t="str">
        <f>TEXT(Table1[[#This Row],[Order_Date]],"MMM")</f>
        <v>Mar</v>
      </c>
      <c r="M1113" s="5" t="str">
        <f>IF(Table1[[#This Row],[Profit]]&gt;=1000,"Excellent",IF(Table1[[#This Row],[Profit]]&gt;=500,"Good", IF(Table1[[#This Row],[Profit]]&lt;500,"Low")))</f>
        <v>Low</v>
      </c>
      <c r="N1113" s="7" t="str">
        <f>TEXT(Table1[[#This Row],[Order_Date]],"YYY")</f>
        <v>2025</v>
      </c>
    </row>
    <row r="1114" spans="1:14" x14ac:dyDescent="0.3">
      <c r="A1114" s="4">
        <v>45730</v>
      </c>
      <c r="B1114" s="5" t="s">
        <v>13</v>
      </c>
      <c r="C1114" s="5" t="s">
        <v>1</v>
      </c>
      <c r="D1114" s="23">
        <v>1462.24</v>
      </c>
      <c r="E1114" s="23">
        <v>779.24</v>
      </c>
      <c r="F1114" s="23">
        <v>683</v>
      </c>
      <c r="G1114" s="5" t="s">
        <v>20</v>
      </c>
      <c r="H1114" s="5" t="s">
        <v>28</v>
      </c>
      <c r="I1114" s="5" t="s">
        <v>4</v>
      </c>
      <c r="J1114" s="6">
        <f>Table1[[#This Row],[Profit]]/Table1[[#This Row],[Sales]]</f>
        <v>0.46709158551263813</v>
      </c>
      <c r="K1114" s="5" t="str">
        <f t="shared" si="17"/>
        <v>Low</v>
      </c>
      <c r="L1114" s="5" t="str">
        <f>TEXT(Table1[[#This Row],[Order_Date]],"MMM")</f>
        <v>Mar</v>
      </c>
      <c r="M1114" s="5" t="str">
        <f>IF(Table1[[#This Row],[Profit]]&gt;=1000,"Excellent",IF(Table1[[#This Row],[Profit]]&gt;=500,"Good", IF(Table1[[#This Row],[Profit]]&lt;500,"Low")))</f>
        <v>Good</v>
      </c>
      <c r="N1114" s="7" t="str">
        <f>TEXT(Table1[[#This Row],[Order_Date]],"YYY")</f>
        <v>2025</v>
      </c>
    </row>
    <row r="1115" spans="1:14" x14ac:dyDescent="0.3">
      <c r="A1115" s="4">
        <v>45731</v>
      </c>
      <c r="B1115" s="5" t="s">
        <v>16</v>
      </c>
      <c r="C1115" s="5" t="s">
        <v>26</v>
      </c>
      <c r="D1115" s="23">
        <v>445.59</v>
      </c>
      <c r="E1115" s="23">
        <v>117.93</v>
      </c>
      <c r="F1115" s="23">
        <v>327.66000000000003</v>
      </c>
      <c r="G1115" s="5" t="s">
        <v>2</v>
      </c>
      <c r="H1115" s="5" t="s">
        <v>21</v>
      </c>
      <c r="I1115" s="5" t="s">
        <v>11</v>
      </c>
      <c r="J1115" s="6">
        <f>Table1[[#This Row],[Profit]]/Table1[[#This Row],[Sales]]</f>
        <v>0.73533966202114065</v>
      </c>
      <c r="K1115" s="5" t="str">
        <f t="shared" si="17"/>
        <v>Low</v>
      </c>
      <c r="L1115" s="5" t="str">
        <f>TEXT(Table1[[#This Row],[Order_Date]],"MMM")</f>
        <v>Mar</v>
      </c>
      <c r="M1115" s="5" t="str">
        <f>IF(Table1[[#This Row],[Profit]]&gt;=1000,"Excellent",IF(Table1[[#This Row],[Profit]]&gt;=500,"Good", IF(Table1[[#This Row],[Profit]]&lt;500,"Low")))</f>
        <v>Low</v>
      </c>
      <c r="N1115" s="7" t="str">
        <f>TEXT(Table1[[#This Row],[Order_Date]],"YYY")</f>
        <v>2025</v>
      </c>
    </row>
    <row r="1116" spans="1:14" x14ac:dyDescent="0.3">
      <c r="A1116" s="4">
        <v>45731</v>
      </c>
      <c r="B1116" s="5" t="s">
        <v>8</v>
      </c>
      <c r="C1116" s="5" t="s">
        <v>23</v>
      </c>
      <c r="D1116" s="23">
        <v>113.96</v>
      </c>
      <c r="E1116" s="23">
        <v>53.88</v>
      </c>
      <c r="F1116" s="23">
        <v>60.08</v>
      </c>
      <c r="G1116" s="5" t="s">
        <v>20</v>
      </c>
      <c r="H1116" s="5" t="s">
        <v>34</v>
      </c>
      <c r="I1116" s="5" t="s">
        <v>4</v>
      </c>
      <c r="J1116" s="6">
        <f>Table1[[#This Row],[Profit]]/Table1[[#This Row],[Sales]]</f>
        <v>0.52720252720252725</v>
      </c>
      <c r="K1116" s="5" t="str">
        <f t="shared" si="17"/>
        <v>Low</v>
      </c>
      <c r="L1116" s="5" t="str">
        <f>TEXT(Table1[[#This Row],[Order_Date]],"MMM")</f>
        <v>Mar</v>
      </c>
      <c r="M1116" s="5" t="str">
        <f>IF(Table1[[#This Row],[Profit]]&gt;=1000,"Excellent",IF(Table1[[#This Row],[Profit]]&gt;=500,"Good", IF(Table1[[#This Row],[Profit]]&lt;500,"Low")))</f>
        <v>Low</v>
      </c>
      <c r="N1116" s="7" t="str">
        <f>TEXT(Table1[[#This Row],[Order_Date]],"YYY")</f>
        <v>2025</v>
      </c>
    </row>
    <row r="1117" spans="1:14" x14ac:dyDescent="0.3">
      <c r="A1117" s="4">
        <v>45731</v>
      </c>
      <c r="B1117" s="5" t="s">
        <v>18</v>
      </c>
      <c r="C1117" s="5" t="s">
        <v>23</v>
      </c>
      <c r="D1117" s="23">
        <v>205.74</v>
      </c>
      <c r="E1117" s="23">
        <v>70.25</v>
      </c>
      <c r="F1117" s="23">
        <v>135.49</v>
      </c>
      <c r="G1117" s="5" t="s">
        <v>32</v>
      </c>
      <c r="H1117" s="5" t="s">
        <v>37</v>
      </c>
      <c r="I1117" s="5" t="s">
        <v>22</v>
      </c>
      <c r="J1117" s="6">
        <f>Table1[[#This Row],[Profit]]/Table1[[#This Row],[Sales]]</f>
        <v>0.65854962574122677</v>
      </c>
      <c r="K1117" s="5" t="str">
        <f t="shared" si="17"/>
        <v>Low</v>
      </c>
      <c r="L1117" s="5" t="str">
        <f>TEXT(Table1[[#This Row],[Order_Date]],"MMM")</f>
        <v>Mar</v>
      </c>
      <c r="M1117" s="5" t="str">
        <f>IF(Table1[[#This Row],[Profit]]&gt;=1000,"Excellent",IF(Table1[[#This Row],[Profit]]&gt;=500,"Good", IF(Table1[[#This Row],[Profit]]&lt;500,"Low")))</f>
        <v>Low</v>
      </c>
      <c r="N1117" s="7" t="str">
        <f>TEXT(Table1[[#This Row],[Order_Date]],"YYY")</f>
        <v>2025</v>
      </c>
    </row>
    <row r="1118" spans="1:14" x14ac:dyDescent="0.3">
      <c r="A1118" s="4">
        <v>45731</v>
      </c>
      <c r="B1118" s="5" t="s">
        <v>13</v>
      </c>
      <c r="C1118" s="5" t="s">
        <v>26</v>
      </c>
      <c r="D1118" s="23">
        <v>343.82</v>
      </c>
      <c r="E1118" s="23">
        <v>95.74</v>
      </c>
      <c r="F1118" s="23">
        <v>248.08</v>
      </c>
      <c r="G1118" s="5" t="s">
        <v>2</v>
      </c>
      <c r="H1118" s="5" t="s">
        <v>30</v>
      </c>
      <c r="I1118" s="5" t="s">
        <v>11</v>
      </c>
      <c r="J1118" s="6">
        <f>Table1[[#This Row],[Profit]]/Table1[[#This Row],[Sales]]</f>
        <v>0.7215403408760398</v>
      </c>
      <c r="K1118" s="5" t="str">
        <f t="shared" si="17"/>
        <v>Low</v>
      </c>
      <c r="L1118" s="5" t="str">
        <f>TEXT(Table1[[#This Row],[Order_Date]],"MMM")</f>
        <v>Mar</v>
      </c>
      <c r="M1118" s="5" t="str">
        <f>IF(Table1[[#This Row],[Profit]]&gt;=1000,"Excellent",IF(Table1[[#This Row],[Profit]]&gt;=500,"Good", IF(Table1[[#This Row],[Profit]]&lt;500,"Low")))</f>
        <v>Low</v>
      </c>
      <c r="N1118" s="7" t="str">
        <f>TEXT(Table1[[#This Row],[Order_Date]],"YYY")</f>
        <v>2025</v>
      </c>
    </row>
    <row r="1119" spans="1:14" x14ac:dyDescent="0.3">
      <c r="A1119" s="4">
        <v>45732</v>
      </c>
      <c r="B1119" s="5" t="s">
        <v>0</v>
      </c>
      <c r="C1119" s="5" t="s">
        <v>23</v>
      </c>
      <c r="D1119" s="23">
        <v>841.47</v>
      </c>
      <c r="E1119" s="23">
        <v>370.01</v>
      </c>
      <c r="F1119" s="23">
        <v>471.46</v>
      </c>
      <c r="G1119" s="5" t="s">
        <v>6</v>
      </c>
      <c r="H1119" s="5" t="s">
        <v>12</v>
      </c>
      <c r="I1119" s="5" t="s">
        <v>25</v>
      </c>
      <c r="J1119" s="6">
        <f>Table1[[#This Row],[Profit]]/Table1[[#This Row],[Sales]]</f>
        <v>0.56028141229039652</v>
      </c>
      <c r="K1119" s="5" t="str">
        <f t="shared" si="17"/>
        <v>Low</v>
      </c>
      <c r="L1119" s="5" t="str">
        <f>TEXT(Table1[[#This Row],[Order_Date]],"MMM")</f>
        <v>Mar</v>
      </c>
      <c r="M1119" s="5" t="str">
        <f>IF(Table1[[#This Row],[Profit]]&gt;=1000,"Excellent",IF(Table1[[#This Row],[Profit]]&gt;=500,"Good", IF(Table1[[#This Row],[Profit]]&lt;500,"Low")))</f>
        <v>Low</v>
      </c>
      <c r="N1119" s="7" t="str">
        <f>TEXT(Table1[[#This Row],[Order_Date]],"YYY")</f>
        <v>2025</v>
      </c>
    </row>
    <row r="1120" spans="1:14" x14ac:dyDescent="0.3">
      <c r="A1120" s="4">
        <v>45732</v>
      </c>
      <c r="B1120" s="5" t="s">
        <v>16</v>
      </c>
      <c r="C1120" s="5" t="s">
        <v>19</v>
      </c>
      <c r="D1120" s="23">
        <v>100.48</v>
      </c>
      <c r="E1120" s="23">
        <v>36.369999999999997</v>
      </c>
      <c r="F1120" s="23">
        <v>64.11</v>
      </c>
      <c r="G1120" s="5" t="s">
        <v>6</v>
      </c>
      <c r="H1120" s="5" t="s">
        <v>33</v>
      </c>
      <c r="I1120" s="5" t="s">
        <v>17</v>
      </c>
      <c r="J1120" s="6">
        <f>Table1[[#This Row],[Profit]]/Table1[[#This Row],[Sales]]</f>
        <v>0.6380374203821656</v>
      </c>
      <c r="K1120" s="5" t="str">
        <f t="shared" si="17"/>
        <v>Low</v>
      </c>
      <c r="L1120" s="5" t="str">
        <f>TEXT(Table1[[#This Row],[Order_Date]],"MMM")</f>
        <v>Mar</v>
      </c>
      <c r="M1120" s="5" t="str">
        <f>IF(Table1[[#This Row],[Profit]]&gt;=1000,"Excellent",IF(Table1[[#This Row],[Profit]]&gt;=500,"Good", IF(Table1[[#This Row],[Profit]]&lt;500,"Low")))</f>
        <v>Low</v>
      </c>
      <c r="N1120" s="7" t="str">
        <f>TEXT(Table1[[#This Row],[Order_Date]],"YYY")</f>
        <v>2025</v>
      </c>
    </row>
    <row r="1121" spans="1:14" x14ac:dyDescent="0.3">
      <c r="A1121" s="4">
        <v>45733</v>
      </c>
      <c r="B1121" s="5" t="s">
        <v>0</v>
      </c>
      <c r="C1121" s="5" t="s">
        <v>19</v>
      </c>
      <c r="D1121" s="23">
        <v>45</v>
      </c>
      <c r="E1121" s="23">
        <v>19.61</v>
      </c>
      <c r="F1121" s="23">
        <v>25.39</v>
      </c>
      <c r="G1121" s="5" t="s">
        <v>6</v>
      </c>
      <c r="H1121" s="5" t="s">
        <v>10</v>
      </c>
      <c r="I1121" s="5" t="s">
        <v>17</v>
      </c>
      <c r="J1121" s="6">
        <f>Table1[[#This Row],[Profit]]/Table1[[#This Row],[Sales]]</f>
        <v>0.56422222222222218</v>
      </c>
      <c r="K1121" s="5" t="str">
        <f t="shared" si="17"/>
        <v>Low</v>
      </c>
      <c r="L1121" s="5" t="str">
        <f>TEXT(Table1[[#This Row],[Order_Date]],"MMM")</f>
        <v>Mar</v>
      </c>
      <c r="M1121" s="5" t="str">
        <f>IF(Table1[[#This Row],[Profit]]&gt;=1000,"Excellent",IF(Table1[[#This Row],[Profit]]&gt;=500,"Good", IF(Table1[[#This Row],[Profit]]&lt;500,"Low")))</f>
        <v>Low</v>
      </c>
      <c r="N1121" s="7" t="str">
        <f>TEXT(Table1[[#This Row],[Order_Date]],"YYY")</f>
        <v>2025</v>
      </c>
    </row>
    <row r="1122" spans="1:14" x14ac:dyDescent="0.3">
      <c r="A1122" s="4">
        <v>45734</v>
      </c>
      <c r="B1122" s="5" t="s">
        <v>13</v>
      </c>
      <c r="C1122" s="5" t="s">
        <v>5</v>
      </c>
      <c r="D1122" s="23">
        <v>2122.83</v>
      </c>
      <c r="E1122" s="23">
        <v>697.04</v>
      </c>
      <c r="F1122" s="23">
        <v>1425.79</v>
      </c>
      <c r="G1122" s="5" t="s">
        <v>32</v>
      </c>
      <c r="H1122" s="5" t="s">
        <v>35</v>
      </c>
      <c r="I1122" s="5" t="s">
        <v>22</v>
      </c>
      <c r="J1122" s="6">
        <f>Table1[[#This Row],[Profit]]/Table1[[#This Row],[Sales]]</f>
        <v>0.67164586895794764</v>
      </c>
      <c r="K1122" s="5" t="str">
        <f t="shared" si="17"/>
        <v>High</v>
      </c>
      <c r="L1122" s="5" t="str">
        <f>TEXT(Table1[[#This Row],[Order_Date]],"MMM")</f>
        <v>Mar</v>
      </c>
      <c r="M1122" s="5" t="str">
        <f>IF(Table1[[#This Row],[Profit]]&gt;=1000,"Excellent",IF(Table1[[#This Row],[Profit]]&gt;=500,"Good", IF(Table1[[#This Row],[Profit]]&lt;500,"Low")))</f>
        <v>Excellent</v>
      </c>
      <c r="N1122" s="7" t="str">
        <f>TEXT(Table1[[#This Row],[Order_Date]],"YYY")</f>
        <v>2025</v>
      </c>
    </row>
    <row r="1123" spans="1:14" x14ac:dyDescent="0.3">
      <c r="A1123" s="4">
        <v>45734</v>
      </c>
      <c r="B1123" s="5" t="s">
        <v>0</v>
      </c>
      <c r="C1123" s="5" t="s">
        <v>14</v>
      </c>
      <c r="D1123" s="23">
        <v>183.66</v>
      </c>
      <c r="E1123" s="23">
        <v>86.67</v>
      </c>
      <c r="F1123" s="23">
        <v>96.99</v>
      </c>
      <c r="G1123" s="5" t="s">
        <v>2</v>
      </c>
      <c r="H1123" s="5" t="s">
        <v>29</v>
      </c>
      <c r="I1123" s="5" t="s">
        <v>25</v>
      </c>
      <c r="J1123" s="6">
        <f>Table1[[#This Row],[Profit]]/Table1[[#This Row],[Sales]]</f>
        <v>0.52809539366220193</v>
      </c>
      <c r="K1123" s="5" t="str">
        <f t="shared" si="17"/>
        <v>Low</v>
      </c>
      <c r="L1123" s="5" t="str">
        <f>TEXT(Table1[[#This Row],[Order_Date]],"MMM")</f>
        <v>Mar</v>
      </c>
      <c r="M1123" s="5" t="str">
        <f>IF(Table1[[#This Row],[Profit]]&gt;=1000,"Excellent",IF(Table1[[#This Row],[Profit]]&gt;=500,"Good", IF(Table1[[#This Row],[Profit]]&lt;500,"Low")))</f>
        <v>Low</v>
      </c>
      <c r="N1123" s="7" t="str">
        <f>TEXT(Table1[[#This Row],[Order_Date]],"YYY")</f>
        <v>2025</v>
      </c>
    </row>
    <row r="1124" spans="1:14" x14ac:dyDescent="0.3">
      <c r="A1124" s="4">
        <v>45734</v>
      </c>
      <c r="B1124" s="5" t="s">
        <v>16</v>
      </c>
      <c r="C1124" s="5" t="s">
        <v>23</v>
      </c>
      <c r="D1124" s="23">
        <v>877.31</v>
      </c>
      <c r="E1124" s="23">
        <v>369.03</v>
      </c>
      <c r="F1124" s="23">
        <v>508.28</v>
      </c>
      <c r="G1124" s="5" t="s">
        <v>2</v>
      </c>
      <c r="H1124" s="5" t="s">
        <v>36</v>
      </c>
      <c r="I1124" s="5" t="s">
        <v>27</v>
      </c>
      <c r="J1124" s="6">
        <f>Table1[[#This Row],[Profit]]/Table1[[#This Row],[Sales]]</f>
        <v>0.57936191312078966</v>
      </c>
      <c r="K1124" s="5" t="str">
        <f t="shared" si="17"/>
        <v>Low</v>
      </c>
      <c r="L1124" s="5" t="str">
        <f>TEXT(Table1[[#This Row],[Order_Date]],"MMM")</f>
        <v>Mar</v>
      </c>
      <c r="M1124" s="5" t="str">
        <f>IF(Table1[[#This Row],[Profit]]&gt;=1000,"Excellent",IF(Table1[[#This Row],[Profit]]&gt;=500,"Good", IF(Table1[[#This Row],[Profit]]&lt;500,"Low")))</f>
        <v>Good</v>
      </c>
      <c r="N1124" s="7" t="str">
        <f>TEXT(Table1[[#This Row],[Order_Date]],"YYY")</f>
        <v>2025</v>
      </c>
    </row>
    <row r="1125" spans="1:14" x14ac:dyDescent="0.3">
      <c r="A1125" s="4">
        <v>45734</v>
      </c>
      <c r="B1125" s="5" t="s">
        <v>16</v>
      </c>
      <c r="C1125" s="5" t="s">
        <v>19</v>
      </c>
      <c r="D1125" s="23">
        <v>83.18</v>
      </c>
      <c r="E1125" s="23">
        <v>22.25</v>
      </c>
      <c r="F1125" s="23">
        <v>60.93</v>
      </c>
      <c r="G1125" s="5" t="s">
        <v>32</v>
      </c>
      <c r="H1125" s="5" t="s">
        <v>15</v>
      </c>
      <c r="I1125" s="5" t="s">
        <v>4</v>
      </c>
      <c r="J1125" s="6">
        <f>Table1[[#This Row],[Profit]]/Table1[[#This Row],[Sales]]</f>
        <v>0.73250781437845625</v>
      </c>
      <c r="K1125" s="5" t="str">
        <f t="shared" si="17"/>
        <v>Low</v>
      </c>
      <c r="L1125" s="5" t="str">
        <f>TEXT(Table1[[#This Row],[Order_Date]],"MMM")</f>
        <v>Mar</v>
      </c>
      <c r="M1125" s="5" t="str">
        <f>IF(Table1[[#This Row],[Profit]]&gt;=1000,"Excellent",IF(Table1[[#This Row],[Profit]]&gt;=500,"Good", IF(Table1[[#This Row],[Profit]]&lt;500,"Low")))</f>
        <v>Low</v>
      </c>
      <c r="N1125" s="7" t="str">
        <f>TEXT(Table1[[#This Row],[Order_Date]],"YYY")</f>
        <v>2025</v>
      </c>
    </row>
    <row r="1126" spans="1:14" x14ac:dyDescent="0.3">
      <c r="A1126" s="4">
        <v>45735</v>
      </c>
      <c r="B1126" s="5" t="s">
        <v>13</v>
      </c>
      <c r="C1126" s="5" t="s">
        <v>14</v>
      </c>
      <c r="D1126" s="23">
        <v>30.63</v>
      </c>
      <c r="E1126" s="23">
        <v>15.75</v>
      </c>
      <c r="F1126" s="23">
        <v>14.88</v>
      </c>
      <c r="G1126" s="5" t="s">
        <v>20</v>
      </c>
      <c r="H1126" s="5" t="s">
        <v>21</v>
      </c>
      <c r="I1126" s="5" t="s">
        <v>25</v>
      </c>
      <c r="J1126" s="6">
        <f>Table1[[#This Row],[Profit]]/Table1[[#This Row],[Sales]]</f>
        <v>0.485798237022527</v>
      </c>
      <c r="K1126" s="5" t="str">
        <f t="shared" si="17"/>
        <v>Low</v>
      </c>
      <c r="L1126" s="5" t="str">
        <f>TEXT(Table1[[#This Row],[Order_Date]],"MMM")</f>
        <v>Mar</v>
      </c>
      <c r="M1126" s="5" t="str">
        <f>IF(Table1[[#This Row],[Profit]]&gt;=1000,"Excellent",IF(Table1[[#This Row],[Profit]]&gt;=500,"Good", IF(Table1[[#This Row],[Profit]]&lt;500,"Low")))</f>
        <v>Low</v>
      </c>
      <c r="N1126" s="7" t="str">
        <f>TEXT(Table1[[#This Row],[Order_Date]],"YYY")</f>
        <v>2025</v>
      </c>
    </row>
    <row r="1127" spans="1:14" x14ac:dyDescent="0.3">
      <c r="A1127" s="4">
        <v>45736</v>
      </c>
      <c r="B1127" s="5" t="s">
        <v>8</v>
      </c>
      <c r="C1127" s="5" t="s">
        <v>31</v>
      </c>
      <c r="D1127" s="23">
        <v>44.35</v>
      </c>
      <c r="E1127" s="23">
        <v>10.96</v>
      </c>
      <c r="F1127" s="23">
        <v>33.39</v>
      </c>
      <c r="G1127" s="5" t="s">
        <v>20</v>
      </c>
      <c r="H1127" s="5" t="s">
        <v>3</v>
      </c>
      <c r="I1127" s="5" t="s">
        <v>4</v>
      </c>
      <c r="J1127" s="6">
        <f>Table1[[#This Row],[Profit]]/Table1[[#This Row],[Sales]]</f>
        <v>0.75287485907553553</v>
      </c>
      <c r="K1127" s="5" t="str">
        <f t="shared" si="17"/>
        <v>Low</v>
      </c>
      <c r="L1127" s="5" t="str">
        <f>TEXT(Table1[[#This Row],[Order_Date]],"MMM")</f>
        <v>Mar</v>
      </c>
      <c r="M1127" s="5" t="str">
        <f>IF(Table1[[#This Row],[Profit]]&gt;=1000,"Excellent",IF(Table1[[#This Row],[Profit]]&gt;=500,"Good", IF(Table1[[#This Row],[Profit]]&lt;500,"Low")))</f>
        <v>Low</v>
      </c>
      <c r="N1127" s="7" t="str">
        <f>TEXT(Table1[[#This Row],[Order_Date]],"YYY")</f>
        <v>2025</v>
      </c>
    </row>
    <row r="1128" spans="1:14" x14ac:dyDescent="0.3">
      <c r="A1128" s="4">
        <v>45736</v>
      </c>
      <c r="B1128" s="5" t="s">
        <v>16</v>
      </c>
      <c r="C1128" s="5" t="s">
        <v>5</v>
      </c>
      <c r="D1128" s="23">
        <v>247.4</v>
      </c>
      <c r="E1128" s="23">
        <v>100.29</v>
      </c>
      <c r="F1128" s="23">
        <v>147.11000000000001</v>
      </c>
      <c r="G1128" s="5" t="s">
        <v>9</v>
      </c>
      <c r="H1128" s="5" t="s">
        <v>3</v>
      </c>
      <c r="I1128" s="5" t="s">
        <v>25</v>
      </c>
      <c r="J1128" s="6">
        <f>Table1[[#This Row],[Profit]]/Table1[[#This Row],[Sales]]</f>
        <v>0.59462409054163301</v>
      </c>
      <c r="K1128" s="5" t="str">
        <f t="shared" si="17"/>
        <v>Low</v>
      </c>
      <c r="L1128" s="5" t="str">
        <f>TEXT(Table1[[#This Row],[Order_Date]],"MMM")</f>
        <v>Mar</v>
      </c>
      <c r="M1128" s="5" t="str">
        <f>IF(Table1[[#This Row],[Profit]]&gt;=1000,"Excellent",IF(Table1[[#This Row],[Profit]]&gt;=500,"Good", IF(Table1[[#This Row],[Profit]]&lt;500,"Low")))</f>
        <v>Low</v>
      </c>
      <c r="N1128" s="7" t="str">
        <f>TEXT(Table1[[#This Row],[Order_Date]],"YYY")</f>
        <v>2025</v>
      </c>
    </row>
    <row r="1129" spans="1:14" x14ac:dyDescent="0.3">
      <c r="A1129" s="4">
        <v>45736</v>
      </c>
      <c r="B1129" s="5" t="s">
        <v>18</v>
      </c>
      <c r="C1129" s="5" t="s">
        <v>19</v>
      </c>
      <c r="D1129" s="23">
        <v>112.28</v>
      </c>
      <c r="E1129" s="23">
        <v>44.73</v>
      </c>
      <c r="F1129" s="23">
        <v>67.55</v>
      </c>
      <c r="G1129" s="5" t="s">
        <v>32</v>
      </c>
      <c r="H1129" s="5" t="s">
        <v>37</v>
      </c>
      <c r="I1129" s="5" t="s">
        <v>27</v>
      </c>
      <c r="J1129" s="6">
        <f>Table1[[#This Row],[Profit]]/Table1[[#This Row],[Sales]]</f>
        <v>0.60162094763092266</v>
      </c>
      <c r="K1129" s="5" t="str">
        <f t="shared" si="17"/>
        <v>Low</v>
      </c>
      <c r="L1129" s="5" t="str">
        <f>TEXT(Table1[[#This Row],[Order_Date]],"MMM")</f>
        <v>Mar</v>
      </c>
      <c r="M1129" s="5" t="str">
        <f>IF(Table1[[#This Row],[Profit]]&gt;=1000,"Excellent",IF(Table1[[#This Row],[Profit]]&gt;=500,"Good", IF(Table1[[#This Row],[Profit]]&lt;500,"Low")))</f>
        <v>Low</v>
      </c>
      <c r="N1129" s="7" t="str">
        <f>TEXT(Table1[[#This Row],[Order_Date]],"YYY")</f>
        <v>2025</v>
      </c>
    </row>
    <row r="1130" spans="1:14" x14ac:dyDescent="0.3">
      <c r="A1130" s="4">
        <v>45736</v>
      </c>
      <c r="B1130" s="5" t="s">
        <v>18</v>
      </c>
      <c r="C1130" s="5" t="s">
        <v>1</v>
      </c>
      <c r="D1130" s="23">
        <v>287.36</v>
      </c>
      <c r="E1130" s="23">
        <v>191.27</v>
      </c>
      <c r="F1130" s="23">
        <v>96.09</v>
      </c>
      <c r="G1130" s="5" t="s">
        <v>2</v>
      </c>
      <c r="H1130" s="5" t="s">
        <v>12</v>
      </c>
      <c r="I1130" s="5" t="s">
        <v>22</v>
      </c>
      <c r="J1130" s="6">
        <f>Table1[[#This Row],[Profit]]/Table1[[#This Row],[Sales]]</f>
        <v>0.33438891982182628</v>
      </c>
      <c r="K1130" s="5" t="str">
        <f t="shared" si="17"/>
        <v>Low</v>
      </c>
      <c r="L1130" s="5" t="str">
        <f>TEXT(Table1[[#This Row],[Order_Date]],"MMM")</f>
        <v>Mar</v>
      </c>
      <c r="M1130" s="5" t="str">
        <f>IF(Table1[[#This Row],[Profit]]&gt;=1000,"Excellent",IF(Table1[[#This Row],[Profit]]&gt;=500,"Good", IF(Table1[[#This Row],[Profit]]&lt;500,"Low")))</f>
        <v>Low</v>
      </c>
      <c r="N1130" s="7" t="str">
        <f>TEXT(Table1[[#This Row],[Order_Date]],"YYY")</f>
        <v>2025</v>
      </c>
    </row>
    <row r="1131" spans="1:14" x14ac:dyDescent="0.3">
      <c r="A1131" s="4">
        <v>45737</v>
      </c>
      <c r="B1131" s="5" t="s">
        <v>18</v>
      </c>
      <c r="C1131" s="5" t="s">
        <v>26</v>
      </c>
      <c r="D1131" s="23">
        <v>252.05</v>
      </c>
      <c r="E1131" s="23">
        <v>68.7</v>
      </c>
      <c r="F1131" s="23">
        <v>183.35</v>
      </c>
      <c r="G1131" s="5" t="s">
        <v>9</v>
      </c>
      <c r="H1131" s="5" t="s">
        <v>21</v>
      </c>
      <c r="I1131" s="5" t="s">
        <v>17</v>
      </c>
      <c r="J1131" s="6">
        <f>Table1[[#This Row],[Profit]]/Table1[[#This Row],[Sales]]</f>
        <v>0.72743503273160082</v>
      </c>
      <c r="K1131" s="5" t="str">
        <f t="shared" si="17"/>
        <v>Low</v>
      </c>
      <c r="L1131" s="5" t="str">
        <f>TEXT(Table1[[#This Row],[Order_Date]],"MMM")</f>
        <v>Mar</v>
      </c>
      <c r="M1131" s="5" t="str">
        <f>IF(Table1[[#This Row],[Profit]]&gt;=1000,"Excellent",IF(Table1[[#This Row],[Profit]]&gt;=500,"Good", IF(Table1[[#This Row],[Profit]]&lt;500,"Low")))</f>
        <v>Low</v>
      </c>
      <c r="N1131" s="7" t="str">
        <f>TEXT(Table1[[#This Row],[Order_Date]],"YYY")</f>
        <v>2025</v>
      </c>
    </row>
    <row r="1132" spans="1:14" x14ac:dyDescent="0.3">
      <c r="A1132" s="4">
        <v>45737</v>
      </c>
      <c r="B1132" s="5" t="s">
        <v>16</v>
      </c>
      <c r="C1132" s="5" t="s">
        <v>26</v>
      </c>
      <c r="D1132" s="23">
        <v>375.77</v>
      </c>
      <c r="E1132" s="23">
        <v>104.72</v>
      </c>
      <c r="F1132" s="23">
        <v>271.05</v>
      </c>
      <c r="G1132" s="5" t="s">
        <v>9</v>
      </c>
      <c r="H1132" s="5" t="s">
        <v>30</v>
      </c>
      <c r="I1132" s="5" t="s">
        <v>11</v>
      </c>
      <c r="J1132" s="6">
        <f>Table1[[#This Row],[Profit]]/Table1[[#This Row],[Sales]]</f>
        <v>0.72131889187534937</v>
      </c>
      <c r="K1132" s="5" t="str">
        <f t="shared" si="17"/>
        <v>Low</v>
      </c>
      <c r="L1132" s="5" t="str">
        <f>TEXT(Table1[[#This Row],[Order_Date]],"MMM")</f>
        <v>Mar</v>
      </c>
      <c r="M1132" s="5" t="str">
        <f>IF(Table1[[#This Row],[Profit]]&gt;=1000,"Excellent",IF(Table1[[#This Row],[Profit]]&gt;=500,"Good", IF(Table1[[#This Row],[Profit]]&lt;500,"Low")))</f>
        <v>Low</v>
      </c>
      <c r="N1132" s="7" t="str">
        <f>TEXT(Table1[[#This Row],[Order_Date]],"YYY")</f>
        <v>2025</v>
      </c>
    </row>
    <row r="1133" spans="1:14" x14ac:dyDescent="0.3">
      <c r="A1133" s="4">
        <v>45737</v>
      </c>
      <c r="B1133" s="5" t="s">
        <v>16</v>
      </c>
      <c r="C1133" s="5" t="s">
        <v>19</v>
      </c>
      <c r="D1133" s="23">
        <v>34.99</v>
      </c>
      <c r="E1133" s="23">
        <v>10.34</v>
      </c>
      <c r="F1133" s="23">
        <v>24.65</v>
      </c>
      <c r="G1133" s="5" t="s">
        <v>6</v>
      </c>
      <c r="H1133" s="5" t="s">
        <v>15</v>
      </c>
      <c r="I1133" s="5" t="s">
        <v>25</v>
      </c>
      <c r="J1133" s="6">
        <f>Table1[[#This Row],[Profit]]/Table1[[#This Row],[Sales]]</f>
        <v>0.70448699628465272</v>
      </c>
      <c r="K1133" s="5" t="str">
        <f t="shared" si="17"/>
        <v>Low</v>
      </c>
      <c r="L1133" s="5" t="str">
        <f>TEXT(Table1[[#This Row],[Order_Date]],"MMM")</f>
        <v>Mar</v>
      </c>
      <c r="M1133" s="5" t="str">
        <f>IF(Table1[[#This Row],[Profit]]&gt;=1000,"Excellent",IF(Table1[[#This Row],[Profit]]&gt;=500,"Good", IF(Table1[[#This Row],[Profit]]&lt;500,"Low")))</f>
        <v>Low</v>
      </c>
      <c r="N1133" s="7" t="str">
        <f>TEXT(Table1[[#This Row],[Order_Date]],"YYY")</f>
        <v>2025</v>
      </c>
    </row>
    <row r="1134" spans="1:14" x14ac:dyDescent="0.3">
      <c r="A1134" s="4">
        <v>45737</v>
      </c>
      <c r="B1134" s="5" t="s">
        <v>18</v>
      </c>
      <c r="C1134" s="5" t="s">
        <v>1</v>
      </c>
      <c r="D1134" s="23">
        <v>1474.74</v>
      </c>
      <c r="E1134" s="23">
        <v>905.39</v>
      </c>
      <c r="F1134" s="23">
        <v>569.35</v>
      </c>
      <c r="G1134" s="5" t="s">
        <v>32</v>
      </c>
      <c r="H1134" s="5" t="s">
        <v>3</v>
      </c>
      <c r="I1134" s="5" t="s">
        <v>25</v>
      </c>
      <c r="J1134" s="6">
        <f>Table1[[#This Row],[Profit]]/Table1[[#This Row],[Sales]]</f>
        <v>0.38606805267369165</v>
      </c>
      <c r="K1134" s="5" t="str">
        <f t="shared" si="17"/>
        <v>Low</v>
      </c>
      <c r="L1134" s="5" t="str">
        <f>TEXT(Table1[[#This Row],[Order_Date]],"MMM")</f>
        <v>Mar</v>
      </c>
      <c r="M1134" s="5" t="str">
        <f>IF(Table1[[#This Row],[Profit]]&gt;=1000,"Excellent",IF(Table1[[#This Row],[Profit]]&gt;=500,"Good", IF(Table1[[#This Row],[Profit]]&lt;500,"Low")))</f>
        <v>Good</v>
      </c>
      <c r="N1134" s="7" t="str">
        <f>TEXT(Table1[[#This Row],[Order_Date]],"YYY")</f>
        <v>2025</v>
      </c>
    </row>
    <row r="1135" spans="1:14" x14ac:dyDescent="0.3">
      <c r="A1135" s="4">
        <v>45738</v>
      </c>
      <c r="B1135" s="5" t="s">
        <v>0</v>
      </c>
      <c r="C1135" s="5" t="s">
        <v>1</v>
      </c>
      <c r="D1135" s="23">
        <v>1125.07</v>
      </c>
      <c r="E1135" s="23">
        <v>583.37</v>
      </c>
      <c r="F1135" s="23">
        <v>541.70000000000005</v>
      </c>
      <c r="G1135" s="5" t="s">
        <v>9</v>
      </c>
      <c r="H1135" s="5" t="s">
        <v>21</v>
      </c>
      <c r="I1135" s="5" t="s">
        <v>11</v>
      </c>
      <c r="J1135" s="6">
        <f>Table1[[#This Row],[Profit]]/Table1[[#This Row],[Sales]]</f>
        <v>0.48148115228385796</v>
      </c>
      <c r="K1135" s="5" t="str">
        <f t="shared" si="17"/>
        <v>Low</v>
      </c>
      <c r="L1135" s="5" t="str">
        <f>TEXT(Table1[[#This Row],[Order_Date]],"MMM")</f>
        <v>Mar</v>
      </c>
      <c r="M1135" s="5" t="str">
        <f>IF(Table1[[#This Row],[Profit]]&gt;=1000,"Excellent",IF(Table1[[#This Row],[Profit]]&gt;=500,"Good", IF(Table1[[#This Row],[Profit]]&lt;500,"Low")))</f>
        <v>Good</v>
      </c>
      <c r="N1135" s="7" t="str">
        <f>TEXT(Table1[[#This Row],[Order_Date]],"YYY")</f>
        <v>2025</v>
      </c>
    </row>
    <row r="1136" spans="1:14" x14ac:dyDescent="0.3">
      <c r="A1136" s="4">
        <v>45738</v>
      </c>
      <c r="B1136" s="5" t="s">
        <v>0</v>
      </c>
      <c r="C1136" s="5" t="s">
        <v>5</v>
      </c>
      <c r="D1136" s="23">
        <v>1578.93</v>
      </c>
      <c r="E1136" s="23">
        <v>476.79</v>
      </c>
      <c r="F1136" s="23">
        <v>1102.1400000000001</v>
      </c>
      <c r="G1136" s="5" t="s">
        <v>2</v>
      </c>
      <c r="H1136" s="5" t="s">
        <v>3</v>
      </c>
      <c r="I1136" s="5" t="s">
        <v>22</v>
      </c>
      <c r="J1136" s="6">
        <f>Table1[[#This Row],[Profit]]/Table1[[#This Row],[Sales]]</f>
        <v>0.69802967832646168</v>
      </c>
      <c r="K1136" s="5" t="str">
        <f t="shared" si="17"/>
        <v>Medium</v>
      </c>
      <c r="L1136" s="5" t="str">
        <f>TEXT(Table1[[#This Row],[Order_Date]],"MMM")</f>
        <v>Mar</v>
      </c>
      <c r="M1136" s="5" t="str">
        <f>IF(Table1[[#This Row],[Profit]]&gt;=1000,"Excellent",IF(Table1[[#This Row],[Profit]]&gt;=500,"Good", IF(Table1[[#This Row],[Profit]]&lt;500,"Low")))</f>
        <v>Excellent</v>
      </c>
      <c r="N1136" s="7" t="str">
        <f>TEXT(Table1[[#This Row],[Order_Date]],"YYY")</f>
        <v>2025</v>
      </c>
    </row>
    <row r="1137" spans="1:14" x14ac:dyDescent="0.3">
      <c r="A1137" s="4">
        <v>45738</v>
      </c>
      <c r="B1137" s="5" t="s">
        <v>13</v>
      </c>
      <c r="C1137" s="5" t="s">
        <v>31</v>
      </c>
      <c r="D1137" s="23">
        <v>63.09</v>
      </c>
      <c r="E1137" s="23">
        <v>15.9</v>
      </c>
      <c r="F1137" s="23">
        <v>47.19</v>
      </c>
      <c r="G1137" s="5" t="s">
        <v>32</v>
      </c>
      <c r="H1137" s="5" t="s">
        <v>30</v>
      </c>
      <c r="I1137" s="5" t="s">
        <v>4</v>
      </c>
      <c r="J1137" s="6">
        <f>Table1[[#This Row],[Profit]]/Table1[[#This Row],[Sales]]</f>
        <v>0.74797907750832138</v>
      </c>
      <c r="K1137" s="5" t="str">
        <f t="shared" si="17"/>
        <v>Low</v>
      </c>
      <c r="L1137" s="5" t="str">
        <f>TEXT(Table1[[#This Row],[Order_Date]],"MMM")</f>
        <v>Mar</v>
      </c>
      <c r="M1137" s="5" t="str">
        <f>IF(Table1[[#This Row],[Profit]]&gt;=1000,"Excellent",IF(Table1[[#This Row],[Profit]]&gt;=500,"Good", IF(Table1[[#This Row],[Profit]]&lt;500,"Low")))</f>
        <v>Low</v>
      </c>
      <c r="N1137" s="7" t="str">
        <f>TEXT(Table1[[#This Row],[Order_Date]],"YYY")</f>
        <v>2025</v>
      </c>
    </row>
    <row r="1138" spans="1:14" x14ac:dyDescent="0.3">
      <c r="A1138" s="4">
        <v>45738</v>
      </c>
      <c r="B1138" s="5" t="s">
        <v>18</v>
      </c>
      <c r="C1138" s="5" t="s">
        <v>31</v>
      </c>
      <c r="D1138" s="23">
        <v>117.2</v>
      </c>
      <c r="E1138" s="23">
        <v>38.15</v>
      </c>
      <c r="F1138" s="23">
        <v>79.05</v>
      </c>
      <c r="G1138" s="5" t="s">
        <v>9</v>
      </c>
      <c r="H1138" s="5" t="s">
        <v>28</v>
      </c>
      <c r="I1138" s="5" t="s">
        <v>4</v>
      </c>
      <c r="J1138" s="6">
        <f>Table1[[#This Row],[Profit]]/Table1[[#This Row],[Sales]]</f>
        <v>0.67448805460750849</v>
      </c>
      <c r="K1138" s="5" t="str">
        <f t="shared" si="17"/>
        <v>Low</v>
      </c>
      <c r="L1138" s="5" t="str">
        <f>TEXT(Table1[[#This Row],[Order_Date]],"MMM")</f>
        <v>Mar</v>
      </c>
      <c r="M1138" s="5" t="str">
        <f>IF(Table1[[#This Row],[Profit]]&gt;=1000,"Excellent",IF(Table1[[#This Row],[Profit]]&gt;=500,"Good", IF(Table1[[#This Row],[Profit]]&lt;500,"Low")))</f>
        <v>Low</v>
      </c>
      <c r="N1138" s="7" t="str">
        <f>TEXT(Table1[[#This Row],[Order_Date]],"YYY")</f>
        <v>2025</v>
      </c>
    </row>
    <row r="1139" spans="1:14" x14ac:dyDescent="0.3">
      <c r="A1139" s="4">
        <v>45738</v>
      </c>
      <c r="B1139" s="5" t="s">
        <v>18</v>
      </c>
      <c r="C1139" s="5" t="s">
        <v>1</v>
      </c>
      <c r="D1139" s="23">
        <v>687.8</v>
      </c>
      <c r="E1139" s="23">
        <v>430.76</v>
      </c>
      <c r="F1139" s="23">
        <v>257.04000000000002</v>
      </c>
      <c r="G1139" s="5" t="s">
        <v>9</v>
      </c>
      <c r="H1139" s="5" t="s">
        <v>37</v>
      </c>
      <c r="I1139" s="5" t="s">
        <v>4</v>
      </c>
      <c r="J1139" s="6">
        <f>Table1[[#This Row],[Profit]]/Table1[[#This Row],[Sales]]</f>
        <v>0.37371328874672877</v>
      </c>
      <c r="K1139" s="5" t="str">
        <f t="shared" si="17"/>
        <v>Low</v>
      </c>
      <c r="L1139" s="5" t="str">
        <f>TEXT(Table1[[#This Row],[Order_Date]],"MMM")</f>
        <v>Mar</v>
      </c>
      <c r="M1139" s="5" t="str">
        <f>IF(Table1[[#This Row],[Profit]]&gt;=1000,"Excellent",IF(Table1[[#This Row],[Profit]]&gt;=500,"Good", IF(Table1[[#This Row],[Profit]]&lt;500,"Low")))</f>
        <v>Low</v>
      </c>
      <c r="N1139" s="7" t="str">
        <f>TEXT(Table1[[#This Row],[Order_Date]],"YYY")</f>
        <v>2025</v>
      </c>
    </row>
    <row r="1140" spans="1:14" x14ac:dyDescent="0.3">
      <c r="A1140" s="4">
        <v>45740</v>
      </c>
      <c r="B1140" s="5" t="s">
        <v>0</v>
      </c>
      <c r="C1140" s="5" t="s">
        <v>26</v>
      </c>
      <c r="D1140" s="23">
        <v>1015.04</v>
      </c>
      <c r="E1140" s="23">
        <v>396.23</v>
      </c>
      <c r="F1140" s="23">
        <v>618.80999999999995</v>
      </c>
      <c r="G1140" s="5" t="s">
        <v>6</v>
      </c>
      <c r="H1140" s="5" t="s">
        <v>29</v>
      </c>
      <c r="I1140" s="5" t="s">
        <v>11</v>
      </c>
      <c r="J1140" s="6">
        <f>Table1[[#This Row],[Profit]]/Table1[[#This Row],[Sales]]</f>
        <v>0.60964099936948291</v>
      </c>
      <c r="K1140" s="5" t="str">
        <f t="shared" si="17"/>
        <v>Low</v>
      </c>
      <c r="L1140" s="5" t="str">
        <f>TEXT(Table1[[#This Row],[Order_Date]],"MMM")</f>
        <v>Mar</v>
      </c>
      <c r="M1140" s="5" t="str">
        <f>IF(Table1[[#This Row],[Profit]]&gt;=1000,"Excellent",IF(Table1[[#This Row],[Profit]]&gt;=500,"Good", IF(Table1[[#This Row],[Profit]]&lt;500,"Low")))</f>
        <v>Good</v>
      </c>
      <c r="N1140" s="7" t="str">
        <f>TEXT(Table1[[#This Row],[Order_Date]],"YYY")</f>
        <v>2025</v>
      </c>
    </row>
    <row r="1141" spans="1:14" x14ac:dyDescent="0.3">
      <c r="A1141" s="4">
        <v>45741</v>
      </c>
      <c r="B1141" s="5" t="s">
        <v>16</v>
      </c>
      <c r="C1141" s="5" t="s">
        <v>5</v>
      </c>
      <c r="D1141" s="23">
        <v>1235.83</v>
      </c>
      <c r="E1141" s="23">
        <v>486.69</v>
      </c>
      <c r="F1141" s="23">
        <v>749.14</v>
      </c>
      <c r="G1141" s="5" t="s">
        <v>2</v>
      </c>
      <c r="H1141" s="5" t="s">
        <v>33</v>
      </c>
      <c r="I1141" s="5" t="s">
        <v>4</v>
      </c>
      <c r="J1141" s="6">
        <f>Table1[[#This Row],[Profit]]/Table1[[#This Row],[Sales]]</f>
        <v>0.60618369840512043</v>
      </c>
      <c r="K1141" s="5" t="str">
        <f t="shared" si="17"/>
        <v>Low</v>
      </c>
      <c r="L1141" s="5" t="str">
        <f>TEXT(Table1[[#This Row],[Order_Date]],"MMM")</f>
        <v>Mar</v>
      </c>
      <c r="M1141" s="5" t="str">
        <f>IF(Table1[[#This Row],[Profit]]&gt;=1000,"Excellent",IF(Table1[[#This Row],[Profit]]&gt;=500,"Good", IF(Table1[[#This Row],[Profit]]&lt;500,"Low")))</f>
        <v>Good</v>
      </c>
      <c r="N1141" s="7" t="str">
        <f>TEXT(Table1[[#This Row],[Order_Date]],"YYY")</f>
        <v>2025</v>
      </c>
    </row>
    <row r="1142" spans="1:14" x14ac:dyDescent="0.3">
      <c r="A1142" s="4">
        <v>45741</v>
      </c>
      <c r="B1142" s="5" t="s">
        <v>13</v>
      </c>
      <c r="C1142" s="5" t="s">
        <v>1</v>
      </c>
      <c r="D1142" s="23">
        <v>563.20000000000005</v>
      </c>
      <c r="E1142" s="23">
        <v>289.31</v>
      </c>
      <c r="F1142" s="23">
        <v>273.89</v>
      </c>
      <c r="G1142" s="5" t="s">
        <v>2</v>
      </c>
      <c r="H1142" s="5" t="s">
        <v>12</v>
      </c>
      <c r="I1142" s="5" t="s">
        <v>17</v>
      </c>
      <c r="J1142" s="6">
        <f>Table1[[#This Row],[Profit]]/Table1[[#This Row],[Sales]]</f>
        <v>0.48631036931818178</v>
      </c>
      <c r="K1142" s="5" t="str">
        <f t="shared" si="17"/>
        <v>Low</v>
      </c>
      <c r="L1142" s="5" t="str">
        <f>TEXT(Table1[[#This Row],[Order_Date]],"MMM")</f>
        <v>Mar</v>
      </c>
      <c r="M1142" s="5" t="str">
        <f>IF(Table1[[#This Row],[Profit]]&gt;=1000,"Excellent",IF(Table1[[#This Row],[Profit]]&gt;=500,"Good", IF(Table1[[#This Row],[Profit]]&lt;500,"Low")))</f>
        <v>Low</v>
      </c>
      <c r="N1142" s="7" t="str">
        <f>TEXT(Table1[[#This Row],[Order_Date]],"YYY")</f>
        <v>2025</v>
      </c>
    </row>
    <row r="1143" spans="1:14" x14ac:dyDescent="0.3">
      <c r="A1143" s="4">
        <v>45742</v>
      </c>
      <c r="B1143" s="5" t="s">
        <v>18</v>
      </c>
      <c r="C1143" s="5" t="s">
        <v>14</v>
      </c>
      <c r="D1143" s="23">
        <v>230.25</v>
      </c>
      <c r="E1143" s="23">
        <v>72.55</v>
      </c>
      <c r="F1143" s="23">
        <v>157.69999999999999</v>
      </c>
      <c r="G1143" s="5" t="s">
        <v>20</v>
      </c>
      <c r="H1143" s="5" t="s">
        <v>37</v>
      </c>
      <c r="I1143" s="5" t="s">
        <v>17</v>
      </c>
      <c r="J1143" s="6">
        <f>Table1[[#This Row],[Profit]]/Table1[[#This Row],[Sales]]</f>
        <v>0.68490770901194353</v>
      </c>
      <c r="K1143" s="5" t="str">
        <f t="shared" si="17"/>
        <v>Low</v>
      </c>
      <c r="L1143" s="5" t="str">
        <f>TEXT(Table1[[#This Row],[Order_Date]],"MMM")</f>
        <v>Mar</v>
      </c>
      <c r="M1143" s="5" t="str">
        <f>IF(Table1[[#This Row],[Profit]]&gt;=1000,"Excellent",IF(Table1[[#This Row],[Profit]]&gt;=500,"Good", IF(Table1[[#This Row],[Profit]]&lt;500,"Low")))</f>
        <v>Low</v>
      </c>
      <c r="N1143" s="7" t="str">
        <f>TEXT(Table1[[#This Row],[Order_Date]],"YYY")</f>
        <v>2025</v>
      </c>
    </row>
    <row r="1144" spans="1:14" x14ac:dyDescent="0.3">
      <c r="A1144" s="4">
        <v>45742</v>
      </c>
      <c r="B1144" s="5" t="s">
        <v>16</v>
      </c>
      <c r="C1144" s="5" t="s">
        <v>1</v>
      </c>
      <c r="D1144" s="23">
        <v>1355.4</v>
      </c>
      <c r="E1144" s="23">
        <v>764.86</v>
      </c>
      <c r="F1144" s="23">
        <v>590.54</v>
      </c>
      <c r="G1144" s="5" t="s">
        <v>6</v>
      </c>
      <c r="H1144" s="5" t="s">
        <v>33</v>
      </c>
      <c r="I1144" s="5" t="s">
        <v>25</v>
      </c>
      <c r="J1144" s="6">
        <f>Table1[[#This Row],[Profit]]/Table1[[#This Row],[Sales]]</f>
        <v>0.43569425999704881</v>
      </c>
      <c r="K1144" s="5" t="str">
        <f t="shared" si="17"/>
        <v>Low</v>
      </c>
      <c r="L1144" s="5" t="str">
        <f>TEXT(Table1[[#This Row],[Order_Date]],"MMM")</f>
        <v>Mar</v>
      </c>
      <c r="M1144" s="5" t="str">
        <f>IF(Table1[[#This Row],[Profit]]&gt;=1000,"Excellent",IF(Table1[[#This Row],[Profit]]&gt;=500,"Good", IF(Table1[[#This Row],[Profit]]&lt;500,"Low")))</f>
        <v>Good</v>
      </c>
      <c r="N1144" s="7" t="str">
        <f>TEXT(Table1[[#This Row],[Order_Date]],"YYY")</f>
        <v>2025</v>
      </c>
    </row>
    <row r="1145" spans="1:14" x14ac:dyDescent="0.3">
      <c r="A1145" s="4">
        <v>45743</v>
      </c>
      <c r="B1145" s="5" t="s">
        <v>13</v>
      </c>
      <c r="C1145" s="5" t="s">
        <v>14</v>
      </c>
      <c r="D1145" s="23">
        <v>78.72</v>
      </c>
      <c r="E1145" s="23">
        <v>42.2</v>
      </c>
      <c r="F1145" s="23">
        <v>36.520000000000003</v>
      </c>
      <c r="G1145" s="5" t="s">
        <v>6</v>
      </c>
      <c r="H1145" s="5" t="s">
        <v>7</v>
      </c>
      <c r="I1145" s="5" t="s">
        <v>4</v>
      </c>
      <c r="J1145" s="6">
        <f>Table1[[#This Row],[Profit]]/Table1[[#This Row],[Sales]]</f>
        <v>0.46392276422764234</v>
      </c>
      <c r="K1145" s="5" t="str">
        <f t="shared" si="17"/>
        <v>Low</v>
      </c>
      <c r="L1145" s="5" t="str">
        <f>TEXT(Table1[[#This Row],[Order_Date]],"MMM")</f>
        <v>Mar</v>
      </c>
      <c r="M1145" s="5" t="str">
        <f>IF(Table1[[#This Row],[Profit]]&gt;=1000,"Excellent",IF(Table1[[#This Row],[Profit]]&gt;=500,"Good", IF(Table1[[#This Row],[Profit]]&lt;500,"Low")))</f>
        <v>Low</v>
      </c>
      <c r="N1145" s="7" t="str">
        <f>TEXT(Table1[[#This Row],[Order_Date]],"YYY")</f>
        <v>2025</v>
      </c>
    </row>
    <row r="1146" spans="1:14" x14ac:dyDescent="0.3">
      <c r="A1146" s="4">
        <v>45744</v>
      </c>
      <c r="B1146" s="5" t="s">
        <v>18</v>
      </c>
      <c r="C1146" s="5" t="s">
        <v>19</v>
      </c>
      <c r="D1146" s="23">
        <v>144.91999999999999</v>
      </c>
      <c r="E1146" s="23">
        <v>38.159999999999997</v>
      </c>
      <c r="F1146" s="23">
        <v>106.76</v>
      </c>
      <c r="G1146" s="5" t="s">
        <v>32</v>
      </c>
      <c r="H1146" s="5" t="s">
        <v>24</v>
      </c>
      <c r="I1146" s="5" t="s">
        <v>27</v>
      </c>
      <c r="J1146" s="6">
        <f>Table1[[#This Row],[Profit]]/Table1[[#This Row],[Sales]]</f>
        <v>0.73668230747998908</v>
      </c>
      <c r="K1146" s="5" t="str">
        <f t="shared" si="17"/>
        <v>Low</v>
      </c>
      <c r="L1146" s="5" t="str">
        <f>TEXT(Table1[[#This Row],[Order_Date]],"MMM")</f>
        <v>Mar</v>
      </c>
      <c r="M1146" s="5" t="str">
        <f>IF(Table1[[#This Row],[Profit]]&gt;=1000,"Excellent",IF(Table1[[#This Row],[Profit]]&gt;=500,"Good", IF(Table1[[#This Row],[Profit]]&lt;500,"Low")))</f>
        <v>Low</v>
      </c>
      <c r="N1146" s="7" t="str">
        <f>TEXT(Table1[[#This Row],[Order_Date]],"YYY")</f>
        <v>2025</v>
      </c>
    </row>
    <row r="1147" spans="1:14" x14ac:dyDescent="0.3">
      <c r="A1147" s="4">
        <v>45745</v>
      </c>
      <c r="B1147" s="5" t="s">
        <v>18</v>
      </c>
      <c r="C1147" s="5" t="s">
        <v>14</v>
      </c>
      <c r="D1147" s="23">
        <v>205.86</v>
      </c>
      <c r="E1147" s="23">
        <v>79.2</v>
      </c>
      <c r="F1147" s="23">
        <v>126.66</v>
      </c>
      <c r="G1147" s="5" t="s">
        <v>32</v>
      </c>
      <c r="H1147" s="5" t="s">
        <v>7</v>
      </c>
      <c r="I1147" s="5" t="s">
        <v>4</v>
      </c>
      <c r="J1147" s="6">
        <f>Table1[[#This Row],[Profit]]/Table1[[#This Row],[Sales]]</f>
        <v>0.61527251530166127</v>
      </c>
      <c r="K1147" s="5" t="str">
        <f t="shared" si="17"/>
        <v>Low</v>
      </c>
      <c r="L1147" s="5" t="str">
        <f>TEXT(Table1[[#This Row],[Order_Date]],"MMM")</f>
        <v>Mar</v>
      </c>
      <c r="M1147" s="5" t="str">
        <f>IF(Table1[[#This Row],[Profit]]&gt;=1000,"Excellent",IF(Table1[[#This Row],[Profit]]&gt;=500,"Good", IF(Table1[[#This Row],[Profit]]&lt;500,"Low")))</f>
        <v>Low</v>
      </c>
      <c r="N1147" s="7" t="str">
        <f>TEXT(Table1[[#This Row],[Order_Date]],"YYY")</f>
        <v>2025</v>
      </c>
    </row>
    <row r="1148" spans="1:14" x14ac:dyDescent="0.3">
      <c r="A1148" s="4">
        <v>45745</v>
      </c>
      <c r="B1148" s="5" t="s">
        <v>18</v>
      </c>
      <c r="C1148" s="5" t="s">
        <v>26</v>
      </c>
      <c r="D1148" s="23">
        <v>778.12</v>
      </c>
      <c r="E1148" s="23">
        <v>342.58</v>
      </c>
      <c r="F1148" s="23">
        <v>435.54</v>
      </c>
      <c r="G1148" s="5" t="s">
        <v>2</v>
      </c>
      <c r="H1148" s="5" t="s">
        <v>36</v>
      </c>
      <c r="I1148" s="5" t="s">
        <v>22</v>
      </c>
      <c r="J1148" s="6">
        <f>Table1[[#This Row],[Profit]]/Table1[[#This Row],[Sales]]</f>
        <v>0.55973371716444764</v>
      </c>
      <c r="K1148" s="5" t="str">
        <f t="shared" si="17"/>
        <v>Low</v>
      </c>
      <c r="L1148" s="5" t="str">
        <f>TEXT(Table1[[#This Row],[Order_Date]],"MMM")</f>
        <v>Mar</v>
      </c>
      <c r="M1148" s="5" t="str">
        <f>IF(Table1[[#This Row],[Profit]]&gt;=1000,"Excellent",IF(Table1[[#This Row],[Profit]]&gt;=500,"Good", IF(Table1[[#This Row],[Profit]]&lt;500,"Low")))</f>
        <v>Low</v>
      </c>
      <c r="N1148" s="7" t="str">
        <f>TEXT(Table1[[#This Row],[Order_Date]],"YYY")</f>
        <v>2025</v>
      </c>
    </row>
    <row r="1149" spans="1:14" x14ac:dyDescent="0.3">
      <c r="A1149" s="4">
        <v>45746</v>
      </c>
      <c r="B1149" s="5" t="s">
        <v>13</v>
      </c>
      <c r="C1149" s="5" t="s">
        <v>5</v>
      </c>
      <c r="D1149" s="23">
        <v>114.65</v>
      </c>
      <c r="E1149" s="23">
        <v>37.380000000000003</v>
      </c>
      <c r="F1149" s="23">
        <v>77.27</v>
      </c>
      <c r="G1149" s="5" t="s">
        <v>20</v>
      </c>
      <c r="H1149" s="5" t="s">
        <v>7</v>
      </c>
      <c r="I1149" s="5" t="s">
        <v>17</v>
      </c>
      <c r="J1149" s="6">
        <f>Table1[[#This Row],[Profit]]/Table1[[#This Row],[Sales]]</f>
        <v>0.673964238988225</v>
      </c>
      <c r="K1149" s="5" t="str">
        <f t="shared" si="17"/>
        <v>Low</v>
      </c>
      <c r="L1149" s="5" t="str">
        <f>TEXT(Table1[[#This Row],[Order_Date]],"MMM")</f>
        <v>Mar</v>
      </c>
      <c r="M1149" s="5" t="str">
        <f>IF(Table1[[#This Row],[Profit]]&gt;=1000,"Excellent",IF(Table1[[#This Row],[Profit]]&gt;=500,"Good", IF(Table1[[#This Row],[Profit]]&lt;500,"Low")))</f>
        <v>Low</v>
      </c>
      <c r="N1149" s="7" t="str">
        <f>TEXT(Table1[[#This Row],[Order_Date]],"YYY")</f>
        <v>2025</v>
      </c>
    </row>
    <row r="1150" spans="1:14" x14ac:dyDescent="0.3">
      <c r="A1150" s="4">
        <v>45746</v>
      </c>
      <c r="B1150" s="5" t="s">
        <v>0</v>
      </c>
      <c r="C1150" s="5" t="s">
        <v>1</v>
      </c>
      <c r="D1150" s="23">
        <v>671.32</v>
      </c>
      <c r="E1150" s="23">
        <v>429.05</v>
      </c>
      <c r="F1150" s="23">
        <v>242.27</v>
      </c>
      <c r="G1150" s="5" t="s">
        <v>32</v>
      </c>
      <c r="H1150" s="5" t="s">
        <v>24</v>
      </c>
      <c r="I1150" s="5" t="s">
        <v>22</v>
      </c>
      <c r="J1150" s="6">
        <f>Table1[[#This Row],[Profit]]/Table1[[#This Row],[Sales]]</f>
        <v>0.36088601561103495</v>
      </c>
      <c r="K1150" s="5" t="str">
        <f t="shared" si="17"/>
        <v>Low</v>
      </c>
      <c r="L1150" s="5" t="str">
        <f>TEXT(Table1[[#This Row],[Order_Date]],"MMM")</f>
        <v>Mar</v>
      </c>
      <c r="M1150" s="5" t="str">
        <f>IF(Table1[[#This Row],[Profit]]&gt;=1000,"Excellent",IF(Table1[[#This Row],[Profit]]&gt;=500,"Good", IF(Table1[[#This Row],[Profit]]&lt;500,"Low")))</f>
        <v>Low</v>
      </c>
      <c r="N1150" s="7" t="str">
        <f>TEXT(Table1[[#This Row],[Order_Date]],"YYY")</f>
        <v>2025</v>
      </c>
    </row>
    <row r="1151" spans="1:14" x14ac:dyDescent="0.3">
      <c r="A1151" s="4">
        <v>45746</v>
      </c>
      <c r="B1151" s="5" t="s">
        <v>16</v>
      </c>
      <c r="C1151" s="5" t="s">
        <v>1</v>
      </c>
      <c r="D1151" s="23">
        <v>229.02</v>
      </c>
      <c r="E1151" s="23">
        <v>103.24</v>
      </c>
      <c r="F1151" s="23">
        <v>125.78</v>
      </c>
      <c r="G1151" s="5" t="s">
        <v>20</v>
      </c>
      <c r="H1151" s="5" t="s">
        <v>29</v>
      </c>
      <c r="I1151" s="5" t="s">
        <v>11</v>
      </c>
      <c r="J1151" s="6">
        <f>Table1[[#This Row],[Profit]]/Table1[[#This Row],[Sales]]</f>
        <v>0.54920967601082871</v>
      </c>
      <c r="K1151" s="5" t="str">
        <f t="shared" si="17"/>
        <v>Low</v>
      </c>
      <c r="L1151" s="5" t="str">
        <f>TEXT(Table1[[#This Row],[Order_Date]],"MMM")</f>
        <v>Mar</v>
      </c>
      <c r="M1151" s="5" t="str">
        <f>IF(Table1[[#This Row],[Profit]]&gt;=1000,"Excellent",IF(Table1[[#This Row],[Profit]]&gt;=500,"Good", IF(Table1[[#This Row],[Profit]]&lt;500,"Low")))</f>
        <v>Low</v>
      </c>
      <c r="N1151" s="7" t="str">
        <f>TEXT(Table1[[#This Row],[Order_Date]],"YYY")</f>
        <v>2025</v>
      </c>
    </row>
    <row r="1152" spans="1:14" x14ac:dyDescent="0.3">
      <c r="A1152" s="4">
        <v>45747</v>
      </c>
      <c r="B1152" s="5" t="s">
        <v>0</v>
      </c>
      <c r="C1152" s="5" t="s">
        <v>19</v>
      </c>
      <c r="D1152" s="23">
        <v>34.25</v>
      </c>
      <c r="E1152" s="23">
        <v>8.09</v>
      </c>
      <c r="F1152" s="23">
        <v>26.16</v>
      </c>
      <c r="G1152" s="5" t="s">
        <v>9</v>
      </c>
      <c r="H1152" s="5" t="s">
        <v>12</v>
      </c>
      <c r="I1152" s="5" t="s">
        <v>25</v>
      </c>
      <c r="J1152" s="6">
        <f>Table1[[#This Row],[Profit]]/Table1[[#This Row],[Sales]]</f>
        <v>0.76379562043795624</v>
      </c>
      <c r="K1152" s="5" t="str">
        <f t="shared" si="17"/>
        <v>Low</v>
      </c>
      <c r="L1152" s="5" t="str">
        <f>TEXT(Table1[[#This Row],[Order_Date]],"MMM")</f>
        <v>Mar</v>
      </c>
      <c r="M1152" s="5" t="str">
        <f>IF(Table1[[#This Row],[Profit]]&gt;=1000,"Excellent",IF(Table1[[#This Row],[Profit]]&gt;=500,"Good", IF(Table1[[#This Row],[Profit]]&lt;500,"Low")))</f>
        <v>Low</v>
      </c>
      <c r="N1152" s="7" t="str">
        <f>TEXT(Table1[[#This Row],[Order_Date]],"YYY")</f>
        <v>2025</v>
      </c>
    </row>
    <row r="1153" spans="1:14" x14ac:dyDescent="0.3">
      <c r="A1153" s="4">
        <v>45749</v>
      </c>
      <c r="B1153" s="5" t="s">
        <v>16</v>
      </c>
      <c r="C1153" s="5" t="s">
        <v>31</v>
      </c>
      <c r="D1153" s="23">
        <v>155.72</v>
      </c>
      <c r="E1153" s="23">
        <v>40.96</v>
      </c>
      <c r="F1153" s="23">
        <v>114.76</v>
      </c>
      <c r="G1153" s="5" t="s">
        <v>6</v>
      </c>
      <c r="H1153" s="5" t="s">
        <v>34</v>
      </c>
      <c r="I1153" s="5" t="s">
        <v>25</v>
      </c>
      <c r="J1153" s="6">
        <f>Table1[[#This Row],[Profit]]/Table1[[#This Row],[Sales]]</f>
        <v>0.73696378114564609</v>
      </c>
      <c r="K1153" s="5" t="str">
        <f t="shared" si="17"/>
        <v>Low</v>
      </c>
      <c r="L1153" s="5" t="str">
        <f>TEXT(Table1[[#This Row],[Order_Date]],"MMM")</f>
        <v>Apr</v>
      </c>
      <c r="M1153" s="5" t="str">
        <f>IF(Table1[[#This Row],[Profit]]&gt;=1000,"Excellent",IF(Table1[[#This Row],[Profit]]&gt;=500,"Good", IF(Table1[[#This Row],[Profit]]&lt;500,"Low")))</f>
        <v>Low</v>
      </c>
      <c r="N1153" s="7" t="str">
        <f>TEXT(Table1[[#This Row],[Order_Date]],"YYY")</f>
        <v>2025</v>
      </c>
    </row>
    <row r="1154" spans="1:14" x14ac:dyDescent="0.3">
      <c r="A1154" s="4">
        <v>45749</v>
      </c>
      <c r="B1154" s="5" t="s">
        <v>16</v>
      </c>
      <c r="C1154" s="5" t="s">
        <v>1</v>
      </c>
      <c r="D1154" s="23">
        <v>981.35</v>
      </c>
      <c r="E1154" s="23">
        <v>614.28</v>
      </c>
      <c r="F1154" s="23">
        <v>367.07</v>
      </c>
      <c r="G1154" s="5" t="s">
        <v>20</v>
      </c>
      <c r="H1154" s="5" t="s">
        <v>28</v>
      </c>
      <c r="I1154" s="5" t="s">
        <v>22</v>
      </c>
      <c r="J1154" s="6">
        <f>Table1[[#This Row],[Profit]]/Table1[[#This Row],[Sales]]</f>
        <v>0.3740459570999134</v>
      </c>
      <c r="K1154" s="5" t="str">
        <f t="shared" ref="K1154:K1217" si="18">IF(D1154&gt;=2000,"High",IF(D1154&gt;=1500,"Medium","Low"))</f>
        <v>Low</v>
      </c>
      <c r="L1154" s="5" t="str">
        <f>TEXT(Table1[[#This Row],[Order_Date]],"MMM")</f>
        <v>Apr</v>
      </c>
      <c r="M1154" s="5" t="str">
        <f>IF(Table1[[#This Row],[Profit]]&gt;=1000,"Excellent",IF(Table1[[#This Row],[Profit]]&gt;=500,"Good", IF(Table1[[#This Row],[Profit]]&lt;500,"Low")))</f>
        <v>Low</v>
      </c>
      <c r="N1154" s="7" t="str">
        <f>TEXT(Table1[[#This Row],[Order_Date]],"YYY")</f>
        <v>2025</v>
      </c>
    </row>
    <row r="1155" spans="1:14" x14ac:dyDescent="0.3">
      <c r="A1155" s="4">
        <v>45750</v>
      </c>
      <c r="B1155" s="5" t="s">
        <v>16</v>
      </c>
      <c r="C1155" s="5" t="s">
        <v>26</v>
      </c>
      <c r="D1155" s="23">
        <v>729.86</v>
      </c>
      <c r="E1155" s="23">
        <v>314.83</v>
      </c>
      <c r="F1155" s="23">
        <v>415.03</v>
      </c>
      <c r="G1155" s="5" t="s">
        <v>32</v>
      </c>
      <c r="H1155" s="5" t="s">
        <v>29</v>
      </c>
      <c r="I1155" s="5" t="s">
        <v>25</v>
      </c>
      <c r="J1155" s="6">
        <f>Table1[[#This Row],[Profit]]/Table1[[#This Row],[Sales]]</f>
        <v>0.56864330145507358</v>
      </c>
      <c r="K1155" s="5" t="str">
        <f t="shared" si="18"/>
        <v>Low</v>
      </c>
      <c r="L1155" s="5" t="str">
        <f>TEXT(Table1[[#This Row],[Order_Date]],"MMM")</f>
        <v>Apr</v>
      </c>
      <c r="M1155" s="5" t="str">
        <f>IF(Table1[[#This Row],[Profit]]&gt;=1000,"Excellent",IF(Table1[[#This Row],[Profit]]&gt;=500,"Good", IF(Table1[[#This Row],[Profit]]&lt;500,"Low")))</f>
        <v>Low</v>
      </c>
      <c r="N1155" s="7" t="str">
        <f>TEXT(Table1[[#This Row],[Order_Date]],"YYY")</f>
        <v>2025</v>
      </c>
    </row>
    <row r="1156" spans="1:14" x14ac:dyDescent="0.3">
      <c r="A1156" s="4">
        <v>45750</v>
      </c>
      <c r="B1156" s="5" t="s">
        <v>8</v>
      </c>
      <c r="C1156" s="5" t="s">
        <v>1</v>
      </c>
      <c r="D1156" s="23">
        <v>1378.39</v>
      </c>
      <c r="E1156" s="23">
        <v>863.2</v>
      </c>
      <c r="F1156" s="23">
        <v>515.19000000000005</v>
      </c>
      <c r="G1156" s="5" t="s">
        <v>20</v>
      </c>
      <c r="H1156" s="5" t="s">
        <v>34</v>
      </c>
      <c r="I1156" s="5" t="s">
        <v>22</v>
      </c>
      <c r="J1156" s="6">
        <f>Table1[[#This Row],[Profit]]/Table1[[#This Row],[Sales]]</f>
        <v>0.37376214278977649</v>
      </c>
      <c r="K1156" s="5" t="str">
        <f t="shared" si="18"/>
        <v>Low</v>
      </c>
      <c r="L1156" s="5" t="str">
        <f>TEXT(Table1[[#This Row],[Order_Date]],"MMM")</f>
        <v>Apr</v>
      </c>
      <c r="M1156" s="5" t="str">
        <f>IF(Table1[[#This Row],[Profit]]&gt;=1000,"Excellent",IF(Table1[[#This Row],[Profit]]&gt;=500,"Good", IF(Table1[[#This Row],[Profit]]&lt;500,"Low")))</f>
        <v>Good</v>
      </c>
      <c r="N1156" s="7" t="str">
        <f>TEXT(Table1[[#This Row],[Order_Date]],"YYY")</f>
        <v>2025</v>
      </c>
    </row>
    <row r="1157" spans="1:14" x14ac:dyDescent="0.3">
      <c r="A1157" s="4">
        <v>45750</v>
      </c>
      <c r="B1157" s="5" t="s">
        <v>8</v>
      </c>
      <c r="C1157" s="5" t="s">
        <v>1</v>
      </c>
      <c r="D1157" s="23">
        <v>1279.78</v>
      </c>
      <c r="E1157" s="23">
        <v>616.89</v>
      </c>
      <c r="F1157" s="23">
        <v>662.89</v>
      </c>
      <c r="G1157" s="5" t="s">
        <v>6</v>
      </c>
      <c r="H1157" s="5" t="s">
        <v>29</v>
      </c>
      <c r="I1157" s="5" t="s">
        <v>25</v>
      </c>
      <c r="J1157" s="6">
        <f>Table1[[#This Row],[Profit]]/Table1[[#This Row],[Sales]]</f>
        <v>0.51797183890981258</v>
      </c>
      <c r="K1157" s="5" t="str">
        <f t="shared" si="18"/>
        <v>Low</v>
      </c>
      <c r="L1157" s="5" t="str">
        <f>TEXT(Table1[[#This Row],[Order_Date]],"MMM")</f>
        <v>Apr</v>
      </c>
      <c r="M1157" s="5" t="str">
        <f>IF(Table1[[#This Row],[Profit]]&gt;=1000,"Excellent",IF(Table1[[#This Row],[Profit]]&gt;=500,"Good", IF(Table1[[#This Row],[Profit]]&lt;500,"Low")))</f>
        <v>Good</v>
      </c>
      <c r="N1157" s="7" t="str">
        <f>TEXT(Table1[[#This Row],[Order_Date]],"YYY")</f>
        <v>2025</v>
      </c>
    </row>
    <row r="1158" spans="1:14" x14ac:dyDescent="0.3">
      <c r="A1158" s="4">
        <v>45750</v>
      </c>
      <c r="B1158" s="5" t="s">
        <v>0</v>
      </c>
      <c r="C1158" s="5" t="s">
        <v>19</v>
      </c>
      <c r="D1158" s="23">
        <v>68.19</v>
      </c>
      <c r="E1158" s="23">
        <v>16.95</v>
      </c>
      <c r="F1158" s="23">
        <v>51.24</v>
      </c>
      <c r="G1158" s="5" t="s">
        <v>20</v>
      </c>
      <c r="H1158" s="5" t="s">
        <v>37</v>
      </c>
      <c r="I1158" s="5" t="s">
        <v>11</v>
      </c>
      <c r="J1158" s="6">
        <f>Table1[[#This Row],[Profit]]/Table1[[#This Row],[Sales]]</f>
        <v>0.75142982842058959</v>
      </c>
      <c r="K1158" s="5" t="str">
        <f t="shared" si="18"/>
        <v>Low</v>
      </c>
      <c r="L1158" s="5" t="str">
        <f>TEXT(Table1[[#This Row],[Order_Date]],"MMM")</f>
        <v>Apr</v>
      </c>
      <c r="M1158" s="5" t="str">
        <f>IF(Table1[[#This Row],[Profit]]&gt;=1000,"Excellent",IF(Table1[[#This Row],[Profit]]&gt;=500,"Good", IF(Table1[[#This Row],[Profit]]&lt;500,"Low")))</f>
        <v>Low</v>
      </c>
      <c r="N1158" s="7" t="str">
        <f>TEXT(Table1[[#This Row],[Order_Date]],"YYY")</f>
        <v>2025</v>
      </c>
    </row>
    <row r="1159" spans="1:14" x14ac:dyDescent="0.3">
      <c r="A1159" s="4">
        <v>45750</v>
      </c>
      <c r="B1159" s="5" t="s">
        <v>13</v>
      </c>
      <c r="C1159" s="5" t="s">
        <v>31</v>
      </c>
      <c r="D1159" s="23">
        <v>244.81</v>
      </c>
      <c r="E1159" s="23">
        <v>50.15</v>
      </c>
      <c r="F1159" s="23">
        <v>194.66</v>
      </c>
      <c r="G1159" s="5" t="s">
        <v>32</v>
      </c>
      <c r="H1159" s="5" t="s">
        <v>28</v>
      </c>
      <c r="I1159" s="5" t="s">
        <v>22</v>
      </c>
      <c r="J1159" s="6">
        <f>Table1[[#This Row],[Profit]]/Table1[[#This Row],[Sales]]</f>
        <v>0.79514725705649281</v>
      </c>
      <c r="K1159" s="5" t="str">
        <f t="shared" si="18"/>
        <v>Low</v>
      </c>
      <c r="L1159" s="5" t="str">
        <f>TEXT(Table1[[#This Row],[Order_Date]],"MMM")</f>
        <v>Apr</v>
      </c>
      <c r="M1159" s="5" t="str">
        <f>IF(Table1[[#This Row],[Profit]]&gt;=1000,"Excellent",IF(Table1[[#This Row],[Profit]]&gt;=500,"Good", IF(Table1[[#This Row],[Profit]]&lt;500,"Low")))</f>
        <v>Low</v>
      </c>
      <c r="N1159" s="7" t="str">
        <f>TEXT(Table1[[#This Row],[Order_Date]],"YYY")</f>
        <v>2025</v>
      </c>
    </row>
    <row r="1160" spans="1:14" x14ac:dyDescent="0.3">
      <c r="A1160" s="4">
        <v>45751</v>
      </c>
      <c r="B1160" s="5" t="s">
        <v>8</v>
      </c>
      <c r="C1160" s="5" t="s">
        <v>19</v>
      </c>
      <c r="D1160" s="23">
        <v>8.7200000000000006</v>
      </c>
      <c r="E1160" s="23">
        <v>3.3</v>
      </c>
      <c r="F1160" s="23">
        <v>5.42</v>
      </c>
      <c r="G1160" s="5" t="s">
        <v>2</v>
      </c>
      <c r="H1160" s="5" t="s">
        <v>21</v>
      </c>
      <c r="I1160" s="5" t="s">
        <v>11</v>
      </c>
      <c r="J1160" s="6">
        <f>Table1[[#This Row],[Profit]]/Table1[[#This Row],[Sales]]</f>
        <v>0.62155963302752293</v>
      </c>
      <c r="K1160" s="5" t="str">
        <f t="shared" si="18"/>
        <v>Low</v>
      </c>
      <c r="L1160" s="5" t="str">
        <f>TEXT(Table1[[#This Row],[Order_Date]],"MMM")</f>
        <v>Apr</v>
      </c>
      <c r="M1160" s="5" t="str">
        <f>IF(Table1[[#This Row],[Profit]]&gt;=1000,"Excellent",IF(Table1[[#This Row],[Profit]]&gt;=500,"Good", IF(Table1[[#This Row],[Profit]]&lt;500,"Low")))</f>
        <v>Low</v>
      </c>
      <c r="N1160" s="7" t="str">
        <f>TEXT(Table1[[#This Row],[Order_Date]],"YYY")</f>
        <v>2025</v>
      </c>
    </row>
    <row r="1161" spans="1:14" x14ac:dyDescent="0.3">
      <c r="A1161" s="4">
        <v>45751</v>
      </c>
      <c r="B1161" s="5" t="s">
        <v>13</v>
      </c>
      <c r="C1161" s="5" t="s">
        <v>31</v>
      </c>
      <c r="D1161" s="23">
        <v>215.11</v>
      </c>
      <c r="E1161" s="23">
        <v>48.22</v>
      </c>
      <c r="F1161" s="23">
        <v>166.89</v>
      </c>
      <c r="G1161" s="5" t="s">
        <v>2</v>
      </c>
      <c r="H1161" s="5" t="s">
        <v>30</v>
      </c>
      <c r="I1161" s="5" t="s">
        <v>22</v>
      </c>
      <c r="J1161" s="6">
        <f>Table1[[#This Row],[Profit]]/Table1[[#This Row],[Sales]]</f>
        <v>0.77583561898563513</v>
      </c>
      <c r="K1161" s="5" t="str">
        <f t="shared" si="18"/>
        <v>Low</v>
      </c>
      <c r="L1161" s="5" t="str">
        <f>TEXT(Table1[[#This Row],[Order_Date]],"MMM")</f>
        <v>Apr</v>
      </c>
      <c r="M1161" s="5" t="str">
        <f>IF(Table1[[#This Row],[Profit]]&gt;=1000,"Excellent",IF(Table1[[#This Row],[Profit]]&gt;=500,"Good", IF(Table1[[#This Row],[Profit]]&lt;500,"Low")))</f>
        <v>Low</v>
      </c>
      <c r="N1161" s="7" t="str">
        <f>TEXT(Table1[[#This Row],[Order_Date]],"YYY")</f>
        <v>2025</v>
      </c>
    </row>
    <row r="1162" spans="1:14" x14ac:dyDescent="0.3">
      <c r="A1162" s="4">
        <v>45752</v>
      </c>
      <c r="B1162" s="5" t="s">
        <v>18</v>
      </c>
      <c r="C1162" s="5" t="s">
        <v>31</v>
      </c>
      <c r="D1162" s="23">
        <v>170.64</v>
      </c>
      <c r="E1162" s="23">
        <v>58.34</v>
      </c>
      <c r="F1162" s="23">
        <v>112.3</v>
      </c>
      <c r="G1162" s="5" t="s">
        <v>2</v>
      </c>
      <c r="H1162" s="5" t="s">
        <v>34</v>
      </c>
      <c r="I1162" s="5" t="s">
        <v>25</v>
      </c>
      <c r="J1162" s="6">
        <f>Table1[[#This Row],[Profit]]/Table1[[#This Row],[Sales]]</f>
        <v>0.65811064228785754</v>
      </c>
      <c r="K1162" s="5" t="str">
        <f t="shared" si="18"/>
        <v>Low</v>
      </c>
      <c r="L1162" s="5" t="str">
        <f>TEXT(Table1[[#This Row],[Order_Date]],"MMM")</f>
        <v>Apr</v>
      </c>
      <c r="M1162" s="5" t="str">
        <f>IF(Table1[[#This Row],[Profit]]&gt;=1000,"Excellent",IF(Table1[[#This Row],[Profit]]&gt;=500,"Good", IF(Table1[[#This Row],[Profit]]&lt;500,"Low")))</f>
        <v>Low</v>
      </c>
      <c r="N1162" s="7" t="str">
        <f>TEXT(Table1[[#This Row],[Order_Date]],"YYY")</f>
        <v>2025</v>
      </c>
    </row>
    <row r="1163" spans="1:14" x14ac:dyDescent="0.3">
      <c r="A1163" s="4">
        <v>45752</v>
      </c>
      <c r="B1163" s="5" t="s">
        <v>0</v>
      </c>
      <c r="C1163" s="5" t="s">
        <v>23</v>
      </c>
      <c r="D1163" s="23">
        <v>209.07</v>
      </c>
      <c r="E1163" s="23">
        <v>71.319999999999993</v>
      </c>
      <c r="F1163" s="23">
        <v>137.75</v>
      </c>
      <c r="G1163" s="5" t="s">
        <v>2</v>
      </c>
      <c r="H1163" s="5" t="s">
        <v>10</v>
      </c>
      <c r="I1163" s="5" t="s">
        <v>17</v>
      </c>
      <c r="J1163" s="6">
        <f>Table1[[#This Row],[Profit]]/Table1[[#This Row],[Sales]]</f>
        <v>0.65887023484957197</v>
      </c>
      <c r="K1163" s="5" t="str">
        <f t="shared" si="18"/>
        <v>Low</v>
      </c>
      <c r="L1163" s="5" t="str">
        <f>TEXT(Table1[[#This Row],[Order_Date]],"MMM")</f>
        <v>Apr</v>
      </c>
      <c r="M1163" s="5" t="str">
        <f>IF(Table1[[#This Row],[Profit]]&gt;=1000,"Excellent",IF(Table1[[#This Row],[Profit]]&gt;=500,"Good", IF(Table1[[#This Row],[Profit]]&lt;500,"Low")))</f>
        <v>Low</v>
      </c>
      <c r="N1163" s="7" t="str">
        <f>TEXT(Table1[[#This Row],[Order_Date]],"YYY")</f>
        <v>2025</v>
      </c>
    </row>
    <row r="1164" spans="1:14" x14ac:dyDescent="0.3">
      <c r="A1164" s="4">
        <v>45752</v>
      </c>
      <c r="B1164" s="5" t="s">
        <v>18</v>
      </c>
      <c r="C1164" s="5" t="s">
        <v>1</v>
      </c>
      <c r="D1164" s="23">
        <v>273.3</v>
      </c>
      <c r="E1164" s="23">
        <v>156.84</v>
      </c>
      <c r="F1164" s="23">
        <v>116.46</v>
      </c>
      <c r="G1164" s="5" t="s">
        <v>9</v>
      </c>
      <c r="H1164" s="5" t="s">
        <v>34</v>
      </c>
      <c r="I1164" s="5" t="s">
        <v>27</v>
      </c>
      <c r="J1164" s="6">
        <f>Table1[[#This Row],[Profit]]/Table1[[#This Row],[Sales]]</f>
        <v>0.42612513721185508</v>
      </c>
      <c r="K1164" s="5" t="str">
        <f t="shared" si="18"/>
        <v>Low</v>
      </c>
      <c r="L1164" s="5" t="str">
        <f>TEXT(Table1[[#This Row],[Order_Date]],"MMM")</f>
        <v>Apr</v>
      </c>
      <c r="M1164" s="5" t="str">
        <f>IF(Table1[[#This Row],[Profit]]&gt;=1000,"Excellent",IF(Table1[[#This Row],[Profit]]&gt;=500,"Good", IF(Table1[[#This Row],[Profit]]&lt;500,"Low")))</f>
        <v>Low</v>
      </c>
      <c r="N1164" s="7" t="str">
        <f>TEXT(Table1[[#This Row],[Order_Date]],"YYY")</f>
        <v>2025</v>
      </c>
    </row>
    <row r="1165" spans="1:14" x14ac:dyDescent="0.3">
      <c r="A1165" s="4">
        <v>45753</v>
      </c>
      <c r="B1165" s="5" t="s">
        <v>13</v>
      </c>
      <c r="C1165" s="5" t="s">
        <v>31</v>
      </c>
      <c r="D1165" s="23">
        <v>192.46</v>
      </c>
      <c r="E1165" s="23">
        <v>75.36</v>
      </c>
      <c r="F1165" s="23">
        <v>117.1</v>
      </c>
      <c r="G1165" s="5" t="s">
        <v>20</v>
      </c>
      <c r="H1165" s="5" t="s">
        <v>28</v>
      </c>
      <c r="I1165" s="5" t="s">
        <v>25</v>
      </c>
      <c r="J1165" s="6">
        <f>Table1[[#This Row],[Profit]]/Table1[[#This Row],[Sales]]</f>
        <v>0.608438117011327</v>
      </c>
      <c r="K1165" s="5" t="str">
        <f t="shared" si="18"/>
        <v>Low</v>
      </c>
      <c r="L1165" s="5" t="str">
        <f>TEXT(Table1[[#This Row],[Order_Date]],"MMM")</f>
        <v>Apr</v>
      </c>
      <c r="M1165" s="5" t="str">
        <f>IF(Table1[[#This Row],[Profit]]&gt;=1000,"Excellent",IF(Table1[[#This Row],[Profit]]&gt;=500,"Good", IF(Table1[[#This Row],[Profit]]&lt;500,"Low")))</f>
        <v>Low</v>
      </c>
      <c r="N1165" s="7" t="str">
        <f>TEXT(Table1[[#This Row],[Order_Date]],"YYY")</f>
        <v>2025</v>
      </c>
    </row>
    <row r="1166" spans="1:14" x14ac:dyDescent="0.3">
      <c r="A1166" s="4">
        <v>45753</v>
      </c>
      <c r="B1166" s="5" t="s">
        <v>13</v>
      </c>
      <c r="C1166" s="5" t="s">
        <v>23</v>
      </c>
      <c r="D1166" s="23">
        <v>202.39</v>
      </c>
      <c r="E1166" s="23">
        <v>67.430000000000007</v>
      </c>
      <c r="F1166" s="23">
        <v>134.96</v>
      </c>
      <c r="G1166" s="5" t="s">
        <v>20</v>
      </c>
      <c r="H1166" s="5" t="s">
        <v>30</v>
      </c>
      <c r="I1166" s="5" t="s">
        <v>17</v>
      </c>
      <c r="J1166" s="6">
        <f>Table1[[#This Row],[Profit]]/Table1[[#This Row],[Sales]]</f>
        <v>0.66683136518602704</v>
      </c>
      <c r="K1166" s="5" t="str">
        <f t="shared" si="18"/>
        <v>Low</v>
      </c>
      <c r="L1166" s="5" t="str">
        <f>TEXT(Table1[[#This Row],[Order_Date]],"MMM")</f>
        <v>Apr</v>
      </c>
      <c r="M1166" s="5" t="str">
        <f>IF(Table1[[#This Row],[Profit]]&gt;=1000,"Excellent",IF(Table1[[#This Row],[Profit]]&gt;=500,"Good", IF(Table1[[#This Row],[Profit]]&lt;500,"Low")))</f>
        <v>Low</v>
      </c>
      <c r="N1166" s="7" t="str">
        <f>TEXT(Table1[[#This Row],[Order_Date]],"YYY")</f>
        <v>2025</v>
      </c>
    </row>
    <row r="1167" spans="1:14" x14ac:dyDescent="0.3">
      <c r="A1167" s="4">
        <v>45753</v>
      </c>
      <c r="B1167" s="5" t="s">
        <v>16</v>
      </c>
      <c r="C1167" s="5" t="s">
        <v>26</v>
      </c>
      <c r="D1167" s="23">
        <v>1105.9100000000001</v>
      </c>
      <c r="E1167" s="23">
        <v>483.17</v>
      </c>
      <c r="F1167" s="23">
        <v>622.74</v>
      </c>
      <c r="G1167" s="5" t="s">
        <v>6</v>
      </c>
      <c r="H1167" s="5" t="s">
        <v>30</v>
      </c>
      <c r="I1167" s="5" t="s">
        <v>27</v>
      </c>
      <c r="J1167" s="6">
        <f>Table1[[#This Row],[Profit]]/Table1[[#This Row],[Sales]]</f>
        <v>0.56310187989981098</v>
      </c>
      <c r="K1167" s="5" t="str">
        <f t="shared" si="18"/>
        <v>Low</v>
      </c>
      <c r="L1167" s="5" t="str">
        <f>TEXT(Table1[[#This Row],[Order_Date]],"MMM")</f>
        <v>Apr</v>
      </c>
      <c r="M1167" s="5" t="str">
        <f>IF(Table1[[#This Row],[Profit]]&gt;=1000,"Excellent",IF(Table1[[#This Row],[Profit]]&gt;=500,"Good", IF(Table1[[#This Row],[Profit]]&lt;500,"Low")))</f>
        <v>Good</v>
      </c>
      <c r="N1167" s="7" t="str">
        <f>TEXT(Table1[[#This Row],[Order_Date]],"YYY")</f>
        <v>2025</v>
      </c>
    </row>
    <row r="1168" spans="1:14" x14ac:dyDescent="0.3">
      <c r="A1168" s="4">
        <v>45755</v>
      </c>
      <c r="B1168" s="5" t="s">
        <v>8</v>
      </c>
      <c r="C1168" s="5" t="s">
        <v>31</v>
      </c>
      <c r="D1168" s="23">
        <v>154.77000000000001</v>
      </c>
      <c r="E1168" s="23">
        <v>31.78</v>
      </c>
      <c r="F1168" s="23">
        <v>122.99</v>
      </c>
      <c r="G1168" s="5" t="s">
        <v>6</v>
      </c>
      <c r="H1168" s="5" t="s">
        <v>33</v>
      </c>
      <c r="I1168" s="5" t="s">
        <v>27</v>
      </c>
      <c r="J1168" s="6">
        <f>Table1[[#This Row],[Profit]]/Table1[[#This Row],[Sales]]</f>
        <v>0.79466304839439161</v>
      </c>
      <c r="K1168" s="5" t="str">
        <f t="shared" si="18"/>
        <v>Low</v>
      </c>
      <c r="L1168" s="5" t="str">
        <f>TEXT(Table1[[#This Row],[Order_Date]],"MMM")</f>
        <v>Apr</v>
      </c>
      <c r="M1168" s="5" t="str">
        <f>IF(Table1[[#This Row],[Profit]]&gt;=1000,"Excellent",IF(Table1[[#This Row],[Profit]]&gt;=500,"Good", IF(Table1[[#This Row],[Profit]]&lt;500,"Low")))</f>
        <v>Low</v>
      </c>
      <c r="N1168" s="7" t="str">
        <f>TEXT(Table1[[#This Row],[Order_Date]],"YYY")</f>
        <v>2025</v>
      </c>
    </row>
    <row r="1169" spans="1:14" x14ac:dyDescent="0.3">
      <c r="A1169" s="4">
        <v>45755</v>
      </c>
      <c r="B1169" s="5" t="s">
        <v>13</v>
      </c>
      <c r="C1169" s="5" t="s">
        <v>31</v>
      </c>
      <c r="D1169" s="23">
        <v>225.64</v>
      </c>
      <c r="E1169" s="23">
        <v>47.03</v>
      </c>
      <c r="F1169" s="23">
        <v>178.61</v>
      </c>
      <c r="G1169" s="5" t="s">
        <v>6</v>
      </c>
      <c r="H1169" s="5" t="s">
        <v>35</v>
      </c>
      <c r="I1169" s="5" t="s">
        <v>25</v>
      </c>
      <c r="J1169" s="6">
        <f>Table1[[#This Row],[Profit]]/Table1[[#This Row],[Sales]]</f>
        <v>0.79157064350292516</v>
      </c>
      <c r="K1169" s="5" t="str">
        <f t="shared" si="18"/>
        <v>Low</v>
      </c>
      <c r="L1169" s="5" t="str">
        <f>TEXT(Table1[[#This Row],[Order_Date]],"MMM")</f>
        <v>Apr</v>
      </c>
      <c r="M1169" s="5" t="str">
        <f>IF(Table1[[#This Row],[Profit]]&gt;=1000,"Excellent",IF(Table1[[#This Row],[Profit]]&gt;=500,"Good", IF(Table1[[#This Row],[Profit]]&lt;500,"Low")))</f>
        <v>Low</v>
      </c>
      <c r="N1169" s="7" t="str">
        <f>TEXT(Table1[[#This Row],[Order_Date]],"YYY")</f>
        <v>2025</v>
      </c>
    </row>
    <row r="1170" spans="1:14" x14ac:dyDescent="0.3">
      <c r="A1170" s="4">
        <v>45756</v>
      </c>
      <c r="B1170" s="5" t="s">
        <v>18</v>
      </c>
      <c r="C1170" s="5" t="s">
        <v>31</v>
      </c>
      <c r="D1170" s="23">
        <v>129.76</v>
      </c>
      <c r="E1170" s="23">
        <v>46.61</v>
      </c>
      <c r="F1170" s="23">
        <v>83.15</v>
      </c>
      <c r="G1170" s="5" t="s">
        <v>20</v>
      </c>
      <c r="H1170" s="5" t="s">
        <v>36</v>
      </c>
      <c r="I1170" s="5" t="s">
        <v>4</v>
      </c>
      <c r="J1170" s="6">
        <f>Table1[[#This Row],[Profit]]/Table1[[#This Row],[Sales]]</f>
        <v>0.64079839704069064</v>
      </c>
      <c r="K1170" s="5" t="str">
        <f t="shared" si="18"/>
        <v>Low</v>
      </c>
      <c r="L1170" s="5" t="str">
        <f>TEXT(Table1[[#This Row],[Order_Date]],"MMM")</f>
        <v>Apr</v>
      </c>
      <c r="M1170" s="5" t="str">
        <f>IF(Table1[[#This Row],[Profit]]&gt;=1000,"Excellent",IF(Table1[[#This Row],[Profit]]&gt;=500,"Good", IF(Table1[[#This Row],[Profit]]&lt;500,"Low")))</f>
        <v>Low</v>
      </c>
      <c r="N1170" s="7" t="str">
        <f>TEXT(Table1[[#This Row],[Order_Date]],"YYY")</f>
        <v>2025</v>
      </c>
    </row>
    <row r="1171" spans="1:14" x14ac:dyDescent="0.3">
      <c r="A1171" s="4">
        <v>45756</v>
      </c>
      <c r="B1171" s="5" t="s">
        <v>16</v>
      </c>
      <c r="C1171" s="5" t="s">
        <v>1</v>
      </c>
      <c r="D1171" s="23">
        <v>365.15</v>
      </c>
      <c r="E1171" s="23">
        <v>236.46</v>
      </c>
      <c r="F1171" s="23">
        <v>128.69</v>
      </c>
      <c r="G1171" s="5" t="s">
        <v>6</v>
      </c>
      <c r="H1171" s="5" t="s">
        <v>7</v>
      </c>
      <c r="I1171" s="5" t="s">
        <v>27</v>
      </c>
      <c r="J1171" s="6">
        <f>Table1[[#This Row],[Profit]]/Table1[[#This Row],[Sales]]</f>
        <v>0.35243050801040671</v>
      </c>
      <c r="K1171" s="5" t="str">
        <f t="shared" si="18"/>
        <v>Low</v>
      </c>
      <c r="L1171" s="5" t="str">
        <f>TEXT(Table1[[#This Row],[Order_Date]],"MMM")</f>
        <v>Apr</v>
      </c>
      <c r="M1171" s="5" t="str">
        <f>IF(Table1[[#This Row],[Profit]]&gt;=1000,"Excellent",IF(Table1[[#This Row],[Profit]]&gt;=500,"Good", IF(Table1[[#This Row],[Profit]]&lt;500,"Low")))</f>
        <v>Low</v>
      </c>
      <c r="N1171" s="7" t="str">
        <f>TEXT(Table1[[#This Row],[Order_Date]],"YYY")</f>
        <v>2025</v>
      </c>
    </row>
    <row r="1172" spans="1:14" x14ac:dyDescent="0.3">
      <c r="A1172" s="4">
        <v>45756</v>
      </c>
      <c r="B1172" s="5" t="s">
        <v>13</v>
      </c>
      <c r="C1172" s="5" t="s">
        <v>23</v>
      </c>
      <c r="D1172" s="23">
        <v>417.88</v>
      </c>
      <c r="E1172" s="23">
        <v>127.62</v>
      </c>
      <c r="F1172" s="23">
        <v>290.26</v>
      </c>
      <c r="G1172" s="5" t="s">
        <v>9</v>
      </c>
      <c r="H1172" s="5" t="s">
        <v>15</v>
      </c>
      <c r="I1172" s="5" t="s">
        <v>17</v>
      </c>
      <c r="J1172" s="6">
        <f>Table1[[#This Row],[Profit]]/Table1[[#This Row],[Sales]]</f>
        <v>0.69460132095338378</v>
      </c>
      <c r="K1172" s="5" t="str">
        <f t="shared" si="18"/>
        <v>Low</v>
      </c>
      <c r="L1172" s="5" t="str">
        <f>TEXT(Table1[[#This Row],[Order_Date]],"MMM")</f>
        <v>Apr</v>
      </c>
      <c r="M1172" s="5" t="str">
        <f>IF(Table1[[#This Row],[Profit]]&gt;=1000,"Excellent",IF(Table1[[#This Row],[Profit]]&gt;=500,"Good", IF(Table1[[#This Row],[Profit]]&lt;500,"Low")))</f>
        <v>Low</v>
      </c>
      <c r="N1172" s="7" t="str">
        <f>TEXT(Table1[[#This Row],[Order_Date]],"YYY")</f>
        <v>2025</v>
      </c>
    </row>
    <row r="1173" spans="1:14" x14ac:dyDescent="0.3">
      <c r="A1173" s="4">
        <v>45756</v>
      </c>
      <c r="B1173" s="5" t="s">
        <v>8</v>
      </c>
      <c r="C1173" s="5" t="s">
        <v>23</v>
      </c>
      <c r="D1173" s="23">
        <v>748.88</v>
      </c>
      <c r="E1173" s="23">
        <v>336.91</v>
      </c>
      <c r="F1173" s="23">
        <v>411.97</v>
      </c>
      <c r="G1173" s="5" t="s">
        <v>6</v>
      </c>
      <c r="H1173" s="5" t="s">
        <v>33</v>
      </c>
      <c r="I1173" s="5" t="s">
        <v>11</v>
      </c>
      <c r="J1173" s="6">
        <f>Table1[[#This Row],[Profit]]/Table1[[#This Row],[Sales]]</f>
        <v>0.55011483815831641</v>
      </c>
      <c r="K1173" s="5" t="str">
        <f t="shared" si="18"/>
        <v>Low</v>
      </c>
      <c r="L1173" s="5" t="str">
        <f>TEXT(Table1[[#This Row],[Order_Date]],"MMM")</f>
        <v>Apr</v>
      </c>
      <c r="M1173" s="5" t="str">
        <f>IF(Table1[[#This Row],[Profit]]&gt;=1000,"Excellent",IF(Table1[[#This Row],[Profit]]&gt;=500,"Good", IF(Table1[[#This Row],[Profit]]&lt;500,"Low")))</f>
        <v>Low</v>
      </c>
      <c r="N1173" s="7" t="str">
        <f>TEXT(Table1[[#This Row],[Order_Date]],"YYY")</f>
        <v>2025</v>
      </c>
    </row>
    <row r="1174" spans="1:14" x14ac:dyDescent="0.3">
      <c r="A1174" s="4">
        <v>45758</v>
      </c>
      <c r="B1174" s="5" t="s">
        <v>8</v>
      </c>
      <c r="C1174" s="5" t="s">
        <v>23</v>
      </c>
      <c r="D1174" s="23">
        <v>745.09</v>
      </c>
      <c r="E1174" s="23">
        <v>259.49</v>
      </c>
      <c r="F1174" s="23">
        <v>485.6</v>
      </c>
      <c r="G1174" s="5" t="s">
        <v>6</v>
      </c>
      <c r="H1174" s="5" t="s">
        <v>10</v>
      </c>
      <c r="I1174" s="5" t="s">
        <v>4</v>
      </c>
      <c r="J1174" s="6">
        <f>Table1[[#This Row],[Profit]]/Table1[[#This Row],[Sales]]</f>
        <v>0.65173334764927726</v>
      </c>
      <c r="K1174" s="5" t="str">
        <f t="shared" si="18"/>
        <v>Low</v>
      </c>
      <c r="L1174" s="5" t="str">
        <f>TEXT(Table1[[#This Row],[Order_Date]],"MMM")</f>
        <v>Apr</v>
      </c>
      <c r="M1174" s="5" t="str">
        <f>IF(Table1[[#This Row],[Profit]]&gt;=1000,"Excellent",IF(Table1[[#This Row],[Profit]]&gt;=500,"Good", IF(Table1[[#This Row],[Profit]]&lt;500,"Low")))</f>
        <v>Low</v>
      </c>
      <c r="N1174" s="7" t="str">
        <f>TEXT(Table1[[#This Row],[Order_Date]],"YYY")</f>
        <v>2025</v>
      </c>
    </row>
    <row r="1175" spans="1:14" x14ac:dyDescent="0.3">
      <c r="A1175" s="4">
        <v>45758</v>
      </c>
      <c r="B1175" s="5" t="s">
        <v>8</v>
      </c>
      <c r="C1175" s="5" t="s">
        <v>14</v>
      </c>
      <c r="D1175" s="23">
        <v>58.17</v>
      </c>
      <c r="E1175" s="23">
        <v>21.74</v>
      </c>
      <c r="F1175" s="23">
        <v>36.43</v>
      </c>
      <c r="G1175" s="5" t="s">
        <v>20</v>
      </c>
      <c r="H1175" s="5" t="s">
        <v>15</v>
      </c>
      <c r="I1175" s="5" t="s">
        <v>22</v>
      </c>
      <c r="J1175" s="6">
        <f>Table1[[#This Row],[Profit]]/Table1[[#This Row],[Sales]]</f>
        <v>0.62626783565411726</v>
      </c>
      <c r="K1175" s="5" t="str">
        <f t="shared" si="18"/>
        <v>Low</v>
      </c>
      <c r="L1175" s="5" t="str">
        <f>TEXT(Table1[[#This Row],[Order_Date]],"MMM")</f>
        <v>Apr</v>
      </c>
      <c r="M1175" s="5" t="str">
        <f>IF(Table1[[#This Row],[Profit]]&gt;=1000,"Excellent",IF(Table1[[#This Row],[Profit]]&gt;=500,"Good", IF(Table1[[#This Row],[Profit]]&lt;500,"Low")))</f>
        <v>Low</v>
      </c>
      <c r="N1175" s="7" t="str">
        <f>TEXT(Table1[[#This Row],[Order_Date]],"YYY")</f>
        <v>2025</v>
      </c>
    </row>
    <row r="1176" spans="1:14" x14ac:dyDescent="0.3">
      <c r="A1176" s="4">
        <v>45759</v>
      </c>
      <c r="B1176" s="5" t="s">
        <v>0</v>
      </c>
      <c r="C1176" s="5" t="s">
        <v>5</v>
      </c>
      <c r="D1176" s="23">
        <v>1696.19</v>
      </c>
      <c r="E1176" s="23">
        <v>719.72</v>
      </c>
      <c r="F1176" s="23">
        <v>976.47</v>
      </c>
      <c r="G1176" s="5" t="s">
        <v>32</v>
      </c>
      <c r="H1176" s="5" t="s">
        <v>15</v>
      </c>
      <c r="I1176" s="5" t="s">
        <v>27</v>
      </c>
      <c r="J1176" s="6">
        <f>Table1[[#This Row],[Profit]]/Table1[[#This Row],[Sales]]</f>
        <v>0.57568432781704881</v>
      </c>
      <c r="K1176" s="5" t="str">
        <f t="shared" si="18"/>
        <v>Medium</v>
      </c>
      <c r="L1176" s="5" t="str">
        <f>TEXT(Table1[[#This Row],[Order_Date]],"MMM")</f>
        <v>Apr</v>
      </c>
      <c r="M1176" s="5" t="str">
        <f>IF(Table1[[#This Row],[Profit]]&gt;=1000,"Excellent",IF(Table1[[#This Row],[Profit]]&gt;=500,"Good", IF(Table1[[#This Row],[Profit]]&lt;500,"Low")))</f>
        <v>Good</v>
      </c>
      <c r="N1176" s="7" t="str">
        <f>TEXT(Table1[[#This Row],[Order_Date]],"YYY")</f>
        <v>2025</v>
      </c>
    </row>
    <row r="1177" spans="1:14" x14ac:dyDescent="0.3">
      <c r="A1177" s="4">
        <v>45760</v>
      </c>
      <c r="B1177" s="5" t="s">
        <v>16</v>
      </c>
      <c r="C1177" s="5" t="s">
        <v>19</v>
      </c>
      <c r="D1177" s="23">
        <v>7.71</v>
      </c>
      <c r="E1177" s="23">
        <v>2.4500000000000002</v>
      </c>
      <c r="F1177" s="23">
        <v>5.26</v>
      </c>
      <c r="G1177" s="5" t="s">
        <v>6</v>
      </c>
      <c r="H1177" s="5" t="s">
        <v>36</v>
      </c>
      <c r="I1177" s="5" t="s">
        <v>27</v>
      </c>
      <c r="J1177" s="6">
        <f>Table1[[#This Row],[Profit]]/Table1[[#This Row],[Sales]]</f>
        <v>0.68223086900129704</v>
      </c>
      <c r="K1177" s="5" t="str">
        <f t="shared" si="18"/>
        <v>Low</v>
      </c>
      <c r="L1177" s="5" t="str">
        <f>TEXT(Table1[[#This Row],[Order_Date]],"MMM")</f>
        <v>Apr</v>
      </c>
      <c r="M1177" s="5" t="str">
        <f>IF(Table1[[#This Row],[Profit]]&gt;=1000,"Excellent",IF(Table1[[#This Row],[Profit]]&gt;=500,"Good", IF(Table1[[#This Row],[Profit]]&lt;500,"Low")))</f>
        <v>Low</v>
      </c>
      <c r="N1177" s="7" t="str">
        <f>TEXT(Table1[[#This Row],[Order_Date]],"YYY")</f>
        <v>2025</v>
      </c>
    </row>
    <row r="1178" spans="1:14" x14ac:dyDescent="0.3">
      <c r="A1178" s="4">
        <v>45760</v>
      </c>
      <c r="B1178" s="5" t="s">
        <v>18</v>
      </c>
      <c r="C1178" s="5" t="s">
        <v>31</v>
      </c>
      <c r="D1178" s="23">
        <v>252.23</v>
      </c>
      <c r="E1178" s="23">
        <v>87.13</v>
      </c>
      <c r="F1178" s="23">
        <v>165.1</v>
      </c>
      <c r="G1178" s="5" t="s">
        <v>9</v>
      </c>
      <c r="H1178" s="5" t="s">
        <v>37</v>
      </c>
      <c r="I1178" s="5" t="s">
        <v>27</v>
      </c>
      <c r="J1178" s="6">
        <f>Table1[[#This Row],[Profit]]/Table1[[#This Row],[Sales]]</f>
        <v>0.65456131308726162</v>
      </c>
      <c r="K1178" s="5" t="str">
        <f t="shared" si="18"/>
        <v>Low</v>
      </c>
      <c r="L1178" s="5" t="str">
        <f>TEXT(Table1[[#This Row],[Order_Date]],"MMM")</f>
        <v>Apr</v>
      </c>
      <c r="M1178" s="5" t="str">
        <f>IF(Table1[[#This Row],[Profit]]&gt;=1000,"Excellent",IF(Table1[[#This Row],[Profit]]&gt;=500,"Good", IF(Table1[[#This Row],[Profit]]&lt;500,"Low")))</f>
        <v>Low</v>
      </c>
      <c r="N1178" s="7" t="str">
        <f>TEXT(Table1[[#This Row],[Order_Date]],"YYY")</f>
        <v>2025</v>
      </c>
    </row>
    <row r="1179" spans="1:14" x14ac:dyDescent="0.3">
      <c r="A1179" s="4">
        <v>45761</v>
      </c>
      <c r="B1179" s="5" t="s">
        <v>13</v>
      </c>
      <c r="C1179" s="5" t="s">
        <v>31</v>
      </c>
      <c r="D1179" s="23">
        <v>204.22</v>
      </c>
      <c r="E1179" s="23">
        <v>68.86</v>
      </c>
      <c r="F1179" s="23">
        <v>135.36000000000001</v>
      </c>
      <c r="G1179" s="5" t="s">
        <v>6</v>
      </c>
      <c r="H1179" s="5" t="s">
        <v>21</v>
      </c>
      <c r="I1179" s="5" t="s">
        <v>22</v>
      </c>
      <c r="J1179" s="6">
        <f>Table1[[#This Row],[Profit]]/Table1[[#This Row],[Sales]]</f>
        <v>0.66281461169327205</v>
      </c>
      <c r="K1179" s="5" t="str">
        <f t="shared" si="18"/>
        <v>Low</v>
      </c>
      <c r="L1179" s="5" t="str">
        <f>TEXT(Table1[[#This Row],[Order_Date]],"MMM")</f>
        <v>Apr</v>
      </c>
      <c r="M1179" s="5" t="str">
        <f>IF(Table1[[#This Row],[Profit]]&gt;=1000,"Excellent",IF(Table1[[#This Row],[Profit]]&gt;=500,"Good", IF(Table1[[#This Row],[Profit]]&lt;500,"Low")))</f>
        <v>Low</v>
      </c>
      <c r="N1179" s="7" t="str">
        <f>TEXT(Table1[[#This Row],[Order_Date]],"YYY")</f>
        <v>2025</v>
      </c>
    </row>
    <row r="1180" spans="1:14" x14ac:dyDescent="0.3">
      <c r="A1180" s="4">
        <v>45761</v>
      </c>
      <c r="B1180" s="5" t="s">
        <v>16</v>
      </c>
      <c r="C1180" s="5" t="s">
        <v>23</v>
      </c>
      <c r="D1180" s="23">
        <v>562.72</v>
      </c>
      <c r="E1180" s="23">
        <v>190.33</v>
      </c>
      <c r="F1180" s="23">
        <v>372.39</v>
      </c>
      <c r="G1180" s="5" t="s">
        <v>32</v>
      </c>
      <c r="H1180" s="5" t="s">
        <v>7</v>
      </c>
      <c r="I1180" s="5" t="s">
        <v>25</v>
      </c>
      <c r="J1180" s="6">
        <f>Table1[[#This Row],[Profit]]/Table1[[#This Row],[Sales]]</f>
        <v>0.66176784191071936</v>
      </c>
      <c r="K1180" s="5" t="str">
        <f t="shared" si="18"/>
        <v>Low</v>
      </c>
      <c r="L1180" s="5" t="str">
        <f>TEXT(Table1[[#This Row],[Order_Date]],"MMM")</f>
        <v>Apr</v>
      </c>
      <c r="M1180" s="5" t="str">
        <f>IF(Table1[[#This Row],[Profit]]&gt;=1000,"Excellent",IF(Table1[[#This Row],[Profit]]&gt;=500,"Good", IF(Table1[[#This Row],[Profit]]&lt;500,"Low")))</f>
        <v>Low</v>
      </c>
      <c r="N1180" s="7" t="str">
        <f>TEXT(Table1[[#This Row],[Order_Date]],"YYY")</f>
        <v>2025</v>
      </c>
    </row>
    <row r="1181" spans="1:14" x14ac:dyDescent="0.3">
      <c r="A1181" s="4">
        <v>45762</v>
      </c>
      <c r="B1181" s="5" t="s">
        <v>13</v>
      </c>
      <c r="C1181" s="5" t="s">
        <v>19</v>
      </c>
      <c r="D1181" s="23">
        <v>88.4</v>
      </c>
      <c r="E1181" s="23">
        <v>27.11</v>
      </c>
      <c r="F1181" s="23">
        <v>61.29</v>
      </c>
      <c r="G1181" s="5" t="s">
        <v>9</v>
      </c>
      <c r="H1181" s="5" t="s">
        <v>3</v>
      </c>
      <c r="I1181" s="5" t="s">
        <v>4</v>
      </c>
      <c r="J1181" s="6">
        <f>Table1[[#This Row],[Profit]]/Table1[[#This Row],[Sales]]</f>
        <v>0.6933257918552036</v>
      </c>
      <c r="K1181" s="5" t="str">
        <f t="shared" si="18"/>
        <v>Low</v>
      </c>
      <c r="L1181" s="5" t="str">
        <f>TEXT(Table1[[#This Row],[Order_Date]],"MMM")</f>
        <v>Apr</v>
      </c>
      <c r="M1181" s="5" t="str">
        <f>IF(Table1[[#This Row],[Profit]]&gt;=1000,"Excellent",IF(Table1[[#This Row],[Profit]]&gt;=500,"Good", IF(Table1[[#This Row],[Profit]]&lt;500,"Low")))</f>
        <v>Low</v>
      </c>
      <c r="N1181" s="7" t="str">
        <f>TEXT(Table1[[#This Row],[Order_Date]],"YYY")</f>
        <v>2025</v>
      </c>
    </row>
    <row r="1182" spans="1:14" x14ac:dyDescent="0.3">
      <c r="A1182" s="4">
        <v>45762</v>
      </c>
      <c r="B1182" s="5" t="s">
        <v>16</v>
      </c>
      <c r="C1182" s="5" t="s">
        <v>14</v>
      </c>
      <c r="D1182" s="23">
        <v>200.44</v>
      </c>
      <c r="E1182" s="23">
        <v>97.9</v>
      </c>
      <c r="F1182" s="23">
        <v>102.54</v>
      </c>
      <c r="G1182" s="5" t="s">
        <v>6</v>
      </c>
      <c r="H1182" s="5" t="s">
        <v>10</v>
      </c>
      <c r="I1182" s="5" t="s">
        <v>22</v>
      </c>
      <c r="J1182" s="6">
        <f>Table1[[#This Row],[Profit]]/Table1[[#This Row],[Sales]]</f>
        <v>0.51157453602075442</v>
      </c>
      <c r="K1182" s="5" t="str">
        <f t="shared" si="18"/>
        <v>Low</v>
      </c>
      <c r="L1182" s="5" t="str">
        <f>TEXT(Table1[[#This Row],[Order_Date]],"MMM")</f>
        <v>Apr</v>
      </c>
      <c r="M1182" s="5" t="str">
        <f>IF(Table1[[#This Row],[Profit]]&gt;=1000,"Excellent",IF(Table1[[#This Row],[Profit]]&gt;=500,"Good", IF(Table1[[#This Row],[Profit]]&lt;500,"Low")))</f>
        <v>Low</v>
      </c>
      <c r="N1182" s="7" t="str">
        <f>TEXT(Table1[[#This Row],[Order_Date]],"YYY")</f>
        <v>2025</v>
      </c>
    </row>
    <row r="1183" spans="1:14" x14ac:dyDescent="0.3">
      <c r="A1183" s="4">
        <v>45762</v>
      </c>
      <c r="B1183" s="5" t="s">
        <v>13</v>
      </c>
      <c r="C1183" s="5" t="s">
        <v>26</v>
      </c>
      <c r="D1183" s="23">
        <v>1109.8800000000001</v>
      </c>
      <c r="E1183" s="23">
        <v>479.37</v>
      </c>
      <c r="F1183" s="23">
        <v>630.51</v>
      </c>
      <c r="G1183" s="5" t="s">
        <v>2</v>
      </c>
      <c r="H1183" s="5" t="s">
        <v>15</v>
      </c>
      <c r="I1183" s="5" t="s">
        <v>4</v>
      </c>
      <c r="J1183" s="6">
        <f>Table1[[#This Row],[Profit]]/Table1[[#This Row],[Sales]]</f>
        <v>0.56808844199372899</v>
      </c>
      <c r="K1183" s="5" t="str">
        <f t="shared" si="18"/>
        <v>Low</v>
      </c>
      <c r="L1183" s="5" t="str">
        <f>TEXT(Table1[[#This Row],[Order_Date]],"MMM")</f>
        <v>Apr</v>
      </c>
      <c r="M1183" s="5" t="str">
        <f>IF(Table1[[#This Row],[Profit]]&gt;=1000,"Excellent",IF(Table1[[#This Row],[Profit]]&gt;=500,"Good", IF(Table1[[#This Row],[Profit]]&lt;500,"Low")))</f>
        <v>Good</v>
      </c>
      <c r="N1183" s="7" t="str">
        <f>TEXT(Table1[[#This Row],[Order_Date]],"YYY")</f>
        <v>2025</v>
      </c>
    </row>
    <row r="1184" spans="1:14" x14ac:dyDescent="0.3">
      <c r="A1184" s="4">
        <v>45763</v>
      </c>
      <c r="B1184" s="5" t="s">
        <v>13</v>
      </c>
      <c r="C1184" s="5" t="s">
        <v>31</v>
      </c>
      <c r="D1184" s="23">
        <v>252.44</v>
      </c>
      <c r="E1184" s="23">
        <v>86.18</v>
      </c>
      <c r="F1184" s="23">
        <v>166.26</v>
      </c>
      <c r="G1184" s="5" t="s">
        <v>9</v>
      </c>
      <c r="H1184" s="5" t="s">
        <v>15</v>
      </c>
      <c r="I1184" s="5" t="s">
        <v>22</v>
      </c>
      <c r="J1184" s="6">
        <f>Table1[[#This Row],[Profit]]/Table1[[#This Row],[Sales]]</f>
        <v>0.65861194739343998</v>
      </c>
      <c r="K1184" s="5" t="str">
        <f t="shared" si="18"/>
        <v>Low</v>
      </c>
      <c r="L1184" s="5" t="str">
        <f>TEXT(Table1[[#This Row],[Order_Date]],"MMM")</f>
        <v>Apr</v>
      </c>
      <c r="M1184" s="5" t="str">
        <f>IF(Table1[[#This Row],[Profit]]&gt;=1000,"Excellent",IF(Table1[[#This Row],[Profit]]&gt;=500,"Good", IF(Table1[[#This Row],[Profit]]&lt;500,"Low")))</f>
        <v>Low</v>
      </c>
      <c r="N1184" s="7" t="str">
        <f>TEXT(Table1[[#This Row],[Order_Date]],"YYY")</f>
        <v>2025</v>
      </c>
    </row>
    <row r="1185" spans="1:14" x14ac:dyDescent="0.3">
      <c r="A1185" s="4">
        <v>45764</v>
      </c>
      <c r="B1185" s="5" t="s">
        <v>18</v>
      </c>
      <c r="C1185" s="5" t="s">
        <v>14</v>
      </c>
      <c r="D1185" s="23">
        <v>144.77000000000001</v>
      </c>
      <c r="E1185" s="23">
        <v>55.76</v>
      </c>
      <c r="F1185" s="23">
        <v>89.01</v>
      </c>
      <c r="G1185" s="5" t="s">
        <v>20</v>
      </c>
      <c r="H1185" s="5" t="s">
        <v>37</v>
      </c>
      <c r="I1185" s="5" t="s">
        <v>4</v>
      </c>
      <c r="J1185" s="6">
        <f>Table1[[#This Row],[Profit]]/Table1[[#This Row],[Sales]]</f>
        <v>0.614837328175727</v>
      </c>
      <c r="K1185" s="5" t="str">
        <f t="shared" si="18"/>
        <v>Low</v>
      </c>
      <c r="L1185" s="5" t="str">
        <f>TEXT(Table1[[#This Row],[Order_Date]],"MMM")</f>
        <v>Apr</v>
      </c>
      <c r="M1185" s="5" t="str">
        <f>IF(Table1[[#This Row],[Profit]]&gt;=1000,"Excellent",IF(Table1[[#This Row],[Profit]]&gt;=500,"Good", IF(Table1[[#This Row],[Profit]]&lt;500,"Low")))</f>
        <v>Low</v>
      </c>
      <c r="N1185" s="7" t="str">
        <f>TEXT(Table1[[#This Row],[Order_Date]],"YYY")</f>
        <v>2025</v>
      </c>
    </row>
    <row r="1186" spans="1:14" x14ac:dyDescent="0.3">
      <c r="A1186" s="4">
        <v>45764</v>
      </c>
      <c r="B1186" s="5" t="s">
        <v>13</v>
      </c>
      <c r="C1186" s="5" t="s">
        <v>31</v>
      </c>
      <c r="D1186" s="23">
        <v>288.16000000000003</v>
      </c>
      <c r="E1186" s="23">
        <v>58.05</v>
      </c>
      <c r="F1186" s="23">
        <v>230.11</v>
      </c>
      <c r="G1186" s="5" t="s">
        <v>9</v>
      </c>
      <c r="H1186" s="5" t="s">
        <v>28</v>
      </c>
      <c r="I1186" s="5" t="s">
        <v>17</v>
      </c>
      <c r="J1186" s="6">
        <f>Table1[[#This Row],[Profit]]/Table1[[#This Row],[Sales]]</f>
        <v>0.79854941699056081</v>
      </c>
      <c r="K1186" s="5" t="str">
        <f t="shared" si="18"/>
        <v>Low</v>
      </c>
      <c r="L1186" s="5" t="str">
        <f>TEXT(Table1[[#This Row],[Order_Date]],"MMM")</f>
        <v>Apr</v>
      </c>
      <c r="M1186" s="5" t="str">
        <f>IF(Table1[[#This Row],[Profit]]&gt;=1000,"Excellent",IF(Table1[[#This Row],[Profit]]&gt;=500,"Good", IF(Table1[[#This Row],[Profit]]&lt;500,"Low")))</f>
        <v>Low</v>
      </c>
      <c r="N1186" s="7" t="str">
        <f>TEXT(Table1[[#This Row],[Order_Date]],"YYY")</f>
        <v>2025</v>
      </c>
    </row>
    <row r="1187" spans="1:14" x14ac:dyDescent="0.3">
      <c r="A1187" s="4">
        <v>45765</v>
      </c>
      <c r="B1187" s="5" t="s">
        <v>16</v>
      </c>
      <c r="C1187" s="5" t="s">
        <v>31</v>
      </c>
      <c r="D1187" s="23">
        <v>195.5</v>
      </c>
      <c r="E1187" s="23">
        <v>74.13</v>
      </c>
      <c r="F1187" s="23">
        <v>121.37</v>
      </c>
      <c r="G1187" s="5" t="s">
        <v>2</v>
      </c>
      <c r="H1187" s="5" t="s">
        <v>37</v>
      </c>
      <c r="I1187" s="5" t="s">
        <v>27</v>
      </c>
      <c r="J1187" s="6">
        <f>Table1[[#This Row],[Profit]]/Table1[[#This Row],[Sales]]</f>
        <v>0.62081841432225071</v>
      </c>
      <c r="K1187" s="5" t="str">
        <f t="shared" si="18"/>
        <v>Low</v>
      </c>
      <c r="L1187" s="5" t="str">
        <f>TEXT(Table1[[#This Row],[Order_Date]],"MMM")</f>
        <v>Apr</v>
      </c>
      <c r="M1187" s="5" t="str">
        <f>IF(Table1[[#This Row],[Profit]]&gt;=1000,"Excellent",IF(Table1[[#This Row],[Profit]]&gt;=500,"Good", IF(Table1[[#This Row],[Profit]]&lt;500,"Low")))</f>
        <v>Low</v>
      </c>
      <c r="N1187" s="7" t="str">
        <f>TEXT(Table1[[#This Row],[Order_Date]],"YYY")</f>
        <v>2025</v>
      </c>
    </row>
    <row r="1188" spans="1:14" x14ac:dyDescent="0.3">
      <c r="A1188" s="4">
        <v>45765</v>
      </c>
      <c r="B1188" s="5" t="s">
        <v>8</v>
      </c>
      <c r="C1188" s="5" t="s">
        <v>31</v>
      </c>
      <c r="D1188" s="23">
        <v>75.2</v>
      </c>
      <c r="E1188" s="23">
        <v>19.420000000000002</v>
      </c>
      <c r="F1188" s="23">
        <v>55.78</v>
      </c>
      <c r="G1188" s="5" t="s">
        <v>9</v>
      </c>
      <c r="H1188" s="5" t="s">
        <v>30</v>
      </c>
      <c r="I1188" s="5" t="s">
        <v>4</v>
      </c>
      <c r="J1188" s="6">
        <f>Table1[[#This Row],[Profit]]/Table1[[#This Row],[Sales]]</f>
        <v>0.74175531914893611</v>
      </c>
      <c r="K1188" s="5" t="str">
        <f t="shared" si="18"/>
        <v>Low</v>
      </c>
      <c r="L1188" s="5" t="str">
        <f>TEXT(Table1[[#This Row],[Order_Date]],"MMM")</f>
        <v>Apr</v>
      </c>
      <c r="M1188" s="5" t="str">
        <f>IF(Table1[[#This Row],[Profit]]&gt;=1000,"Excellent",IF(Table1[[#This Row],[Profit]]&gt;=500,"Good", IF(Table1[[#This Row],[Profit]]&lt;500,"Low")))</f>
        <v>Low</v>
      </c>
      <c r="N1188" s="7" t="str">
        <f>TEXT(Table1[[#This Row],[Order_Date]],"YYY")</f>
        <v>2025</v>
      </c>
    </row>
    <row r="1189" spans="1:14" x14ac:dyDescent="0.3">
      <c r="A1189" s="4">
        <v>45766</v>
      </c>
      <c r="B1189" s="5" t="s">
        <v>8</v>
      </c>
      <c r="C1189" s="5" t="s">
        <v>23</v>
      </c>
      <c r="D1189" s="23">
        <v>651.79</v>
      </c>
      <c r="E1189" s="23">
        <v>277.82</v>
      </c>
      <c r="F1189" s="23">
        <v>373.97</v>
      </c>
      <c r="G1189" s="5" t="s">
        <v>9</v>
      </c>
      <c r="H1189" s="5" t="s">
        <v>37</v>
      </c>
      <c r="I1189" s="5" t="s">
        <v>25</v>
      </c>
      <c r="J1189" s="6">
        <f>Table1[[#This Row],[Profit]]/Table1[[#This Row],[Sales]]</f>
        <v>0.57375841912272363</v>
      </c>
      <c r="K1189" s="5" t="str">
        <f t="shared" si="18"/>
        <v>Low</v>
      </c>
      <c r="L1189" s="5" t="str">
        <f>TEXT(Table1[[#This Row],[Order_Date]],"MMM")</f>
        <v>Apr</v>
      </c>
      <c r="M1189" s="5" t="str">
        <f>IF(Table1[[#This Row],[Profit]]&gt;=1000,"Excellent",IF(Table1[[#This Row],[Profit]]&gt;=500,"Good", IF(Table1[[#This Row],[Profit]]&lt;500,"Low")))</f>
        <v>Low</v>
      </c>
      <c r="N1189" s="7" t="str">
        <f>TEXT(Table1[[#This Row],[Order_Date]],"YYY")</f>
        <v>2025</v>
      </c>
    </row>
    <row r="1190" spans="1:14" x14ac:dyDescent="0.3">
      <c r="A1190" s="4">
        <v>45766</v>
      </c>
      <c r="B1190" s="5" t="s">
        <v>0</v>
      </c>
      <c r="C1190" s="5" t="s">
        <v>14</v>
      </c>
      <c r="D1190" s="23">
        <v>396.43</v>
      </c>
      <c r="E1190" s="23">
        <v>144.76</v>
      </c>
      <c r="F1190" s="23">
        <v>251.67</v>
      </c>
      <c r="G1190" s="5" t="s">
        <v>6</v>
      </c>
      <c r="H1190" s="5" t="s">
        <v>3</v>
      </c>
      <c r="I1190" s="5" t="s">
        <v>27</v>
      </c>
      <c r="J1190" s="6">
        <f>Table1[[#This Row],[Profit]]/Table1[[#This Row],[Sales]]</f>
        <v>0.63484095552808817</v>
      </c>
      <c r="K1190" s="5" t="str">
        <f t="shared" si="18"/>
        <v>Low</v>
      </c>
      <c r="L1190" s="5" t="str">
        <f>TEXT(Table1[[#This Row],[Order_Date]],"MMM")</f>
        <v>Apr</v>
      </c>
      <c r="M1190" s="5" t="str">
        <f>IF(Table1[[#This Row],[Profit]]&gt;=1000,"Excellent",IF(Table1[[#This Row],[Profit]]&gt;=500,"Good", IF(Table1[[#This Row],[Profit]]&lt;500,"Low")))</f>
        <v>Low</v>
      </c>
      <c r="N1190" s="7" t="str">
        <f>TEXT(Table1[[#This Row],[Order_Date]],"YYY")</f>
        <v>2025</v>
      </c>
    </row>
    <row r="1191" spans="1:14" x14ac:dyDescent="0.3">
      <c r="A1191" s="4">
        <v>45766</v>
      </c>
      <c r="B1191" s="5" t="s">
        <v>18</v>
      </c>
      <c r="C1191" s="5" t="s">
        <v>14</v>
      </c>
      <c r="D1191" s="23">
        <v>76.7</v>
      </c>
      <c r="E1191" s="23">
        <v>34.97</v>
      </c>
      <c r="F1191" s="23">
        <v>41.73</v>
      </c>
      <c r="G1191" s="5" t="s">
        <v>20</v>
      </c>
      <c r="H1191" s="5" t="s">
        <v>29</v>
      </c>
      <c r="I1191" s="5" t="s">
        <v>22</v>
      </c>
      <c r="J1191" s="6">
        <f>Table1[[#This Row],[Profit]]/Table1[[#This Row],[Sales]]</f>
        <v>0.54406779661016946</v>
      </c>
      <c r="K1191" s="5" t="str">
        <f t="shared" si="18"/>
        <v>Low</v>
      </c>
      <c r="L1191" s="5" t="str">
        <f>TEXT(Table1[[#This Row],[Order_Date]],"MMM")</f>
        <v>Apr</v>
      </c>
      <c r="M1191" s="5" t="str">
        <f>IF(Table1[[#This Row],[Profit]]&gt;=1000,"Excellent",IF(Table1[[#This Row],[Profit]]&gt;=500,"Good", IF(Table1[[#This Row],[Profit]]&lt;500,"Low")))</f>
        <v>Low</v>
      </c>
      <c r="N1191" s="7" t="str">
        <f>TEXT(Table1[[#This Row],[Order_Date]],"YYY")</f>
        <v>2025</v>
      </c>
    </row>
    <row r="1192" spans="1:14" x14ac:dyDescent="0.3">
      <c r="A1192" s="4">
        <v>45766</v>
      </c>
      <c r="B1192" s="5" t="s">
        <v>8</v>
      </c>
      <c r="C1192" s="5" t="s">
        <v>1</v>
      </c>
      <c r="D1192" s="23">
        <v>526.86</v>
      </c>
      <c r="E1192" s="23">
        <v>307.5</v>
      </c>
      <c r="F1192" s="23">
        <v>219.36</v>
      </c>
      <c r="G1192" s="5" t="s">
        <v>6</v>
      </c>
      <c r="H1192" s="5" t="s">
        <v>10</v>
      </c>
      <c r="I1192" s="5" t="s">
        <v>22</v>
      </c>
      <c r="J1192" s="6">
        <f>Table1[[#This Row],[Profit]]/Table1[[#This Row],[Sales]]</f>
        <v>0.41635349049083248</v>
      </c>
      <c r="K1192" s="5" t="str">
        <f t="shared" si="18"/>
        <v>Low</v>
      </c>
      <c r="L1192" s="5" t="str">
        <f>TEXT(Table1[[#This Row],[Order_Date]],"MMM")</f>
        <v>Apr</v>
      </c>
      <c r="M1192" s="5" t="str">
        <f>IF(Table1[[#This Row],[Profit]]&gt;=1000,"Excellent",IF(Table1[[#This Row],[Profit]]&gt;=500,"Good", IF(Table1[[#This Row],[Profit]]&lt;500,"Low")))</f>
        <v>Low</v>
      </c>
      <c r="N1192" s="7" t="str">
        <f>TEXT(Table1[[#This Row],[Order_Date]],"YYY")</f>
        <v>2025</v>
      </c>
    </row>
    <row r="1193" spans="1:14" x14ac:dyDescent="0.3">
      <c r="A1193" s="4">
        <v>45768</v>
      </c>
      <c r="B1193" s="5" t="s">
        <v>16</v>
      </c>
      <c r="C1193" s="5" t="s">
        <v>26</v>
      </c>
      <c r="D1193" s="23">
        <v>295.29000000000002</v>
      </c>
      <c r="E1193" s="23">
        <v>119.22</v>
      </c>
      <c r="F1193" s="23">
        <v>176.07</v>
      </c>
      <c r="G1193" s="5" t="s">
        <v>9</v>
      </c>
      <c r="H1193" s="5" t="s">
        <v>33</v>
      </c>
      <c r="I1193" s="5" t="s">
        <v>22</v>
      </c>
      <c r="J1193" s="6">
        <f>Table1[[#This Row],[Profit]]/Table1[[#This Row],[Sales]]</f>
        <v>0.59626130244844044</v>
      </c>
      <c r="K1193" s="5" t="str">
        <f t="shared" si="18"/>
        <v>Low</v>
      </c>
      <c r="L1193" s="5" t="str">
        <f>TEXT(Table1[[#This Row],[Order_Date]],"MMM")</f>
        <v>Apr</v>
      </c>
      <c r="M1193" s="5" t="str">
        <f>IF(Table1[[#This Row],[Profit]]&gt;=1000,"Excellent",IF(Table1[[#This Row],[Profit]]&gt;=500,"Good", IF(Table1[[#This Row],[Profit]]&lt;500,"Low")))</f>
        <v>Low</v>
      </c>
      <c r="N1193" s="7" t="str">
        <f>TEXT(Table1[[#This Row],[Order_Date]],"YYY")</f>
        <v>2025</v>
      </c>
    </row>
    <row r="1194" spans="1:14" x14ac:dyDescent="0.3">
      <c r="A1194" s="4">
        <v>45768</v>
      </c>
      <c r="B1194" s="5" t="s">
        <v>13</v>
      </c>
      <c r="C1194" s="5" t="s">
        <v>1</v>
      </c>
      <c r="D1194" s="23">
        <v>144.16</v>
      </c>
      <c r="E1194" s="23">
        <v>81.37</v>
      </c>
      <c r="F1194" s="23">
        <v>62.79</v>
      </c>
      <c r="G1194" s="5" t="s">
        <v>6</v>
      </c>
      <c r="H1194" s="5" t="s">
        <v>35</v>
      </c>
      <c r="I1194" s="5" t="s">
        <v>22</v>
      </c>
      <c r="J1194" s="6">
        <f>Table1[[#This Row],[Profit]]/Table1[[#This Row],[Sales]]</f>
        <v>0.43555771365149831</v>
      </c>
      <c r="K1194" s="5" t="str">
        <f t="shared" si="18"/>
        <v>Low</v>
      </c>
      <c r="L1194" s="5" t="str">
        <f>TEXT(Table1[[#This Row],[Order_Date]],"MMM")</f>
        <v>Apr</v>
      </c>
      <c r="M1194" s="5" t="str">
        <f>IF(Table1[[#This Row],[Profit]]&gt;=1000,"Excellent",IF(Table1[[#This Row],[Profit]]&gt;=500,"Good", IF(Table1[[#This Row],[Profit]]&lt;500,"Low")))</f>
        <v>Low</v>
      </c>
      <c r="N1194" s="7" t="str">
        <f>TEXT(Table1[[#This Row],[Order_Date]],"YYY")</f>
        <v>2025</v>
      </c>
    </row>
    <row r="1195" spans="1:14" x14ac:dyDescent="0.3">
      <c r="A1195" s="4">
        <v>45768</v>
      </c>
      <c r="B1195" s="5" t="s">
        <v>0</v>
      </c>
      <c r="C1195" s="5" t="s">
        <v>1</v>
      </c>
      <c r="D1195" s="23">
        <v>86.91</v>
      </c>
      <c r="E1195" s="23">
        <v>50.03</v>
      </c>
      <c r="F1195" s="23">
        <v>36.880000000000003</v>
      </c>
      <c r="G1195" s="5" t="s">
        <v>6</v>
      </c>
      <c r="H1195" s="5" t="s">
        <v>12</v>
      </c>
      <c r="I1195" s="5" t="s">
        <v>17</v>
      </c>
      <c r="J1195" s="6">
        <f>Table1[[#This Row],[Profit]]/Table1[[#This Row],[Sales]]</f>
        <v>0.42434702565872745</v>
      </c>
      <c r="K1195" s="5" t="str">
        <f t="shared" si="18"/>
        <v>Low</v>
      </c>
      <c r="L1195" s="5" t="str">
        <f>TEXT(Table1[[#This Row],[Order_Date]],"MMM")</f>
        <v>Apr</v>
      </c>
      <c r="M1195" s="5" t="str">
        <f>IF(Table1[[#This Row],[Profit]]&gt;=1000,"Excellent",IF(Table1[[#This Row],[Profit]]&gt;=500,"Good", IF(Table1[[#This Row],[Profit]]&lt;500,"Low")))</f>
        <v>Low</v>
      </c>
      <c r="N1195" s="7" t="str">
        <f>TEXT(Table1[[#This Row],[Order_Date]],"YYY")</f>
        <v>2025</v>
      </c>
    </row>
    <row r="1196" spans="1:14" x14ac:dyDescent="0.3">
      <c r="A1196" s="4">
        <v>45769</v>
      </c>
      <c r="B1196" s="5" t="s">
        <v>16</v>
      </c>
      <c r="C1196" s="5" t="s">
        <v>5</v>
      </c>
      <c r="D1196" s="23">
        <v>284.89999999999998</v>
      </c>
      <c r="E1196" s="23">
        <v>102.95</v>
      </c>
      <c r="F1196" s="23">
        <v>181.95</v>
      </c>
      <c r="G1196" s="5" t="s">
        <v>6</v>
      </c>
      <c r="H1196" s="5" t="s">
        <v>35</v>
      </c>
      <c r="I1196" s="5" t="s">
        <v>11</v>
      </c>
      <c r="J1196" s="6">
        <f>Table1[[#This Row],[Profit]]/Table1[[#This Row],[Sales]]</f>
        <v>0.63864513864513861</v>
      </c>
      <c r="K1196" s="5" t="str">
        <f t="shared" si="18"/>
        <v>Low</v>
      </c>
      <c r="L1196" s="5" t="str">
        <f>TEXT(Table1[[#This Row],[Order_Date]],"MMM")</f>
        <v>Apr</v>
      </c>
      <c r="M1196" s="5" t="str">
        <f>IF(Table1[[#This Row],[Profit]]&gt;=1000,"Excellent",IF(Table1[[#This Row],[Profit]]&gt;=500,"Good", IF(Table1[[#This Row],[Profit]]&lt;500,"Low")))</f>
        <v>Low</v>
      </c>
      <c r="N1196" s="7" t="str">
        <f>TEXT(Table1[[#This Row],[Order_Date]],"YYY")</f>
        <v>2025</v>
      </c>
    </row>
    <row r="1197" spans="1:14" x14ac:dyDescent="0.3">
      <c r="A1197" s="4">
        <v>45770</v>
      </c>
      <c r="B1197" s="5" t="s">
        <v>0</v>
      </c>
      <c r="C1197" s="5" t="s">
        <v>5</v>
      </c>
      <c r="D1197" s="23">
        <v>2203.02</v>
      </c>
      <c r="E1197" s="23">
        <v>667.21</v>
      </c>
      <c r="F1197" s="23">
        <v>1535.81</v>
      </c>
      <c r="G1197" s="5" t="s">
        <v>20</v>
      </c>
      <c r="H1197" s="5" t="s">
        <v>34</v>
      </c>
      <c r="I1197" s="5" t="s">
        <v>17</v>
      </c>
      <c r="J1197" s="6">
        <f>Table1[[#This Row],[Profit]]/Table1[[#This Row],[Sales]]</f>
        <v>0.69713847354994507</v>
      </c>
      <c r="K1197" s="5" t="str">
        <f t="shared" si="18"/>
        <v>High</v>
      </c>
      <c r="L1197" s="5" t="str">
        <f>TEXT(Table1[[#This Row],[Order_Date]],"MMM")</f>
        <v>Apr</v>
      </c>
      <c r="M1197" s="5" t="str">
        <f>IF(Table1[[#This Row],[Profit]]&gt;=1000,"Excellent",IF(Table1[[#This Row],[Profit]]&gt;=500,"Good", IF(Table1[[#This Row],[Profit]]&lt;500,"Low")))</f>
        <v>Excellent</v>
      </c>
      <c r="N1197" s="7" t="str">
        <f>TEXT(Table1[[#This Row],[Order_Date]],"YYY")</f>
        <v>2025</v>
      </c>
    </row>
    <row r="1198" spans="1:14" x14ac:dyDescent="0.3">
      <c r="A1198" s="4">
        <v>45770</v>
      </c>
      <c r="B1198" s="5" t="s">
        <v>16</v>
      </c>
      <c r="C1198" s="5" t="s">
        <v>1</v>
      </c>
      <c r="D1198" s="23">
        <v>341.23</v>
      </c>
      <c r="E1198" s="23">
        <v>212.06</v>
      </c>
      <c r="F1198" s="23">
        <v>129.16999999999999</v>
      </c>
      <c r="G1198" s="5" t="s">
        <v>2</v>
      </c>
      <c r="H1198" s="5" t="s">
        <v>15</v>
      </c>
      <c r="I1198" s="5" t="s">
        <v>27</v>
      </c>
      <c r="J1198" s="6">
        <f>Table1[[#This Row],[Profit]]/Table1[[#This Row],[Sales]]</f>
        <v>0.37854233215133481</v>
      </c>
      <c r="K1198" s="5" t="str">
        <f t="shared" si="18"/>
        <v>Low</v>
      </c>
      <c r="L1198" s="5" t="str">
        <f>TEXT(Table1[[#This Row],[Order_Date]],"MMM")</f>
        <v>Apr</v>
      </c>
      <c r="M1198" s="5" t="str">
        <f>IF(Table1[[#This Row],[Profit]]&gt;=1000,"Excellent",IF(Table1[[#This Row],[Profit]]&gt;=500,"Good", IF(Table1[[#This Row],[Profit]]&lt;500,"Low")))</f>
        <v>Low</v>
      </c>
      <c r="N1198" s="7" t="str">
        <f>TEXT(Table1[[#This Row],[Order_Date]],"YYY")</f>
        <v>2025</v>
      </c>
    </row>
    <row r="1199" spans="1:14" x14ac:dyDescent="0.3">
      <c r="A1199" s="4">
        <v>45771</v>
      </c>
      <c r="B1199" s="5" t="s">
        <v>18</v>
      </c>
      <c r="C1199" s="5" t="s">
        <v>23</v>
      </c>
      <c r="D1199" s="23">
        <v>852.14</v>
      </c>
      <c r="E1199" s="23">
        <v>353.73</v>
      </c>
      <c r="F1199" s="23">
        <v>498.41</v>
      </c>
      <c r="G1199" s="5" t="s">
        <v>20</v>
      </c>
      <c r="H1199" s="5" t="s">
        <v>33</v>
      </c>
      <c r="I1199" s="5" t="s">
        <v>27</v>
      </c>
      <c r="J1199" s="6">
        <f>Table1[[#This Row],[Profit]]/Table1[[#This Row],[Sales]]</f>
        <v>0.58489215387142957</v>
      </c>
      <c r="K1199" s="5" t="str">
        <f t="shared" si="18"/>
        <v>Low</v>
      </c>
      <c r="L1199" s="5" t="str">
        <f>TEXT(Table1[[#This Row],[Order_Date]],"MMM")</f>
        <v>Apr</v>
      </c>
      <c r="M1199" s="5" t="str">
        <f>IF(Table1[[#This Row],[Profit]]&gt;=1000,"Excellent",IF(Table1[[#This Row],[Profit]]&gt;=500,"Good", IF(Table1[[#This Row],[Profit]]&lt;500,"Low")))</f>
        <v>Low</v>
      </c>
      <c r="N1199" s="7" t="str">
        <f>TEXT(Table1[[#This Row],[Order_Date]],"YYY")</f>
        <v>2025</v>
      </c>
    </row>
    <row r="1200" spans="1:14" x14ac:dyDescent="0.3">
      <c r="A1200" s="4">
        <v>45771</v>
      </c>
      <c r="B1200" s="5" t="s">
        <v>8</v>
      </c>
      <c r="C1200" s="5" t="s">
        <v>1</v>
      </c>
      <c r="D1200" s="23">
        <v>701.79</v>
      </c>
      <c r="E1200" s="23">
        <v>467.88</v>
      </c>
      <c r="F1200" s="23">
        <v>233.91</v>
      </c>
      <c r="G1200" s="5" t="s">
        <v>20</v>
      </c>
      <c r="H1200" s="5" t="s">
        <v>28</v>
      </c>
      <c r="I1200" s="5" t="s">
        <v>22</v>
      </c>
      <c r="J1200" s="6">
        <f>Table1[[#This Row],[Profit]]/Table1[[#This Row],[Sales]]</f>
        <v>0.33330483477963496</v>
      </c>
      <c r="K1200" s="5" t="str">
        <f t="shared" si="18"/>
        <v>Low</v>
      </c>
      <c r="L1200" s="5" t="str">
        <f>TEXT(Table1[[#This Row],[Order_Date]],"MMM")</f>
        <v>Apr</v>
      </c>
      <c r="M1200" s="5" t="str">
        <f>IF(Table1[[#This Row],[Profit]]&gt;=1000,"Excellent",IF(Table1[[#This Row],[Profit]]&gt;=500,"Good", IF(Table1[[#This Row],[Profit]]&lt;500,"Low")))</f>
        <v>Low</v>
      </c>
      <c r="N1200" s="7" t="str">
        <f>TEXT(Table1[[#This Row],[Order_Date]],"YYY")</f>
        <v>2025</v>
      </c>
    </row>
    <row r="1201" spans="1:14" x14ac:dyDescent="0.3">
      <c r="A1201" s="4">
        <v>45772</v>
      </c>
      <c r="B1201" s="5" t="s">
        <v>13</v>
      </c>
      <c r="C1201" s="5" t="s">
        <v>14</v>
      </c>
      <c r="D1201" s="23">
        <v>197.18</v>
      </c>
      <c r="E1201" s="23">
        <v>76.47</v>
      </c>
      <c r="F1201" s="23">
        <v>120.71</v>
      </c>
      <c r="G1201" s="5" t="s">
        <v>6</v>
      </c>
      <c r="H1201" s="5" t="s">
        <v>12</v>
      </c>
      <c r="I1201" s="5" t="s">
        <v>27</v>
      </c>
      <c r="J1201" s="6">
        <f>Table1[[#This Row],[Profit]]/Table1[[#This Row],[Sales]]</f>
        <v>0.61218176285627335</v>
      </c>
      <c r="K1201" s="5" t="str">
        <f t="shared" si="18"/>
        <v>Low</v>
      </c>
      <c r="L1201" s="5" t="str">
        <f>TEXT(Table1[[#This Row],[Order_Date]],"MMM")</f>
        <v>Apr</v>
      </c>
      <c r="M1201" s="5" t="str">
        <f>IF(Table1[[#This Row],[Profit]]&gt;=1000,"Excellent",IF(Table1[[#This Row],[Profit]]&gt;=500,"Good", IF(Table1[[#This Row],[Profit]]&lt;500,"Low")))</f>
        <v>Low</v>
      </c>
      <c r="N1201" s="7" t="str">
        <f>TEXT(Table1[[#This Row],[Order_Date]],"YYY")</f>
        <v>2025</v>
      </c>
    </row>
    <row r="1202" spans="1:14" x14ac:dyDescent="0.3">
      <c r="A1202" s="4">
        <v>45773</v>
      </c>
      <c r="B1202" s="5" t="s">
        <v>0</v>
      </c>
      <c r="C1202" s="5" t="s">
        <v>1</v>
      </c>
      <c r="D1202" s="23">
        <v>396.27</v>
      </c>
      <c r="E1202" s="23">
        <v>239.45</v>
      </c>
      <c r="F1202" s="23">
        <v>156.82</v>
      </c>
      <c r="G1202" s="5" t="s">
        <v>2</v>
      </c>
      <c r="H1202" s="5" t="s">
        <v>24</v>
      </c>
      <c r="I1202" s="5" t="s">
        <v>27</v>
      </c>
      <c r="J1202" s="6">
        <f>Table1[[#This Row],[Profit]]/Table1[[#This Row],[Sales]]</f>
        <v>0.39574027809321927</v>
      </c>
      <c r="K1202" s="5" t="str">
        <f t="shared" si="18"/>
        <v>Low</v>
      </c>
      <c r="L1202" s="5" t="str">
        <f>TEXT(Table1[[#This Row],[Order_Date]],"MMM")</f>
        <v>Apr</v>
      </c>
      <c r="M1202" s="5" t="str">
        <f>IF(Table1[[#This Row],[Profit]]&gt;=1000,"Excellent",IF(Table1[[#This Row],[Profit]]&gt;=500,"Good", IF(Table1[[#This Row],[Profit]]&lt;500,"Low")))</f>
        <v>Low</v>
      </c>
      <c r="N1202" s="7" t="str">
        <f>TEXT(Table1[[#This Row],[Order_Date]],"YYY")</f>
        <v>2025</v>
      </c>
    </row>
    <row r="1203" spans="1:14" x14ac:dyDescent="0.3">
      <c r="A1203" s="4">
        <v>45774</v>
      </c>
      <c r="B1203" s="5" t="s">
        <v>13</v>
      </c>
      <c r="C1203" s="5" t="s">
        <v>23</v>
      </c>
      <c r="D1203" s="23">
        <v>765.15</v>
      </c>
      <c r="E1203" s="23">
        <v>247.93</v>
      </c>
      <c r="F1203" s="23">
        <v>517.22</v>
      </c>
      <c r="G1203" s="5" t="s">
        <v>6</v>
      </c>
      <c r="H1203" s="5" t="s">
        <v>7</v>
      </c>
      <c r="I1203" s="5" t="s">
        <v>11</v>
      </c>
      <c r="J1203" s="6">
        <f>Table1[[#This Row],[Profit]]/Table1[[#This Row],[Sales]]</f>
        <v>0.67597203162778541</v>
      </c>
      <c r="K1203" s="5" t="str">
        <f t="shared" si="18"/>
        <v>Low</v>
      </c>
      <c r="L1203" s="5" t="str">
        <f>TEXT(Table1[[#This Row],[Order_Date]],"MMM")</f>
        <v>Apr</v>
      </c>
      <c r="M1203" s="5" t="str">
        <f>IF(Table1[[#This Row],[Profit]]&gt;=1000,"Excellent",IF(Table1[[#This Row],[Profit]]&gt;=500,"Good", IF(Table1[[#This Row],[Profit]]&lt;500,"Low")))</f>
        <v>Good</v>
      </c>
      <c r="N1203" s="7" t="str">
        <f>TEXT(Table1[[#This Row],[Order_Date]],"YYY")</f>
        <v>2025</v>
      </c>
    </row>
    <row r="1204" spans="1:14" x14ac:dyDescent="0.3">
      <c r="A1204" s="4">
        <v>45775</v>
      </c>
      <c r="B1204" s="5" t="s">
        <v>13</v>
      </c>
      <c r="C1204" s="5" t="s">
        <v>1</v>
      </c>
      <c r="D1204" s="23">
        <v>510.55</v>
      </c>
      <c r="E1204" s="23">
        <v>307.43</v>
      </c>
      <c r="F1204" s="23">
        <v>203.12</v>
      </c>
      <c r="G1204" s="5" t="s">
        <v>2</v>
      </c>
      <c r="H1204" s="5" t="s">
        <v>21</v>
      </c>
      <c r="I1204" s="5" t="s">
        <v>17</v>
      </c>
      <c r="J1204" s="6">
        <f>Table1[[#This Row],[Profit]]/Table1[[#This Row],[Sales]]</f>
        <v>0.39784546077759281</v>
      </c>
      <c r="K1204" s="5" t="str">
        <f t="shared" si="18"/>
        <v>Low</v>
      </c>
      <c r="L1204" s="5" t="str">
        <f>TEXT(Table1[[#This Row],[Order_Date]],"MMM")</f>
        <v>Apr</v>
      </c>
      <c r="M1204" s="5" t="str">
        <f>IF(Table1[[#This Row],[Profit]]&gt;=1000,"Excellent",IF(Table1[[#This Row],[Profit]]&gt;=500,"Good", IF(Table1[[#This Row],[Profit]]&lt;500,"Low")))</f>
        <v>Low</v>
      </c>
      <c r="N1204" s="7" t="str">
        <f>TEXT(Table1[[#This Row],[Order_Date]],"YYY")</f>
        <v>2025</v>
      </c>
    </row>
    <row r="1205" spans="1:14" x14ac:dyDescent="0.3">
      <c r="A1205" s="4">
        <v>45776</v>
      </c>
      <c r="B1205" s="5" t="s">
        <v>0</v>
      </c>
      <c r="C1205" s="5" t="s">
        <v>26</v>
      </c>
      <c r="D1205" s="23">
        <v>572.25</v>
      </c>
      <c r="E1205" s="23">
        <v>221.32</v>
      </c>
      <c r="F1205" s="23">
        <v>350.93</v>
      </c>
      <c r="G1205" s="5" t="s">
        <v>2</v>
      </c>
      <c r="H1205" s="5" t="s">
        <v>34</v>
      </c>
      <c r="I1205" s="5" t="s">
        <v>17</v>
      </c>
      <c r="J1205" s="6">
        <f>Table1[[#This Row],[Profit]]/Table1[[#This Row],[Sales]]</f>
        <v>0.61324595893403233</v>
      </c>
      <c r="K1205" s="5" t="str">
        <f t="shared" si="18"/>
        <v>Low</v>
      </c>
      <c r="L1205" s="5" t="str">
        <f>TEXT(Table1[[#This Row],[Order_Date]],"MMM")</f>
        <v>Apr</v>
      </c>
      <c r="M1205" s="5" t="str">
        <f>IF(Table1[[#This Row],[Profit]]&gt;=1000,"Excellent",IF(Table1[[#This Row],[Profit]]&gt;=500,"Good", IF(Table1[[#This Row],[Profit]]&lt;500,"Low")))</f>
        <v>Low</v>
      </c>
      <c r="N1205" s="7" t="str">
        <f>TEXT(Table1[[#This Row],[Order_Date]],"YYY")</f>
        <v>2025</v>
      </c>
    </row>
    <row r="1206" spans="1:14" x14ac:dyDescent="0.3">
      <c r="A1206" s="4">
        <v>45776</v>
      </c>
      <c r="B1206" s="5" t="s">
        <v>18</v>
      </c>
      <c r="C1206" s="5" t="s">
        <v>19</v>
      </c>
      <c r="D1206" s="23">
        <v>112.81</v>
      </c>
      <c r="E1206" s="23">
        <v>42.92</v>
      </c>
      <c r="F1206" s="23">
        <v>69.89</v>
      </c>
      <c r="G1206" s="5" t="s">
        <v>2</v>
      </c>
      <c r="H1206" s="5" t="s">
        <v>34</v>
      </c>
      <c r="I1206" s="5" t="s">
        <v>25</v>
      </c>
      <c r="J1206" s="6">
        <f>Table1[[#This Row],[Profit]]/Table1[[#This Row],[Sales]]</f>
        <v>0.61953727506426737</v>
      </c>
      <c r="K1206" s="5" t="str">
        <f t="shared" si="18"/>
        <v>Low</v>
      </c>
      <c r="L1206" s="5" t="str">
        <f>TEXT(Table1[[#This Row],[Order_Date]],"MMM")</f>
        <v>Apr</v>
      </c>
      <c r="M1206" s="5" t="str">
        <f>IF(Table1[[#This Row],[Profit]]&gt;=1000,"Excellent",IF(Table1[[#This Row],[Profit]]&gt;=500,"Good", IF(Table1[[#This Row],[Profit]]&lt;500,"Low")))</f>
        <v>Low</v>
      </c>
      <c r="N1206" s="7" t="str">
        <f>TEXT(Table1[[#This Row],[Order_Date]],"YYY")</f>
        <v>2025</v>
      </c>
    </row>
    <row r="1207" spans="1:14" x14ac:dyDescent="0.3">
      <c r="A1207" s="4">
        <v>45777</v>
      </c>
      <c r="B1207" s="5" t="s">
        <v>18</v>
      </c>
      <c r="C1207" s="5" t="s">
        <v>26</v>
      </c>
      <c r="D1207" s="23">
        <v>267.45999999999998</v>
      </c>
      <c r="E1207" s="23">
        <v>100.94</v>
      </c>
      <c r="F1207" s="23">
        <v>166.52</v>
      </c>
      <c r="G1207" s="5" t="s">
        <v>6</v>
      </c>
      <c r="H1207" s="5" t="s">
        <v>34</v>
      </c>
      <c r="I1207" s="5" t="s">
        <v>25</v>
      </c>
      <c r="J1207" s="6">
        <f>Table1[[#This Row],[Profit]]/Table1[[#This Row],[Sales]]</f>
        <v>0.62259777162940266</v>
      </c>
      <c r="K1207" s="5" t="str">
        <f t="shared" si="18"/>
        <v>Low</v>
      </c>
      <c r="L1207" s="5" t="str">
        <f>TEXT(Table1[[#This Row],[Order_Date]],"MMM")</f>
        <v>Apr</v>
      </c>
      <c r="M1207" s="5" t="str">
        <f>IF(Table1[[#This Row],[Profit]]&gt;=1000,"Excellent",IF(Table1[[#This Row],[Profit]]&gt;=500,"Good", IF(Table1[[#This Row],[Profit]]&lt;500,"Low")))</f>
        <v>Low</v>
      </c>
      <c r="N1207" s="7" t="str">
        <f>TEXT(Table1[[#This Row],[Order_Date]],"YYY")</f>
        <v>2025</v>
      </c>
    </row>
    <row r="1208" spans="1:14" x14ac:dyDescent="0.3">
      <c r="A1208" s="4">
        <v>45777</v>
      </c>
      <c r="B1208" s="5" t="s">
        <v>8</v>
      </c>
      <c r="C1208" s="5" t="s">
        <v>31</v>
      </c>
      <c r="D1208" s="23">
        <v>86.96</v>
      </c>
      <c r="E1208" s="23">
        <v>32.58</v>
      </c>
      <c r="F1208" s="23">
        <v>54.38</v>
      </c>
      <c r="G1208" s="5" t="s">
        <v>2</v>
      </c>
      <c r="H1208" s="5" t="s">
        <v>28</v>
      </c>
      <c r="I1208" s="5" t="s">
        <v>25</v>
      </c>
      <c r="J1208" s="6">
        <f>Table1[[#This Row],[Profit]]/Table1[[#This Row],[Sales]]</f>
        <v>0.62534498620055201</v>
      </c>
      <c r="K1208" s="5" t="str">
        <f t="shared" si="18"/>
        <v>Low</v>
      </c>
      <c r="L1208" s="5" t="str">
        <f>TEXT(Table1[[#This Row],[Order_Date]],"MMM")</f>
        <v>Apr</v>
      </c>
      <c r="M1208" s="5" t="str">
        <f>IF(Table1[[#This Row],[Profit]]&gt;=1000,"Excellent",IF(Table1[[#This Row],[Profit]]&gt;=500,"Good", IF(Table1[[#This Row],[Profit]]&lt;500,"Low")))</f>
        <v>Low</v>
      </c>
      <c r="N1208" s="7" t="str">
        <f>TEXT(Table1[[#This Row],[Order_Date]],"YYY")</f>
        <v>2025</v>
      </c>
    </row>
    <row r="1209" spans="1:14" x14ac:dyDescent="0.3">
      <c r="A1209" s="4">
        <v>45779</v>
      </c>
      <c r="B1209" s="5" t="s">
        <v>18</v>
      </c>
      <c r="C1209" s="5" t="s">
        <v>19</v>
      </c>
      <c r="D1209" s="23">
        <v>81.93</v>
      </c>
      <c r="E1209" s="23">
        <v>28.32</v>
      </c>
      <c r="F1209" s="23">
        <v>53.61</v>
      </c>
      <c r="G1209" s="5" t="s">
        <v>20</v>
      </c>
      <c r="H1209" s="5" t="s">
        <v>21</v>
      </c>
      <c r="I1209" s="5" t="s">
        <v>25</v>
      </c>
      <c r="J1209" s="6">
        <f>Table1[[#This Row],[Profit]]/Table1[[#This Row],[Sales]]</f>
        <v>0.65433906993775171</v>
      </c>
      <c r="K1209" s="5" t="str">
        <f t="shared" si="18"/>
        <v>Low</v>
      </c>
      <c r="L1209" s="5" t="str">
        <f>TEXT(Table1[[#This Row],[Order_Date]],"MMM")</f>
        <v>May</v>
      </c>
      <c r="M1209" s="5" t="str">
        <f>IF(Table1[[#This Row],[Profit]]&gt;=1000,"Excellent",IF(Table1[[#This Row],[Profit]]&gt;=500,"Good", IF(Table1[[#This Row],[Profit]]&lt;500,"Low")))</f>
        <v>Low</v>
      </c>
      <c r="N1209" s="7" t="str">
        <f>TEXT(Table1[[#This Row],[Order_Date]],"YYY")</f>
        <v>2025</v>
      </c>
    </row>
    <row r="1210" spans="1:14" x14ac:dyDescent="0.3">
      <c r="A1210" s="4">
        <v>45780</v>
      </c>
      <c r="B1210" s="5" t="s">
        <v>13</v>
      </c>
      <c r="C1210" s="5" t="s">
        <v>19</v>
      </c>
      <c r="D1210" s="23">
        <v>129.97</v>
      </c>
      <c r="E1210" s="23">
        <v>52.89</v>
      </c>
      <c r="F1210" s="23">
        <v>77.08</v>
      </c>
      <c r="G1210" s="5" t="s">
        <v>6</v>
      </c>
      <c r="H1210" s="5" t="s">
        <v>34</v>
      </c>
      <c r="I1210" s="5" t="s">
        <v>27</v>
      </c>
      <c r="J1210" s="6">
        <f>Table1[[#This Row],[Profit]]/Table1[[#This Row],[Sales]]</f>
        <v>0.59305993690851733</v>
      </c>
      <c r="K1210" s="5" t="str">
        <f t="shared" si="18"/>
        <v>Low</v>
      </c>
      <c r="L1210" s="5" t="str">
        <f>TEXT(Table1[[#This Row],[Order_Date]],"MMM")</f>
        <v>May</v>
      </c>
      <c r="M1210" s="5" t="str">
        <f>IF(Table1[[#This Row],[Profit]]&gt;=1000,"Excellent",IF(Table1[[#This Row],[Profit]]&gt;=500,"Good", IF(Table1[[#This Row],[Profit]]&lt;500,"Low")))</f>
        <v>Low</v>
      </c>
      <c r="N1210" s="7" t="str">
        <f>TEXT(Table1[[#This Row],[Order_Date]],"YYY")</f>
        <v>2025</v>
      </c>
    </row>
    <row r="1211" spans="1:14" x14ac:dyDescent="0.3">
      <c r="A1211" s="4">
        <v>45780</v>
      </c>
      <c r="B1211" s="5" t="s">
        <v>0</v>
      </c>
      <c r="C1211" s="5" t="s">
        <v>1</v>
      </c>
      <c r="D1211" s="23">
        <v>666.05</v>
      </c>
      <c r="E1211" s="23">
        <v>436.9</v>
      </c>
      <c r="F1211" s="23">
        <v>229.15</v>
      </c>
      <c r="G1211" s="5" t="s">
        <v>6</v>
      </c>
      <c r="H1211" s="5" t="s">
        <v>7</v>
      </c>
      <c r="I1211" s="5" t="s">
        <v>25</v>
      </c>
      <c r="J1211" s="6">
        <f>Table1[[#This Row],[Profit]]/Table1[[#This Row],[Sales]]</f>
        <v>0.34404323999699726</v>
      </c>
      <c r="K1211" s="5" t="str">
        <f t="shared" si="18"/>
        <v>Low</v>
      </c>
      <c r="L1211" s="5" t="str">
        <f>TEXT(Table1[[#This Row],[Order_Date]],"MMM")</f>
        <v>May</v>
      </c>
      <c r="M1211" s="5" t="str">
        <f>IF(Table1[[#This Row],[Profit]]&gt;=1000,"Excellent",IF(Table1[[#This Row],[Profit]]&gt;=500,"Good", IF(Table1[[#This Row],[Profit]]&lt;500,"Low")))</f>
        <v>Low</v>
      </c>
      <c r="N1211" s="7" t="str">
        <f>TEXT(Table1[[#This Row],[Order_Date]],"YYY")</f>
        <v>2025</v>
      </c>
    </row>
    <row r="1212" spans="1:14" x14ac:dyDescent="0.3">
      <c r="A1212" s="4">
        <v>45781</v>
      </c>
      <c r="B1212" s="5" t="s">
        <v>18</v>
      </c>
      <c r="C1212" s="5" t="s">
        <v>31</v>
      </c>
      <c r="D1212" s="23">
        <v>226.66</v>
      </c>
      <c r="E1212" s="23">
        <v>49.94</v>
      </c>
      <c r="F1212" s="23">
        <v>176.72</v>
      </c>
      <c r="G1212" s="5" t="s">
        <v>9</v>
      </c>
      <c r="H1212" s="5" t="s">
        <v>36</v>
      </c>
      <c r="I1212" s="5" t="s">
        <v>25</v>
      </c>
      <c r="J1212" s="6">
        <f>Table1[[#This Row],[Profit]]/Table1[[#This Row],[Sales]]</f>
        <v>0.77966999029383222</v>
      </c>
      <c r="K1212" s="5" t="str">
        <f t="shared" si="18"/>
        <v>Low</v>
      </c>
      <c r="L1212" s="5" t="str">
        <f>TEXT(Table1[[#This Row],[Order_Date]],"MMM")</f>
        <v>May</v>
      </c>
      <c r="M1212" s="5" t="str">
        <f>IF(Table1[[#This Row],[Profit]]&gt;=1000,"Excellent",IF(Table1[[#This Row],[Profit]]&gt;=500,"Good", IF(Table1[[#This Row],[Profit]]&lt;500,"Low")))</f>
        <v>Low</v>
      </c>
      <c r="N1212" s="7" t="str">
        <f>TEXT(Table1[[#This Row],[Order_Date]],"YYY")</f>
        <v>2025</v>
      </c>
    </row>
    <row r="1213" spans="1:14" x14ac:dyDescent="0.3">
      <c r="A1213" s="4">
        <v>45781</v>
      </c>
      <c r="B1213" s="5" t="s">
        <v>0</v>
      </c>
      <c r="C1213" s="5" t="s">
        <v>26</v>
      </c>
      <c r="D1213" s="23">
        <v>398.97</v>
      </c>
      <c r="E1213" s="23">
        <v>146.61000000000001</v>
      </c>
      <c r="F1213" s="23">
        <v>252.36</v>
      </c>
      <c r="G1213" s="5" t="s">
        <v>9</v>
      </c>
      <c r="H1213" s="5" t="s">
        <v>21</v>
      </c>
      <c r="I1213" s="5" t="s">
        <v>22</v>
      </c>
      <c r="J1213" s="6">
        <f>Table1[[#This Row],[Profit]]/Table1[[#This Row],[Sales]]</f>
        <v>0.63252876156101967</v>
      </c>
      <c r="K1213" s="5" t="str">
        <f t="shared" si="18"/>
        <v>Low</v>
      </c>
      <c r="L1213" s="5" t="str">
        <f>TEXT(Table1[[#This Row],[Order_Date]],"MMM")</f>
        <v>May</v>
      </c>
      <c r="M1213" s="5" t="str">
        <f>IF(Table1[[#This Row],[Profit]]&gt;=1000,"Excellent",IF(Table1[[#This Row],[Profit]]&gt;=500,"Good", IF(Table1[[#This Row],[Profit]]&lt;500,"Low")))</f>
        <v>Low</v>
      </c>
      <c r="N1213" s="7" t="str">
        <f>TEXT(Table1[[#This Row],[Order_Date]],"YYY")</f>
        <v>2025</v>
      </c>
    </row>
    <row r="1214" spans="1:14" x14ac:dyDescent="0.3">
      <c r="A1214" s="4">
        <v>45783</v>
      </c>
      <c r="B1214" s="5" t="s">
        <v>18</v>
      </c>
      <c r="C1214" s="5" t="s">
        <v>31</v>
      </c>
      <c r="D1214" s="23">
        <v>68.23</v>
      </c>
      <c r="E1214" s="23">
        <v>16.559999999999999</v>
      </c>
      <c r="F1214" s="23">
        <v>51.67</v>
      </c>
      <c r="G1214" s="5" t="s">
        <v>6</v>
      </c>
      <c r="H1214" s="5" t="s">
        <v>28</v>
      </c>
      <c r="I1214" s="5" t="s">
        <v>4</v>
      </c>
      <c r="J1214" s="6">
        <f>Table1[[#This Row],[Profit]]/Table1[[#This Row],[Sales]]</f>
        <v>0.75729151399677563</v>
      </c>
      <c r="K1214" s="5" t="str">
        <f t="shared" si="18"/>
        <v>Low</v>
      </c>
      <c r="L1214" s="5" t="str">
        <f>TEXT(Table1[[#This Row],[Order_Date]],"MMM")</f>
        <v>May</v>
      </c>
      <c r="M1214" s="5" t="str">
        <f>IF(Table1[[#This Row],[Profit]]&gt;=1000,"Excellent",IF(Table1[[#This Row],[Profit]]&gt;=500,"Good", IF(Table1[[#This Row],[Profit]]&lt;500,"Low")))</f>
        <v>Low</v>
      </c>
      <c r="N1214" s="7" t="str">
        <f>TEXT(Table1[[#This Row],[Order_Date]],"YYY")</f>
        <v>2025</v>
      </c>
    </row>
    <row r="1215" spans="1:14" x14ac:dyDescent="0.3">
      <c r="A1215" s="4">
        <v>45783</v>
      </c>
      <c r="B1215" s="5" t="s">
        <v>16</v>
      </c>
      <c r="C1215" s="5" t="s">
        <v>1</v>
      </c>
      <c r="D1215" s="23">
        <v>370.16</v>
      </c>
      <c r="E1215" s="23">
        <v>254.44</v>
      </c>
      <c r="F1215" s="23">
        <v>115.72</v>
      </c>
      <c r="G1215" s="5" t="s">
        <v>2</v>
      </c>
      <c r="H1215" s="5" t="s">
        <v>29</v>
      </c>
      <c r="I1215" s="5" t="s">
        <v>4</v>
      </c>
      <c r="J1215" s="6">
        <f>Table1[[#This Row],[Profit]]/Table1[[#This Row],[Sales]]</f>
        <v>0.31262156905122107</v>
      </c>
      <c r="K1215" s="5" t="str">
        <f t="shared" si="18"/>
        <v>Low</v>
      </c>
      <c r="L1215" s="5" t="str">
        <f>TEXT(Table1[[#This Row],[Order_Date]],"MMM")</f>
        <v>May</v>
      </c>
      <c r="M1215" s="5" t="str">
        <f>IF(Table1[[#This Row],[Profit]]&gt;=1000,"Excellent",IF(Table1[[#This Row],[Profit]]&gt;=500,"Good", IF(Table1[[#This Row],[Profit]]&lt;500,"Low")))</f>
        <v>Low</v>
      </c>
      <c r="N1215" s="7" t="str">
        <f>TEXT(Table1[[#This Row],[Order_Date]],"YYY")</f>
        <v>2025</v>
      </c>
    </row>
    <row r="1216" spans="1:14" x14ac:dyDescent="0.3">
      <c r="A1216" s="4">
        <v>45783</v>
      </c>
      <c r="B1216" s="5" t="s">
        <v>0</v>
      </c>
      <c r="C1216" s="5" t="s">
        <v>5</v>
      </c>
      <c r="D1216" s="23">
        <v>1592.72</v>
      </c>
      <c r="E1216" s="23">
        <v>765.67</v>
      </c>
      <c r="F1216" s="23">
        <v>827.05</v>
      </c>
      <c r="G1216" s="5" t="s">
        <v>32</v>
      </c>
      <c r="H1216" s="5" t="s">
        <v>7</v>
      </c>
      <c r="I1216" s="5" t="s">
        <v>4</v>
      </c>
      <c r="J1216" s="6">
        <f>Table1[[#This Row],[Profit]]/Table1[[#This Row],[Sales]]</f>
        <v>0.51926892360239085</v>
      </c>
      <c r="K1216" s="5" t="str">
        <f t="shared" si="18"/>
        <v>Medium</v>
      </c>
      <c r="L1216" s="5" t="str">
        <f>TEXT(Table1[[#This Row],[Order_Date]],"MMM")</f>
        <v>May</v>
      </c>
      <c r="M1216" s="5" t="str">
        <f>IF(Table1[[#This Row],[Profit]]&gt;=1000,"Excellent",IF(Table1[[#This Row],[Profit]]&gt;=500,"Good", IF(Table1[[#This Row],[Profit]]&lt;500,"Low")))</f>
        <v>Good</v>
      </c>
      <c r="N1216" s="7" t="str">
        <f>TEXT(Table1[[#This Row],[Order_Date]],"YYY")</f>
        <v>2025</v>
      </c>
    </row>
    <row r="1217" spans="1:14" x14ac:dyDescent="0.3">
      <c r="A1217" s="4">
        <v>45784</v>
      </c>
      <c r="B1217" s="5" t="s">
        <v>16</v>
      </c>
      <c r="C1217" s="5" t="s">
        <v>26</v>
      </c>
      <c r="D1217" s="23">
        <v>1062.3499999999999</v>
      </c>
      <c r="E1217" s="23">
        <v>298.06</v>
      </c>
      <c r="F1217" s="23">
        <v>764.29</v>
      </c>
      <c r="G1217" s="5" t="s">
        <v>32</v>
      </c>
      <c r="H1217" s="5" t="s">
        <v>33</v>
      </c>
      <c r="I1217" s="5" t="s">
        <v>17</v>
      </c>
      <c r="J1217" s="6">
        <f>Table1[[#This Row],[Profit]]/Table1[[#This Row],[Sales]]</f>
        <v>0.71943333176448443</v>
      </c>
      <c r="K1217" s="5" t="str">
        <f t="shared" si="18"/>
        <v>Low</v>
      </c>
      <c r="L1217" s="5" t="str">
        <f>TEXT(Table1[[#This Row],[Order_Date]],"MMM")</f>
        <v>May</v>
      </c>
      <c r="M1217" s="5" t="str">
        <f>IF(Table1[[#This Row],[Profit]]&gt;=1000,"Excellent",IF(Table1[[#This Row],[Profit]]&gt;=500,"Good", IF(Table1[[#This Row],[Profit]]&lt;500,"Low")))</f>
        <v>Good</v>
      </c>
      <c r="N1217" s="7" t="str">
        <f>TEXT(Table1[[#This Row],[Order_Date]],"YYY")</f>
        <v>2025</v>
      </c>
    </row>
    <row r="1218" spans="1:14" x14ac:dyDescent="0.3">
      <c r="A1218" s="4">
        <v>45784</v>
      </c>
      <c r="B1218" s="5" t="s">
        <v>18</v>
      </c>
      <c r="C1218" s="5" t="s">
        <v>1</v>
      </c>
      <c r="D1218" s="23">
        <v>1007.24</v>
      </c>
      <c r="E1218" s="23">
        <v>682.27</v>
      </c>
      <c r="F1218" s="23">
        <v>324.97000000000003</v>
      </c>
      <c r="G1218" s="5" t="s">
        <v>9</v>
      </c>
      <c r="H1218" s="5" t="s">
        <v>10</v>
      </c>
      <c r="I1218" s="5" t="s">
        <v>4</v>
      </c>
      <c r="J1218" s="6">
        <f>Table1[[#This Row],[Profit]]/Table1[[#This Row],[Sales]]</f>
        <v>0.32263412890671539</v>
      </c>
      <c r="K1218" s="5" t="str">
        <f t="shared" ref="K1218:K1281" si="19">IF(D1218&gt;=2000,"High",IF(D1218&gt;=1500,"Medium","Low"))</f>
        <v>Low</v>
      </c>
      <c r="L1218" s="5" t="str">
        <f>TEXT(Table1[[#This Row],[Order_Date]],"MMM")</f>
        <v>May</v>
      </c>
      <c r="M1218" s="5" t="str">
        <f>IF(Table1[[#This Row],[Profit]]&gt;=1000,"Excellent",IF(Table1[[#This Row],[Profit]]&gt;=500,"Good", IF(Table1[[#This Row],[Profit]]&lt;500,"Low")))</f>
        <v>Low</v>
      </c>
      <c r="N1218" s="7" t="str">
        <f>TEXT(Table1[[#This Row],[Order_Date]],"YYY")</f>
        <v>2025</v>
      </c>
    </row>
    <row r="1219" spans="1:14" x14ac:dyDescent="0.3">
      <c r="A1219" s="4">
        <v>45784</v>
      </c>
      <c r="B1219" s="5" t="s">
        <v>13</v>
      </c>
      <c r="C1219" s="5" t="s">
        <v>31</v>
      </c>
      <c r="D1219" s="23">
        <v>34.479999999999997</v>
      </c>
      <c r="E1219" s="23">
        <v>11.26</v>
      </c>
      <c r="F1219" s="23">
        <v>23.22</v>
      </c>
      <c r="G1219" s="5" t="s">
        <v>2</v>
      </c>
      <c r="H1219" s="5" t="s">
        <v>10</v>
      </c>
      <c r="I1219" s="5" t="s">
        <v>17</v>
      </c>
      <c r="J1219" s="6">
        <f>Table1[[#This Row],[Profit]]/Table1[[#This Row],[Sales]]</f>
        <v>0.67343387470997684</v>
      </c>
      <c r="K1219" s="5" t="str">
        <f t="shared" si="19"/>
        <v>Low</v>
      </c>
      <c r="L1219" s="5" t="str">
        <f>TEXT(Table1[[#This Row],[Order_Date]],"MMM")</f>
        <v>May</v>
      </c>
      <c r="M1219" s="5" t="str">
        <f>IF(Table1[[#This Row],[Profit]]&gt;=1000,"Excellent",IF(Table1[[#This Row],[Profit]]&gt;=500,"Good", IF(Table1[[#This Row],[Profit]]&lt;500,"Low")))</f>
        <v>Low</v>
      </c>
      <c r="N1219" s="7" t="str">
        <f>TEXT(Table1[[#This Row],[Order_Date]],"YYY")</f>
        <v>2025</v>
      </c>
    </row>
    <row r="1220" spans="1:14" x14ac:dyDescent="0.3">
      <c r="A1220" s="4">
        <v>45784</v>
      </c>
      <c r="B1220" s="5" t="s">
        <v>0</v>
      </c>
      <c r="C1220" s="5" t="s">
        <v>1</v>
      </c>
      <c r="D1220" s="23">
        <v>421.92</v>
      </c>
      <c r="E1220" s="23">
        <v>223.52</v>
      </c>
      <c r="F1220" s="23">
        <v>198.4</v>
      </c>
      <c r="G1220" s="5" t="s">
        <v>2</v>
      </c>
      <c r="H1220" s="5" t="s">
        <v>12</v>
      </c>
      <c r="I1220" s="5" t="s">
        <v>4</v>
      </c>
      <c r="J1220" s="6">
        <f>Table1[[#This Row],[Profit]]/Table1[[#This Row],[Sales]]</f>
        <v>0.47023132347364427</v>
      </c>
      <c r="K1220" s="5" t="str">
        <f t="shared" si="19"/>
        <v>Low</v>
      </c>
      <c r="L1220" s="5" t="str">
        <f>TEXT(Table1[[#This Row],[Order_Date]],"MMM")</f>
        <v>May</v>
      </c>
      <c r="M1220" s="5" t="str">
        <f>IF(Table1[[#This Row],[Profit]]&gt;=1000,"Excellent",IF(Table1[[#This Row],[Profit]]&gt;=500,"Good", IF(Table1[[#This Row],[Profit]]&lt;500,"Low")))</f>
        <v>Low</v>
      </c>
      <c r="N1220" s="7" t="str">
        <f>TEXT(Table1[[#This Row],[Order_Date]],"YYY")</f>
        <v>2025</v>
      </c>
    </row>
    <row r="1221" spans="1:14" x14ac:dyDescent="0.3">
      <c r="A1221" s="4">
        <v>45786</v>
      </c>
      <c r="B1221" s="5" t="s">
        <v>0</v>
      </c>
      <c r="C1221" s="5" t="s">
        <v>23</v>
      </c>
      <c r="D1221" s="23">
        <v>813.46</v>
      </c>
      <c r="E1221" s="23">
        <v>406.22</v>
      </c>
      <c r="F1221" s="23">
        <v>407.24</v>
      </c>
      <c r="G1221" s="5" t="s">
        <v>9</v>
      </c>
      <c r="H1221" s="5" t="s">
        <v>37</v>
      </c>
      <c r="I1221" s="5" t="s">
        <v>4</v>
      </c>
      <c r="J1221" s="6">
        <f>Table1[[#This Row],[Profit]]/Table1[[#This Row],[Sales]]</f>
        <v>0.50062695154033388</v>
      </c>
      <c r="K1221" s="5" t="str">
        <f t="shared" si="19"/>
        <v>Low</v>
      </c>
      <c r="L1221" s="5" t="str">
        <f>TEXT(Table1[[#This Row],[Order_Date]],"MMM")</f>
        <v>May</v>
      </c>
      <c r="M1221" s="5" t="str">
        <f>IF(Table1[[#This Row],[Profit]]&gt;=1000,"Excellent",IF(Table1[[#This Row],[Profit]]&gt;=500,"Good", IF(Table1[[#This Row],[Profit]]&lt;500,"Low")))</f>
        <v>Low</v>
      </c>
      <c r="N1221" s="7" t="str">
        <f>TEXT(Table1[[#This Row],[Order_Date]],"YYY")</f>
        <v>2025</v>
      </c>
    </row>
    <row r="1222" spans="1:14" x14ac:dyDescent="0.3">
      <c r="A1222" s="4">
        <v>45786</v>
      </c>
      <c r="B1222" s="5" t="s">
        <v>0</v>
      </c>
      <c r="C1222" s="5" t="s">
        <v>1</v>
      </c>
      <c r="D1222" s="23">
        <v>1069.0999999999999</v>
      </c>
      <c r="E1222" s="23">
        <v>495.23</v>
      </c>
      <c r="F1222" s="23">
        <v>573.87</v>
      </c>
      <c r="G1222" s="5" t="s">
        <v>20</v>
      </c>
      <c r="H1222" s="5" t="s">
        <v>30</v>
      </c>
      <c r="I1222" s="5" t="s">
        <v>11</v>
      </c>
      <c r="J1222" s="6">
        <f>Table1[[#This Row],[Profit]]/Table1[[#This Row],[Sales]]</f>
        <v>0.53677859882143864</v>
      </c>
      <c r="K1222" s="5" t="str">
        <f t="shared" si="19"/>
        <v>Low</v>
      </c>
      <c r="L1222" s="5" t="str">
        <f>TEXT(Table1[[#This Row],[Order_Date]],"MMM")</f>
        <v>May</v>
      </c>
      <c r="M1222" s="5" t="str">
        <f>IF(Table1[[#This Row],[Profit]]&gt;=1000,"Excellent",IF(Table1[[#This Row],[Profit]]&gt;=500,"Good", IF(Table1[[#This Row],[Profit]]&lt;500,"Low")))</f>
        <v>Good</v>
      </c>
      <c r="N1222" s="7" t="str">
        <f>TEXT(Table1[[#This Row],[Order_Date]],"YYY")</f>
        <v>2025</v>
      </c>
    </row>
    <row r="1223" spans="1:14" x14ac:dyDescent="0.3">
      <c r="A1223" s="4">
        <v>45786</v>
      </c>
      <c r="B1223" s="5" t="s">
        <v>8</v>
      </c>
      <c r="C1223" s="5" t="s">
        <v>1</v>
      </c>
      <c r="D1223" s="23">
        <v>243.9</v>
      </c>
      <c r="E1223" s="23">
        <v>114.5</v>
      </c>
      <c r="F1223" s="23">
        <v>129.4</v>
      </c>
      <c r="G1223" s="5" t="s">
        <v>20</v>
      </c>
      <c r="H1223" s="5" t="s">
        <v>29</v>
      </c>
      <c r="I1223" s="5" t="s">
        <v>25</v>
      </c>
      <c r="J1223" s="6">
        <f>Table1[[#This Row],[Profit]]/Table1[[#This Row],[Sales]]</f>
        <v>0.53054530545305456</v>
      </c>
      <c r="K1223" s="5" t="str">
        <f t="shared" si="19"/>
        <v>Low</v>
      </c>
      <c r="L1223" s="5" t="str">
        <f>TEXT(Table1[[#This Row],[Order_Date]],"MMM")</f>
        <v>May</v>
      </c>
      <c r="M1223" s="5" t="str">
        <f>IF(Table1[[#This Row],[Profit]]&gt;=1000,"Excellent",IF(Table1[[#This Row],[Profit]]&gt;=500,"Good", IF(Table1[[#This Row],[Profit]]&lt;500,"Low")))</f>
        <v>Low</v>
      </c>
      <c r="N1223" s="7" t="str">
        <f>TEXT(Table1[[#This Row],[Order_Date]],"YYY")</f>
        <v>2025</v>
      </c>
    </row>
    <row r="1224" spans="1:14" x14ac:dyDescent="0.3">
      <c r="A1224" s="4">
        <v>45786</v>
      </c>
      <c r="B1224" s="5" t="s">
        <v>8</v>
      </c>
      <c r="C1224" s="5" t="s">
        <v>5</v>
      </c>
      <c r="D1224" s="23">
        <v>2297.94</v>
      </c>
      <c r="E1224" s="23">
        <v>917.89</v>
      </c>
      <c r="F1224" s="23">
        <v>1380.05</v>
      </c>
      <c r="G1224" s="5" t="s">
        <v>32</v>
      </c>
      <c r="H1224" s="5" t="s">
        <v>3</v>
      </c>
      <c r="I1224" s="5" t="s">
        <v>27</v>
      </c>
      <c r="J1224" s="6">
        <f>Table1[[#This Row],[Profit]]/Table1[[#This Row],[Sales]]</f>
        <v>0.60055963167010451</v>
      </c>
      <c r="K1224" s="5" t="str">
        <f t="shared" si="19"/>
        <v>High</v>
      </c>
      <c r="L1224" s="5" t="str">
        <f>TEXT(Table1[[#This Row],[Order_Date]],"MMM")</f>
        <v>May</v>
      </c>
      <c r="M1224" s="5" t="str">
        <f>IF(Table1[[#This Row],[Profit]]&gt;=1000,"Excellent",IF(Table1[[#This Row],[Profit]]&gt;=500,"Good", IF(Table1[[#This Row],[Profit]]&lt;500,"Low")))</f>
        <v>Excellent</v>
      </c>
      <c r="N1224" s="7" t="str">
        <f>TEXT(Table1[[#This Row],[Order_Date]],"YYY")</f>
        <v>2025</v>
      </c>
    </row>
    <row r="1225" spans="1:14" x14ac:dyDescent="0.3">
      <c r="A1225" s="4">
        <v>45788</v>
      </c>
      <c r="B1225" s="5" t="s">
        <v>13</v>
      </c>
      <c r="C1225" s="5" t="s">
        <v>5</v>
      </c>
      <c r="D1225" s="23">
        <v>1888.51</v>
      </c>
      <c r="E1225" s="23">
        <v>654</v>
      </c>
      <c r="F1225" s="23">
        <v>1234.51</v>
      </c>
      <c r="G1225" s="5" t="s">
        <v>6</v>
      </c>
      <c r="H1225" s="5" t="s">
        <v>34</v>
      </c>
      <c r="I1225" s="5" t="s">
        <v>11</v>
      </c>
      <c r="J1225" s="6">
        <f>Table1[[#This Row],[Profit]]/Table1[[#This Row],[Sales]]</f>
        <v>0.65369524122191569</v>
      </c>
      <c r="K1225" s="5" t="str">
        <f t="shared" si="19"/>
        <v>Medium</v>
      </c>
      <c r="L1225" s="5" t="str">
        <f>TEXT(Table1[[#This Row],[Order_Date]],"MMM")</f>
        <v>May</v>
      </c>
      <c r="M1225" s="5" t="str">
        <f>IF(Table1[[#This Row],[Profit]]&gt;=1000,"Excellent",IF(Table1[[#This Row],[Profit]]&gt;=500,"Good", IF(Table1[[#This Row],[Profit]]&lt;500,"Low")))</f>
        <v>Excellent</v>
      </c>
      <c r="N1225" s="7" t="str">
        <f>TEXT(Table1[[#This Row],[Order_Date]],"YYY")</f>
        <v>2025</v>
      </c>
    </row>
    <row r="1226" spans="1:14" x14ac:dyDescent="0.3">
      <c r="A1226" s="4">
        <v>45788</v>
      </c>
      <c r="B1226" s="5" t="s">
        <v>8</v>
      </c>
      <c r="C1226" s="5" t="s">
        <v>5</v>
      </c>
      <c r="D1226" s="23">
        <v>2282.19</v>
      </c>
      <c r="E1226" s="23">
        <v>785.95</v>
      </c>
      <c r="F1226" s="23">
        <v>1496.24</v>
      </c>
      <c r="G1226" s="5" t="s">
        <v>9</v>
      </c>
      <c r="H1226" s="5" t="s">
        <v>35</v>
      </c>
      <c r="I1226" s="5" t="s">
        <v>22</v>
      </c>
      <c r="J1226" s="6">
        <f>Table1[[#This Row],[Profit]]/Table1[[#This Row],[Sales]]</f>
        <v>0.65561587773147723</v>
      </c>
      <c r="K1226" s="5" t="str">
        <f t="shared" si="19"/>
        <v>High</v>
      </c>
      <c r="L1226" s="5" t="str">
        <f>TEXT(Table1[[#This Row],[Order_Date]],"MMM")</f>
        <v>May</v>
      </c>
      <c r="M1226" s="5" t="str">
        <f>IF(Table1[[#This Row],[Profit]]&gt;=1000,"Excellent",IF(Table1[[#This Row],[Profit]]&gt;=500,"Good", IF(Table1[[#This Row],[Profit]]&lt;500,"Low")))</f>
        <v>Excellent</v>
      </c>
      <c r="N1226" s="7" t="str">
        <f>TEXT(Table1[[#This Row],[Order_Date]],"YYY")</f>
        <v>2025</v>
      </c>
    </row>
    <row r="1227" spans="1:14" x14ac:dyDescent="0.3">
      <c r="A1227" s="4">
        <v>45788</v>
      </c>
      <c r="B1227" s="5" t="s">
        <v>16</v>
      </c>
      <c r="C1227" s="5" t="s">
        <v>26</v>
      </c>
      <c r="D1227" s="23">
        <v>435.05</v>
      </c>
      <c r="E1227" s="23">
        <v>112.1</v>
      </c>
      <c r="F1227" s="23">
        <v>322.95</v>
      </c>
      <c r="G1227" s="5" t="s">
        <v>20</v>
      </c>
      <c r="H1227" s="5" t="s">
        <v>35</v>
      </c>
      <c r="I1227" s="5" t="s">
        <v>25</v>
      </c>
      <c r="J1227" s="6">
        <f>Table1[[#This Row],[Profit]]/Table1[[#This Row],[Sales]]</f>
        <v>0.74232846799218477</v>
      </c>
      <c r="K1227" s="5" t="str">
        <f t="shared" si="19"/>
        <v>Low</v>
      </c>
      <c r="L1227" s="5" t="str">
        <f>TEXT(Table1[[#This Row],[Order_Date]],"MMM")</f>
        <v>May</v>
      </c>
      <c r="M1227" s="5" t="str">
        <f>IF(Table1[[#This Row],[Profit]]&gt;=1000,"Excellent",IF(Table1[[#This Row],[Profit]]&gt;=500,"Good", IF(Table1[[#This Row],[Profit]]&lt;500,"Low")))</f>
        <v>Low</v>
      </c>
      <c r="N1227" s="7" t="str">
        <f>TEXT(Table1[[#This Row],[Order_Date]],"YYY")</f>
        <v>2025</v>
      </c>
    </row>
    <row r="1228" spans="1:14" x14ac:dyDescent="0.3">
      <c r="A1228" s="4">
        <v>45789</v>
      </c>
      <c r="B1228" s="5" t="s">
        <v>13</v>
      </c>
      <c r="C1228" s="5" t="s">
        <v>19</v>
      </c>
      <c r="D1228" s="23">
        <v>109.82</v>
      </c>
      <c r="E1228" s="23">
        <v>49.13</v>
      </c>
      <c r="F1228" s="23">
        <v>60.69</v>
      </c>
      <c r="G1228" s="5" t="s">
        <v>6</v>
      </c>
      <c r="H1228" s="5" t="s">
        <v>33</v>
      </c>
      <c r="I1228" s="5" t="s">
        <v>22</v>
      </c>
      <c r="J1228" s="6">
        <f>Table1[[#This Row],[Profit]]/Table1[[#This Row],[Sales]]</f>
        <v>0.55263157894736847</v>
      </c>
      <c r="K1228" s="5" t="str">
        <f t="shared" si="19"/>
        <v>Low</v>
      </c>
      <c r="L1228" s="5" t="str">
        <f>TEXT(Table1[[#This Row],[Order_Date]],"MMM")</f>
        <v>May</v>
      </c>
      <c r="M1228" s="5" t="str">
        <f>IF(Table1[[#This Row],[Profit]]&gt;=1000,"Excellent",IF(Table1[[#This Row],[Profit]]&gt;=500,"Good", IF(Table1[[#This Row],[Profit]]&lt;500,"Low")))</f>
        <v>Low</v>
      </c>
      <c r="N1228" s="7" t="str">
        <f>TEXT(Table1[[#This Row],[Order_Date]],"YYY")</f>
        <v>2025</v>
      </c>
    </row>
    <row r="1229" spans="1:14" x14ac:dyDescent="0.3">
      <c r="A1229" s="4">
        <v>45789</v>
      </c>
      <c r="B1229" s="5" t="s">
        <v>8</v>
      </c>
      <c r="C1229" s="5" t="s">
        <v>31</v>
      </c>
      <c r="D1229" s="23">
        <v>153.13</v>
      </c>
      <c r="E1229" s="23">
        <v>36.58</v>
      </c>
      <c r="F1229" s="23">
        <v>116.55</v>
      </c>
      <c r="G1229" s="5" t="s">
        <v>20</v>
      </c>
      <c r="H1229" s="5" t="s">
        <v>10</v>
      </c>
      <c r="I1229" s="5" t="s">
        <v>4</v>
      </c>
      <c r="J1229" s="6">
        <f>Table1[[#This Row],[Profit]]/Table1[[#This Row],[Sales]]</f>
        <v>0.76111800431006338</v>
      </c>
      <c r="K1229" s="5" t="str">
        <f t="shared" si="19"/>
        <v>Low</v>
      </c>
      <c r="L1229" s="5" t="str">
        <f>TEXT(Table1[[#This Row],[Order_Date]],"MMM")</f>
        <v>May</v>
      </c>
      <c r="M1229" s="5" t="str">
        <f>IF(Table1[[#This Row],[Profit]]&gt;=1000,"Excellent",IF(Table1[[#This Row],[Profit]]&gt;=500,"Good", IF(Table1[[#This Row],[Profit]]&lt;500,"Low")))</f>
        <v>Low</v>
      </c>
      <c r="N1229" s="7" t="str">
        <f>TEXT(Table1[[#This Row],[Order_Date]],"YYY")</f>
        <v>2025</v>
      </c>
    </row>
    <row r="1230" spans="1:14" x14ac:dyDescent="0.3">
      <c r="A1230" s="4">
        <v>45789</v>
      </c>
      <c r="B1230" s="5" t="s">
        <v>0</v>
      </c>
      <c r="C1230" s="5" t="s">
        <v>19</v>
      </c>
      <c r="D1230" s="23">
        <v>83.27</v>
      </c>
      <c r="E1230" s="23">
        <v>19.27</v>
      </c>
      <c r="F1230" s="23">
        <v>64</v>
      </c>
      <c r="G1230" s="5" t="s">
        <v>32</v>
      </c>
      <c r="H1230" s="5" t="s">
        <v>36</v>
      </c>
      <c r="I1230" s="5" t="s">
        <v>17</v>
      </c>
      <c r="J1230" s="6">
        <f>Table1[[#This Row],[Profit]]/Table1[[#This Row],[Sales]]</f>
        <v>0.76858412393419007</v>
      </c>
      <c r="K1230" s="5" t="str">
        <f t="shared" si="19"/>
        <v>Low</v>
      </c>
      <c r="L1230" s="5" t="str">
        <f>TEXT(Table1[[#This Row],[Order_Date]],"MMM")</f>
        <v>May</v>
      </c>
      <c r="M1230" s="5" t="str">
        <f>IF(Table1[[#This Row],[Profit]]&gt;=1000,"Excellent",IF(Table1[[#This Row],[Profit]]&gt;=500,"Good", IF(Table1[[#This Row],[Profit]]&lt;500,"Low")))</f>
        <v>Low</v>
      </c>
      <c r="N1230" s="7" t="str">
        <f>TEXT(Table1[[#This Row],[Order_Date]],"YYY")</f>
        <v>2025</v>
      </c>
    </row>
    <row r="1231" spans="1:14" x14ac:dyDescent="0.3">
      <c r="A1231" s="4">
        <v>45791</v>
      </c>
      <c r="B1231" s="5" t="s">
        <v>13</v>
      </c>
      <c r="C1231" s="5" t="s">
        <v>1</v>
      </c>
      <c r="D1231" s="23">
        <v>707.93</v>
      </c>
      <c r="E1231" s="23">
        <v>441.28</v>
      </c>
      <c r="F1231" s="23">
        <v>266.64999999999998</v>
      </c>
      <c r="G1231" s="5" t="s">
        <v>9</v>
      </c>
      <c r="H1231" s="5" t="s">
        <v>30</v>
      </c>
      <c r="I1231" s="5" t="s">
        <v>11</v>
      </c>
      <c r="J1231" s="6">
        <f>Table1[[#This Row],[Profit]]/Table1[[#This Row],[Sales]]</f>
        <v>0.3766615343324905</v>
      </c>
      <c r="K1231" s="5" t="str">
        <f t="shared" si="19"/>
        <v>Low</v>
      </c>
      <c r="L1231" s="5" t="str">
        <f>TEXT(Table1[[#This Row],[Order_Date]],"MMM")</f>
        <v>May</v>
      </c>
      <c r="M1231" s="5" t="str">
        <f>IF(Table1[[#This Row],[Profit]]&gt;=1000,"Excellent",IF(Table1[[#This Row],[Profit]]&gt;=500,"Good", IF(Table1[[#This Row],[Profit]]&lt;500,"Low")))</f>
        <v>Low</v>
      </c>
      <c r="N1231" s="7" t="str">
        <f>TEXT(Table1[[#This Row],[Order_Date]],"YYY")</f>
        <v>2025</v>
      </c>
    </row>
    <row r="1232" spans="1:14" x14ac:dyDescent="0.3">
      <c r="A1232" s="4">
        <v>45791</v>
      </c>
      <c r="B1232" s="5" t="s">
        <v>0</v>
      </c>
      <c r="C1232" s="5" t="s">
        <v>1</v>
      </c>
      <c r="D1232" s="23">
        <v>715.43</v>
      </c>
      <c r="E1232" s="23">
        <v>454.79</v>
      </c>
      <c r="F1232" s="23">
        <v>260.64</v>
      </c>
      <c r="G1232" s="5" t="s">
        <v>9</v>
      </c>
      <c r="H1232" s="5" t="s">
        <v>24</v>
      </c>
      <c r="I1232" s="5" t="s">
        <v>11</v>
      </c>
      <c r="J1232" s="6">
        <f>Table1[[#This Row],[Profit]]/Table1[[#This Row],[Sales]]</f>
        <v>0.36431237158072766</v>
      </c>
      <c r="K1232" s="5" t="str">
        <f t="shared" si="19"/>
        <v>Low</v>
      </c>
      <c r="L1232" s="5" t="str">
        <f>TEXT(Table1[[#This Row],[Order_Date]],"MMM")</f>
        <v>May</v>
      </c>
      <c r="M1232" s="5" t="str">
        <f>IF(Table1[[#This Row],[Profit]]&gt;=1000,"Excellent",IF(Table1[[#This Row],[Profit]]&gt;=500,"Good", IF(Table1[[#This Row],[Profit]]&lt;500,"Low")))</f>
        <v>Low</v>
      </c>
      <c r="N1232" s="7" t="str">
        <f>TEXT(Table1[[#This Row],[Order_Date]],"YYY")</f>
        <v>2025</v>
      </c>
    </row>
    <row r="1233" spans="1:14" x14ac:dyDescent="0.3">
      <c r="A1233" s="4">
        <v>45791</v>
      </c>
      <c r="B1233" s="5" t="s">
        <v>8</v>
      </c>
      <c r="C1233" s="5" t="s">
        <v>31</v>
      </c>
      <c r="D1233" s="23">
        <v>248.19</v>
      </c>
      <c r="E1233" s="23">
        <v>84.89</v>
      </c>
      <c r="F1233" s="23">
        <v>163.30000000000001</v>
      </c>
      <c r="G1233" s="5" t="s">
        <v>6</v>
      </c>
      <c r="H1233" s="5" t="s">
        <v>21</v>
      </c>
      <c r="I1233" s="5" t="s">
        <v>11</v>
      </c>
      <c r="J1233" s="6">
        <f>Table1[[#This Row],[Profit]]/Table1[[#This Row],[Sales]]</f>
        <v>0.65796365687578073</v>
      </c>
      <c r="K1233" s="5" t="str">
        <f t="shared" si="19"/>
        <v>Low</v>
      </c>
      <c r="L1233" s="5" t="str">
        <f>TEXT(Table1[[#This Row],[Order_Date]],"MMM")</f>
        <v>May</v>
      </c>
      <c r="M1233" s="5" t="str">
        <f>IF(Table1[[#This Row],[Profit]]&gt;=1000,"Excellent",IF(Table1[[#This Row],[Profit]]&gt;=500,"Good", IF(Table1[[#This Row],[Profit]]&lt;500,"Low")))</f>
        <v>Low</v>
      </c>
      <c r="N1233" s="7" t="str">
        <f>TEXT(Table1[[#This Row],[Order_Date]],"YYY")</f>
        <v>2025</v>
      </c>
    </row>
    <row r="1234" spans="1:14" x14ac:dyDescent="0.3">
      <c r="A1234" s="4">
        <v>45792</v>
      </c>
      <c r="B1234" s="5" t="s">
        <v>0</v>
      </c>
      <c r="C1234" s="5" t="s">
        <v>26</v>
      </c>
      <c r="D1234" s="23">
        <v>933.04</v>
      </c>
      <c r="E1234" s="23">
        <v>248.03</v>
      </c>
      <c r="F1234" s="23">
        <v>685.01</v>
      </c>
      <c r="G1234" s="5" t="s">
        <v>6</v>
      </c>
      <c r="H1234" s="5" t="s">
        <v>24</v>
      </c>
      <c r="I1234" s="5" t="s">
        <v>27</v>
      </c>
      <c r="J1234" s="6">
        <f>Table1[[#This Row],[Profit]]/Table1[[#This Row],[Sales]]</f>
        <v>0.73417002486495753</v>
      </c>
      <c r="K1234" s="5" t="str">
        <f t="shared" si="19"/>
        <v>Low</v>
      </c>
      <c r="L1234" s="5" t="str">
        <f>TEXT(Table1[[#This Row],[Order_Date]],"MMM")</f>
        <v>May</v>
      </c>
      <c r="M1234" s="5" t="str">
        <f>IF(Table1[[#This Row],[Profit]]&gt;=1000,"Excellent",IF(Table1[[#This Row],[Profit]]&gt;=500,"Good", IF(Table1[[#This Row],[Profit]]&lt;500,"Low")))</f>
        <v>Good</v>
      </c>
      <c r="N1234" s="7" t="str">
        <f>TEXT(Table1[[#This Row],[Order_Date]],"YYY")</f>
        <v>2025</v>
      </c>
    </row>
    <row r="1235" spans="1:14" x14ac:dyDescent="0.3">
      <c r="A1235" s="4">
        <v>45792</v>
      </c>
      <c r="B1235" s="5" t="s">
        <v>18</v>
      </c>
      <c r="C1235" s="5" t="s">
        <v>5</v>
      </c>
      <c r="D1235" s="23">
        <v>2405.4</v>
      </c>
      <c r="E1235" s="23">
        <v>818.69</v>
      </c>
      <c r="F1235" s="23">
        <v>1586.71</v>
      </c>
      <c r="G1235" s="5" t="s">
        <v>6</v>
      </c>
      <c r="H1235" s="5" t="s">
        <v>37</v>
      </c>
      <c r="I1235" s="5" t="s">
        <v>25</v>
      </c>
      <c r="J1235" s="6">
        <f>Table1[[#This Row],[Profit]]/Table1[[#This Row],[Sales]]</f>
        <v>0.65964496549430451</v>
      </c>
      <c r="K1235" s="5" t="str">
        <f t="shared" si="19"/>
        <v>High</v>
      </c>
      <c r="L1235" s="5" t="str">
        <f>TEXT(Table1[[#This Row],[Order_Date]],"MMM")</f>
        <v>May</v>
      </c>
      <c r="M1235" s="5" t="str">
        <f>IF(Table1[[#This Row],[Profit]]&gt;=1000,"Excellent",IF(Table1[[#This Row],[Profit]]&gt;=500,"Good", IF(Table1[[#This Row],[Profit]]&lt;500,"Low")))</f>
        <v>Excellent</v>
      </c>
      <c r="N1235" s="7" t="str">
        <f>TEXT(Table1[[#This Row],[Order_Date]],"YYY")</f>
        <v>2025</v>
      </c>
    </row>
    <row r="1236" spans="1:14" x14ac:dyDescent="0.3">
      <c r="A1236" s="4">
        <v>45792</v>
      </c>
      <c r="B1236" s="5" t="s">
        <v>16</v>
      </c>
      <c r="C1236" s="5" t="s">
        <v>19</v>
      </c>
      <c r="D1236" s="23">
        <v>144.63999999999999</v>
      </c>
      <c r="E1236" s="23">
        <v>44.59</v>
      </c>
      <c r="F1236" s="23">
        <v>100.05</v>
      </c>
      <c r="G1236" s="5" t="s">
        <v>2</v>
      </c>
      <c r="H1236" s="5" t="s">
        <v>15</v>
      </c>
      <c r="I1236" s="5" t="s">
        <v>22</v>
      </c>
      <c r="J1236" s="6">
        <f>Table1[[#This Row],[Profit]]/Table1[[#This Row],[Sales]]</f>
        <v>0.69171736725663724</v>
      </c>
      <c r="K1236" s="5" t="str">
        <f t="shared" si="19"/>
        <v>Low</v>
      </c>
      <c r="L1236" s="5" t="str">
        <f>TEXT(Table1[[#This Row],[Order_Date]],"MMM")</f>
        <v>May</v>
      </c>
      <c r="M1236" s="5" t="str">
        <f>IF(Table1[[#This Row],[Profit]]&gt;=1000,"Excellent",IF(Table1[[#This Row],[Profit]]&gt;=500,"Good", IF(Table1[[#This Row],[Profit]]&lt;500,"Low")))</f>
        <v>Low</v>
      </c>
      <c r="N1236" s="7" t="str">
        <f>TEXT(Table1[[#This Row],[Order_Date]],"YYY")</f>
        <v>2025</v>
      </c>
    </row>
    <row r="1237" spans="1:14" x14ac:dyDescent="0.3">
      <c r="A1237" s="4">
        <v>45793</v>
      </c>
      <c r="B1237" s="5" t="s">
        <v>13</v>
      </c>
      <c r="C1237" s="5" t="s">
        <v>26</v>
      </c>
      <c r="D1237" s="23">
        <v>989.31</v>
      </c>
      <c r="E1237" s="23">
        <v>358.73</v>
      </c>
      <c r="F1237" s="23">
        <v>630.58000000000004</v>
      </c>
      <c r="G1237" s="5" t="s">
        <v>2</v>
      </c>
      <c r="H1237" s="5" t="s">
        <v>33</v>
      </c>
      <c r="I1237" s="5" t="s">
        <v>17</v>
      </c>
      <c r="J1237" s="6">
        <f>Table1[[#This Row],[Profit]]/Table1[[#This Row],[Sales]]</f>
        <v>0.63739373907066554</v>
      </c>
      <c r="K1237" s="5" t="str">
        <f t="shared" si="19"/>
        <v>Low</v>
      </c>
      <c r="L1237" s="5" t="str">
        <f>TEXT(Table1[[#This Row],[Order_Date]],"MMM")</f>
        <v>May</v>
      </c>
      <c r="M1237" s="5" t="str">
        <f>IF(Table1[[#This Row],[Profit]]&gt;=1000,"Excellent",IF(Table1[[#This Row],[Profit]]&gt;=500,"Good", IF(Table1[[#This Row],[Profit]]&lt;500,"Low")))</f>
        <v>Good</v>
      </c>
      <c r="N1237" s="7" t="str">
        <f>TEXT(Table1[[#This Row],[Order_Date]],"YYY")</f>
        <v>2025</v>
      </c>
    </row>
    <row r="1238" spans="1:14" x14ac:dyDescent="0.3">
      <c r="A1238" s="4">
        <v>45793</v>
      </c>
      <c r="B1238" s="5" t="s">
        <v>18</v>
      </c>
      <c r="C1238" s="5" t="s">
        <v>23</v>
      </c>
      <c r="D1238" s="23">
        <v>673.58</v>
      </c>
      <c r="E1238" s="23">
        <v>219.65</v>
      </c>
      <c r="F1238" s="23">
        <v>453.93</v>
      </c>
      <c r="G1238" s="5" t="s">
        <v>32</v>
      </c>
      <c r="H1238" s="5" t="s">
        <v>28</v>
      </c>
      <c r="I1238" s="5" t="s">
        <v>11</v>
      </c>
      <c r="J1238" s="6">
        <f>Table1[[#This Row],[Profit]]/Table1[[#This Row],[Sales]]</f>
        <v>0.67390658867543574</v>
      </c>
      <c r="K1238" s="5" t="str">
        <f t="shared" si="19"/>
        <v>Low</v>
      </c>
      <c r="L1238" s="5" t="str">
        <f>TEXT(Table1[[#This Row],[Order_Date]],"MMM")</f>
        <v>May</v>
      </c>
      <c r="M1238" s="5" t="str">
        <f>IF(Table1[[#This Row],[Profit]]&gt;=1000,"Excellent",IF(Table1[[#This Row],[Profit]]&gt;=500,"Good", IF(Table1[[#This Row],[Profit]]&lt;500,"Low")))</f>
        <v>Low</v>
      </c>
      <c r="N1238" s="7" t="str">
        <f>TEXT(Table1[[#This Row],[Order_Date]],"YYY")</f>
        <v>2025</v>
      </c>
    </row>
    <row r="1239" spans="1:14" x14ac:dyDescent="0.3">
      <c r="A1239" s="4">
        <v>45795</v>
      </c>
      <c r="B1239" s="5" t="s">
        <v>8</v>
      </c>
      <c r="C1239" s="5" t="s">
        <v>5</v>
      </c>
      <c r="D1239" s="23">
        <v>2393.4499999999998</v>
      </c>
      <c r="E1239" s="23">
        <v>1070.03</v>
      </c>
      <c r="F1239" s="23">
        <v>1323.42</v>
      </c>
      <c r="G1239" s="5" t="s">
        <v>2</v>
      </c>
      <c r="H1239" s="5" t="s">
        <v>30</v>
      </c>
      <c r="I1239" s="5" t="s">
        <v>17</v>
      </c>
      <c r="J1239" s="6">
        <f>Table1[[#This Row],[Profit]]/Table1[[#This Row],[Sales]]</f>
        <v>0.55293404917587585</v>
      </c>
      <c r="K1239" s="5" t="str">
        <f t="shared" si="19"/>
        <v>High</v>
      </c>
      <c r="L1239" s="5" t="str">
        <f>TEXT(Table1[[#This Row],[Order_Date]],"MMM")</f>
        <v>May</v>
      </c>
      <c r="M1239" s="5" t="str">
        <f>IF(Table1[[#This Row],[Profit]]&gt;=1000,"Excellent",IF(Table1[[#This Row],[Profit]]&gt;=500,"Good", IF(Table1[[#This Row],[Profit]]&lt;500,"Low")))</f>
        <v>Excellent</v>
      </c>
      <c r="N1239" s="7" t="str">
        <f>TEXT(Table1[[#This Row],[Order_Date]],"YYY")</f>
        <v>2025</v>
      </c>
    </row>
    <row r="1240" spans="1:14" x14ac:dyDescent="0.3">
      <c r="A1240" s="4">
        <v>45796</v>
      </c>
      <c r="B1240" s="5" t="s">
        <v>18</v>
      </c>
      <c r="C1240" s="5" t="s">
        <v>19</v>
      </c>
      <c r="D1240" s="23">
        <v>71.260000000000005</v>
      </c>
      <c r="E1240" s="23">
        <v>22.13</v>
      </c>
      <c r="F1240" s="23">
        <v>49.13</v>
      </c>
      <c r="G1240" s="5" t="s">
        <v>20</v>
      </c>
      <c r="H1240" s="5" t="s">
        <v>37</v>
      </c>
      <c r="I1240" s="5" t="s">
        <v>27</v>
      </c>
      <c r="J1240" s="6">
        <f>Table1[[#This Row],[Profit]]/Table1[[#This Row],[Sales]]</f>
        <v>0.68944709514454106</v>
      </c>
      <c r="K1240" s="5" t="str">
        <f t="shared" si="19"/>
        <v>Low</v>
      </c>
      <c r="L1240" s="5" t="str">
        <f>TEXT(Table1[[#This Row],[Order_Date]],"MMM")</f>
        <v>May</v>
      </c>
      <c r="M1240" s="5" t="str">
        <f>IF(Table1[[#This Row],[Profit]]&gt;=1000,"Excellent",IF(Table1[[#This Row],[Profit]]&gt;=500,"Good", IF(Table1[[#This Row],[Profit]]&lt;500,"Low")))</f>
        <v>Low</v>
      </c>
      <c r="N1240" s="7" t="str">
        <f>TEXT(Table1[[#This Row],[Order_Date]],"YYY")</f>
        <v>2025</v>
      </c>
    </row>
    <row r="1241" spans="1:14" x14ac:dyDescent="0.3">
      <c r="A1241" s="4">
        <v>45796</v>
      </c>
      <c r="B1241" s="5" t="s">
        <v>0</v>
      </c>
      <c r="C1241" s="5" t="s">
        <v>23</v>
      </c>
      <c r="D1241" s="23">
        <v>851.31</v>
      </c>
      <c r="E1241" s="23">
        <v>253.05</v>
      </c>
      <c r="F1241" s="23">
        <v>598.26</v>
      </c>
      <c r="G1241" s="5" t="s">
        <v>2</v>
      </c>
      <c r="H1241" s="5" t="s">
        <v>21</v>
      </c>
      <c r="I1241" s="5" t="s">
        <v>4</v>
      </c>
      <c r="J1241" s="6">
        <f>Table1[[#This Row],[Profit]]/Table1[[#This Row],[Sales]]</f>
        <v>0.70275222891778555</v>
      </c>
      <c r="K1241" s="5" t="str">
        <f t="shared" si="19"/>
        <v>Low</v>
      </c>
      <c r="L1241" s="5" t="str">
        <f>TEXT(Table1[[#This Row],[Order_Date]],"MMM")</f>
        <v>May</v>
      </c>
      <c r="M1241" s="5" t="str">
        <f>IF(Table1[[#This Row],[Profit]]&gt;=1000,"Excellent",IF(Table1[[#This Row],[Profit]]&gt;=500,"Good", IF(Table1[[#This Row],[Profit]]&lt;500,"Low")))</f>
        <v>Good</v>
      </c>
      <c r="N1241" s="7" t="str">
        <f>TEXT(Table1[[#This Row],[Order_Date]],"YYY")</f>
        <v>2025</v>
      </c>
    </row>
    <row r="1242" spans="1:14" x14ac:dyDescent="0.3">
      <c r="A1242" s="4">
        <v>45799</v>
      </c>
      <c r="B1242" s="5" t="s">
        <v>13</v>
      </c>
      <c r="C1242" s="5" t="s">
        <v>5</v>
      </c>
      <c r="D1242" s="23">
        <v>964.74</v>
      </c>
      <c r="E1242" s="23">
        <v>374.8</v>
      </c>
      <c r="F1242" s="23">
        <v>589.94000000000005</v>
      </c>
      <c r="G1242" s="5" t="s">
        <v>6</v>
      </c>
      <c r="H1242" s="5" t="s">
        <v>15</v>
      </c>
      <c r="I1242" s="5" t="s">
        <v>25</v>
      </c>
      <c r="J1242" s="6">
        <f>Table1[[#This Row],[Profit]]/Table1[[#This Row],[Sales]]</f>
        <v>0.6115015444575741</v>
      </c>
      <c r="K1242" s="5" t="str">
        <f t="shared" si="19"/>
        <v>Low</v>
      </c>
      <c r="L1242" s="5" t="str">
        <f>TEXT(Table1[[#This Row],[Order_Date]],"MMM")</f>
        <v>May</v>
      </c>
      <c r="M1242" s="5" t="str">
        <f>IF(Table1[[#This Row],[Profit]]&gt;=1000,"Excellent",IF(Table1[[#This Row],[Profit]]&gt;=500,"Good", IF(Table1[[#This Row],[Profit]]&lt;500,"Low")))</f>
        <v>Good</v>
      </c>
      <c r="N1242" s="7" t="str">
        <f>TEXT(Table1[[#This Row],[Order_Date]],"YYY")</f>
        <v>2025</v>
      </c>
    </row>
    <row r="1243" spans="1:14" x14ac:dyDescent="0.3">
      <c r="A1243" s="4">
        <v>45799</v>
      </c>
      <c r="B1243" s="5" t="s">
        <v>16</v>
      </c>
      <c r="C1243" s="5" t="s">
        <v>31</v>
      </c>
      <c r="D1243" s="23">
        <v>207.04</v>
      </c>
      <c r="E1243" s="23">
        <v>76.599999999999994</v>
      </c>
      <c r="F1243" s="23">
        <v>130.44</v>
      </c>
      <c r="G1243" s="5" t="s">
        <v>6</v>
      </c>
      <c r="H1243" s="5" t="s">
        <v>3</v>
      </c>
      <c r="I1243" s="5" t="s">
        <v>27</v>
      </c>
      <c r="J1243" s="6">
        <f>Table1[[#This Row],[Profit]]/Table1[[#This Row],[Sales]]</f>
        <v>0.63002318392581147</v>
      </c>
      <c r="K1243" s="5" t="str">
        <f t="shared" si="19"/>
        <v>Low</v>
      </c>
      <c r="L1243" s="5" t="str">
        <f>TEXT(Table1[[#This Row],[Order_Date]],"MMM")</f>
        <v>May</v>
      </c>
      <c r="M1243" s="5" t="str">
        <f>IF(Table1[[#This Row],[Profit]]&gt;=1000,"Excellent",IF(Table1[[#This Row],[Profit]]&gt;=500,"Good", IF(Table1[[#This Row],[Profit]]&lt;500,"Low")))</f>
        <v>Low</v>
      </c>
      <c r="N1243" s="7" t="str">
        <f>TEXT(Table1[[#This Row],[Order_Date]],"YYY")</f>
        <v>2025</v>
      </c>
    </row>
    <row r="1244" spans="1:14" x14ac:dyDescent="0.3">
      <c r="A1244" s="4">
        <v>45800</v>
      </c>
      <c r="B1244" s="5" t="s">
        <v>16</v>
      </c>
      <c r="C1244" s="5" t="s">
        <v>23</v>
      </c>
      <c r="D1244" s="23">
        <v>603.79</v>
      </c>
      <c r="E1244" s="23">
        <v>281.95999999999998</v>
      </c>
      <c r="F1244" s="23">
        <v>321.83</v>
      </c>
      <c r="G1244" s="5" t="s">
        <v>9</v>
      </c>
      <c r="H1244" s="5" t="s">
        <v>37</v>
      </c>
      <c r="I1244" s="5" t="s">
        <v>11</v>
      </c>
      <c r="J1244" s="6">
        <f>Table1[[#This Row],[Profit]]/Table1[[#This Row],[Sales]]</f>
        <v>0.53301644611537125</v>
      </c>
      <c r="K1244" s="5" t="str">
        <f t="shared" si="19"/>
        <v>Low</v>
      </c>
      <c r="L1244" s="5" t="str">
        <f>TEXT(Table1[[#This Row],[Order_Date]],"MMM")</f>
        <v>May</v>
      </c>
      <c r="M1244" s="5" t="str">
        <f>IF(Table1[[#This Row],[Profit]]&gt;=1000,"Excellent",IF(Table1[[#This Row],[Profit]]&gt;=500,"Good", IF(Table1[[#This Row],[Profit]]&lt;500,"Low")))</f>
        <v>Low</v>
      </c>
      <c r="N1244" s="7" t="str">
        <f>TEXT(Table1[[#This Row],[Order_Date]],"YYY")</f>
        <v>2025</v>
      </c>
    </row>
    <row r="1245" spans="1:14" x14ac:dyDescent="0.3">
      <c r="A1245" s="4">
        <v>45800</v>
      </c>
      <c r="B1245" s="5" t="s">
        <v>8</v>
      </c>
      <c r="C1245" s="5" t="s">
        <v>19</v>
      </c>
      <c r="D1245" s="23">
        <v>114.64</v>
      </c>
      <c r="E1245" s="23">
        <v>49.26</v>
      </c>
      <c r="F1245" s="23">
        <v>65.38</v>
      </c>
      <c r="G1245" s="5" t="s">
        <v>2</v>
      </c>
      <c r="H1245" s="5" t="s">
        <v>7</v>
      </c>
      <c r="I1245" s="5" t="s">
        <v>27</v>
      </c>
      <c r="J1245" s="6">
        <f>Table1[[#This Row],[Profit]]/Table1[[#This Row],[Sales]]</f>
        <v>0.57030704815073263</v>
      </c>
      <c r="K1245" s="5" t="str">
        <f t="shared" si="19"/>
        <v>Low</v>
      </c>
      <c r="L1245" s="5" t="str">
        <f>TEXT(Table1[[#This Row],[Order_Date]],"MMM")</f>
        <v>May</v>
      </c>
      <c r="M1245" s="5" t="str">
        <f>IF(Table1[[#This Row],[Profit]]&gt;=1000,"Excellent",IF(Table1[[#This Row],[Profit]]&gt;=500,"Good", IF(Table1[[#This Row],[Profit]]&lt;500,"Low")))</f>
        <v>Low</v>
      </c>
      <c r="N1245" s="7" t="str">
        <f>TEXT(Table1[[#This Row],[Order_Date]],"YYY")</f>
        <v>2025</v>
      </c>
    </row>
    <row r="1246" spans="1:14" x14ac:dyDescent="0.3">
      <c r="A1246" s="4">
        <v>45801</v>
      </c>
      <c r="B1246" s="5" t="s">
        <v>18</v>
      </c>
      <c r="C1246" s="5" t="s">
        <v>26</v>
      </c>
      <c r="D1246" s="23">
        <v>428.47</v>
      </c>
      <c r="E1246" s="23">
        <v>171.43</v>
      </c>
      <c r="F1246" s="23">
        <v>257.04000000000002</v>
      </c>
      <c r="G1246" s="5" t="s">
        <v>32</v>
      </c>
      <c r="H1246" s="5" t="s">
        <v>15</v>
      </c>
      <c r="I1246" s="5" t="s">
        <v>27</v>
      </c>
      <c r="J1246" s="6">
        <f>Table1[[#This Row],[Profit]]/Table1[[#This Row],[Sales]]</f>
        <v>0.5999019768011763</v>
      </c>
      <c r="K1246" s="5" t="str">
        <f t="shared" si="19"/>
        <v>Low</v>
      </c>
      <c r="L1246" s="5" t="str">
        <f>TEXT(Table1[[#This Row],[Order_Date]],"MMM")</f>
        <v>May</v>
      </c>
      <c r="M1246" s="5" t="str">
        <f>IF(Table1[[#This Row],[Profit]]&gt;=1000,"Excellent",IF(Table1[[#This Row],[Profit]]&gt;=500,"Good", IF(Table1[[#This Row],[Profit]]&lt;500,"Low")))</f>
        <v>Low</v>
      </c>
      <c r="N1246" s="7" t="str">
        <f>TEXT(Table1[[#This Row],[Order_Date]],"YYY")</f>
        <v>2025</v>
      </c>
    </row>
    <row r="1247" spans="1:14" x14ac:dyDescent="0.3">
      <c r="A1247" s="4">
        <v>45801</v>
      </c>
      <c r="B1247" s="5" t="s">
        <v>8</v>
      </c>
      <c r="C1247" s="5" t="s">
        <v>26</v>
      </c>
      <c r="D1247" s="23">
        <v>437.59</v>
      </c>
      <c r="E1247" s="23">
        <v>130.62</v>
      </c>
      <c r="F1247" s="23">
        <v>306.97000000000003</v>
      </c>
      <c r="G1247" s="5" t="s">
        <v>9</v>
      </c>
      <c r="H1247" s="5" t="s">
        <v>33</v>
      </c>
      <c r="I1247" s="5" t="s">
        <v>27</v>
      </c>
      <c r="J1247" s="6">
        <f>Table1[[#This Row],[Profit]]/Table1[[#This Row],[Sales]]</f>
        <v>0.70150140542516981</v>
      </c>
      <c r="K1247" s="5" t="str">
        <f t="shared" si="19"/>
        <v>Low</v>
      </c>
      <c r="L1247" s="5" t="str">
        <f>TEXT(Table1[[#This Row],[Order_Date]],"MMM")</f>
        <v>May</v>
      </c>
      <c r="M1247" s="5" t="str">
        <f>IF(Table1[[#This Row],[Profit]]&gt;=1000,"Excellent",IF(Table1[[#This Row],[Profit]]&gt;=500,"Good", IF(Table1[[#This Row],[Profit]]&lt;500,"Low")))</f>
        <v>Low</v>
      </c>
      <c r="N1247" s="7" t="str">
        <f>TEXT(Table1[[#This Row],[Order_Date]],"YYY")</f>
        <v>2025</v>
      </c>
    </row>
    <row r="1248" spans="1:14" x14ac:dyDescent="0.3">
      <c r="A1248" s="4">
        <v>45801</v>
      </c>
      <c r="B1248" s="5" t="s">
        <v>18</v>
      </c>
      <c r="C1248" s="5" t="s">
        <v>14</v>
      </c>
      <c r="D1248" s="23">
        <v>299.23</v>
      </c>
      <c r="E1248" s="23">
        <v>90.53</v>
      </c>
      <c r="F1248" s="23">
        <v>208.7</v>
      </c>
      <c r="G1248" s="5" t="s">
        <v>6</v>
      </c>
      <c r="H1248" s="5" t="s">
        <v>7</v>
      </c>
      <c r="I1248" s="5" t="s">
        <v>17</v>
      </c>
      <c r="J1248" s="6">
        <f>Table1[[#This Row],[Profit]]/Table1[[#This Row],[Sales]]</f>
        <v>0.69745680580155722</v>
      </c>
      <c r="K1248" s="5" t="str">
        <f t="shared" si="19"/>
        <v>Low</v>
      </c>
      <c r="L1248" s="5" t="str">
        <f>TEXT(Table1[[#This Row],[Order_Date]],"MMM")</f>
        <v>May</v>
      </c>
      <c r="M1248" s="5" t="str">
        <f>IF(Table1[[#This Row],[Profit]]&gt;=1000,"Excellent",IF(Table1[[#This Row],[Profit]]&gt;=500,"Good", IF(Table1[[#This Row],[Profit]]&lt;500,"Low")))</f>
        <v>Low</v>
      </c>
      <c r="N1248" s="7" t="str">
        <f>TEXT(Table1[[#This Row],[Order_Date]],"YYY")</f>
        <v>2025</v>
      </c>
    </row>
    <row r="1249" spans="1:14" x14ac:dyDescent="0.3">
      <c r="A1249" s="4">
        <v>45802</v>
      </c>
      <c r="B1249" s="5" t="s">
        <v>8</v>
      </c>
      <c r="C1249" s="5" t="s">
        <v>14</v>
      </c>
      <c r="D1249" s="23">
        <v>343.36</v>
      </c>
      <c r="E1249" s="23">
        <v>173.24</v>
      </c>
      <c r="F1249" s="23">
        <v>170.12</v>
      </c>
      <c r="G1249" s="5" t="s">
        <v>9</v>
      </c>
      <c r="H1249" s="5" t="s">
        <v>15</v>
      </c>
      <c r="I1249" s="5" t="s">
        <v>27</v>
      </c>
      <c r="J1249" s="6">
        <f>Table1[[#This Row],[Profit]]/Table1[[#This Row],[Sales]]</f>
        <v>0.49545666356011181</v>
      </c>
      <c r="K1249" s="5" t="str">
        <f t="shared" si="19"/>
        <v>Low</v>
      </c>
      <c r="L1249" s="5" t="str">
        <f>TEXT(Table1[[#This Row],[Order_Date]],"MMM")</f>
        <v>May</v>
      </c>
      <c r="M1249" s="5" t="str">
        <f>IF(Table1[[#This Row],[Profit]]&gt;=1000,"Excellent",IF(Table1[[#This Row],[Profit]]&gt;=500,"Good", IF(Table1[[#This Row],[Profit]]&lt;500,"Low")))</f>
        <v>Low</v>
      </c>
      <c r="N1249" s="7" t="str">
        <f>TEXT(Table1[[#This Row],[Order_Date]],"YYY")</f>
        <v>2025</v>
      </c>
    </row>
    <row r="1250" spans="1:14" x14ac:dyDescent="0.3">
      <c r="A1250" s="4">
        <v>45802</v>
      </c>
      <c r="B1250" s="5" t="s">
        <v>18</v>
      </c>
      <c r="C1250" s="5" t="s">
        <v>14</v>
      </c>
      <c r="D1250" s="23">
        <v>197.67</v>
      </c>
      <c r="E1250" s="23">
        <v>88.51</v>
      </c>
      <c r="F1250" s="23">
        <v>109.16</v>
      </c>
      <c r="G1250" s="5" t="s">
        <v>2</v>
      </c>
      <c r="H1250" s="5" t="s">
        <v>15</v>
      </c>
      <c r="I1250" s="5" t="s">
        <v>27</v>
      </c>
      <c r="J1250" s="6">
        <f>Table1[[#This Row],[Profit]]/Table1[[#This Row],[Sales]]</f>
        <v>0.552233520513988</v>
      </c>
      <c r="K1250" s="5" t="str">
        <f t="shared" si="19"/>
        <v>Low</v>
      </c>
      <c r="L1250" s="5" t="str">
        <f>TEXT(Table1[[#This Row],[Order_Date]],"MMM")</f>
        <v>May</v>
      </c>
      <c r="M1250" s="5" t="str">
        <f>IF(Table1[[#This Row],[Profit]]&gt;=1000,"Excellent",IF(Table1[[#This Row],[Profit]]&gt;=500,"Good", IF(Table1[[#This Row],[Profit]]&lt;500,"Low")))</f>
        <v>Low</v>
      </c>
      <c r="N1250" s="7" t="str">
        <f>TEXT(Table1[[#This Row],[Order_Date]],"YYY")</f>
        <v>2025</v>
      </c>
    </row>
    <row r="1251" spans="1:14" x14ac:dyDescent="0.3">
      <c r="A1251" s="4">
        <v>45804</v>
      </c>
      <c r="B1251" s="5" t="s">
        <v>13</v>
      </c>
      <c r="C1251" s="5" t="s">
        <v>19</v>
      </c>
      <c r="D1251" s="23">
        <v>102.79</v>
      </c>
      <c r="E1251" s="23">
        <v>41.69</v>
      </c>
      <c r="F1251" s="23">
        <v>61.1</v>
      </c>
      <c r="G1251" s="5" t="s">
        <v>20</v>
      </c>
      <c r="H1251" s="5" t="s">
        <v>35</v>
      </c>
      <c r="I1251" s="5" t="s">
        <v>11</v>
      </c>
      <c r="J1251" s="6">
        <f>Table1[[#This Row],[Profit]]/Table1[[#This Row],[Sales]]</f>
        <v>0.59441579920225696</v>
      </c>
      <c r="K1251" s="5" t="str">
        <f t="shared" si="19"/>
        <v>Low</v>
      </c>
      <c r="L1251" s="5" t="str">
        <f>TEXT(Table1[[#This Row],[Order_Date]],"MMM")</f>
        <v>May</v>
      </c>
      <c r="M1251" s="5" t="str">
        <f>IF(Table1[[#This Row],[Profit]]&gt;=1000,"Excellent",IF(Table1[[#This Row],[Profit]]&gt;=500,"Good", IF(Table1[[#This Row],[Profit]]&lt;500,"Low")))</f>
        <v>Low</v>
      </c>
      <c r="N1251" s="7" t="str">
        <f>TEXT(Table1[[#This Row],[Order_Date]],"YYY")</f>
        <v>2025</v>
      </c>
    </row>
    <row r="1252" spans="1:14" x14ac:dyDescent="0.3">
      <c r="A1252" s="4">
        <v>45804</v>
      </c>
      <c r="B1252" s="5" t="s">
        <v>18</v>
      </c>
      <c r="C1252" s="5" t="s">
        <v>23</v>
      </c>
      <c r="D1252" s="23">
        <v>591.02</v>
      </c>
      <c r="E1252" s="23">
        <v>293.79000000000002</v>
      </c>
      <c r="F1252" s="23">
        <v>297.23</v>
      </c>
      <c r="G1252" s="5" t="s">
        <v>32</v>
      </c>
      <c r="H1252" s="5" t="s">
        <v>37</v>
      </c>
      <c r="I1252" s="5" t="s">
        <v>25</v>
      </c>
      <c r="J1252" s="6">
        <f>Table1[[#This Row],[Profit]]/Table1[[#This Row],[Sales]]</f>
        <v>0.50291022300429766</v>
      </c>
      <c r="K1252" s="5" t="str">
        <f t="shared" si="19"/>
        <v>Low</v>
      </c>
      <c r="L1252" s="5" t="str">
        <f>TEXT(Table1[[#This Row],[Order_Date]],"MMM")</f>
        <v>May</v>
      </c>
      <c r="M1252" s="5" t="str">
        <f>IF(Table1[[#This Row],[Profit]]&gt;=1000,"Excellent",IF(Table1[[#This Row],[Profit]]&gt;=500,"Good", IF(Table1[[#This Row],[Profit]]&lt;500,"Low")))</f>
        <v>Low</v>
      </c>
      <c r="N1252" s="7" t="str">
        <f>TEXT(Table1[[#This Row],[Order_Date]],"YYY")</f>
        <v>2025</v>
      </c>
    </row>
    <row r="1253" spans="1:14" x14ac:dyDescent="0.3">
      <c r="A1253" s="4">
        <v>45804</v>
      </c>
      <c r="B1253" s="5" t="s">
        <v>16</v>
      </c>
      <c r="C1253" s="5" t="s">
        <v>5</v>
      </c>
      <c r="D1253" s="23">
        <v>574.27</v>
      </c>
      <c r="E1253" s="23">
        <v>193.78</v>
      </c>
      <c r="F1253" s="23">
        <v>380.49</v>
      </c>
      <c r="G1253" s="5" t="s">
        <v>2</v>
      </c>
      <c r="H1253" s="5" t="s">
        <v>21</v>
      </c>
      <c r="I1253" s="5" t="s">
        <v>25</v>
      </c>
      <c r="J1253" s="6">
        <f>Table1[[#This Row],[Profit]]/Table1[[#This Row],[Sales]]</f>
        <v>0.66256290595016287</v>
      </c>
      <c r="K1253" s="5" t="str">
        <f t="shared" si="19"/>
        <v>Low</v>
      </c>
      <c r="L1253" s="5" t="str">
        <f>TEXT(Table1[[#This Row],[Order_Date]],"MMM")</f>
        <v>May</v>
      </c>
      <c r="M1253" s="5" t="str">
        <f>IF(Table1[[#This Row],[Profit]]&gt;=1000,"Excellent",IF(Table1[[#This Row],[Profit]]&gt;=500,"Good", IF(Table1[[#This Row],[Profit]]&lt;500,"Low")))</f>
        <v>Low</v>
      </c>
      <c r="N1253" s="7" t="str">
        <f>TEXT(Table1[[#This Row],[Order_Date]],"YYY")</f>
        <v>2025</v>
      </c>
    </row>
    <row r="1254" spans="1:14" x14ac:dyDescent="0.3">
      <c r="A1254" s="4">
        <v>45805</v>
      </c>
      <c r="B1254" s="5" t="s">
        <v>16</v>
      </c>
      <c r="C1254" s="5" t="s">
        <v>26</v>
      </c>
      <c r="D1254" s="23">
        <v>1016.5</v>
      </c>
      <c r="E1254" s="23">
        <v>451.66</v>
      </c>
      <c r="F1254" s="23">
        <v>564.84</v>
      </c>
      <c r="G1254" s="5" t="s">
        <v>32</v>
      </c>
      <c r="H1254" s="5" t="s">
        <v>7</v>
      </c>
      <c r="I1254" s="5" t="s">
        <v>4</v>
      </c>
      <c r="J1254" s="6">
        <f>Table1[[#This Row],[Profit]]/Table1[[#This Row],[Sales]]</f>
        <v>0.55567142154451554</v>
      </c>
      <c r="K1254" s="5" t="str">
        <f t="shared" si="19"/>
        <v>Low</v>
      </c>
      <c r="L1254" s="5" t="str">
        <f>TEXT(Table1[[#This Row],[Order_Date]],"MMM")</f>
        <v>May</v>
      </c>
      <c r="M1254" s="5" t="str">
        <f>IF(Table1[[#This Row],[Profit]]&gt;=1000,"Excellent",IF(Table1[[#This Row],[Profit]]&gt;=500,"Good", IF(Table1[[#This Row],[Profit]]&lt;500,"Low")))</f>
        <v>Good</v>
      </c>
      <c r="N1254" s="7" t="str">
        <f>TEXT(Table1[[#This Row],[Order_Date]],"YYY")</f>
        <v>2025</v>
      </c>
    </row>
    <row r="1255" spans="1:14" x14ac:dyDescent="0.3">
      <c r="A1255" s="4">
        <v>45805</v>
      </c>
      <c r="B1255" s="5" t="s">
        <v>13</v>
      </c>
      <c r="C1255" s="5" t="s">
        <v>23</v>
      </c>
      <c r="D1255" s="23">
        <v>744.78</v>
      </c>
      <c r="E1255" s="23">
        <v>214.03</v>
      </c>
      <c r="F1255" s="23">
        <v>530.75</v>
      </c>
      <c r="G1255" s="5" t="s">
        <v>2</v>
      </c>
      <c r="H1255" s="5" t="s">
        <v>29</v>
      </c>
      <c r="I1255" s="5" t="s">
        <v>22</v>
      </c>
      <c r="J1255" s="6">
        <f>Table1[[#This Row],[Profit]]/Table1[[#This Row],[Sales]]</f>
        <v>0.71262654743682696</v>
      </c>
      <c r="K1255" s="5" t="str">
        <f t="shared" si="19"/>
        <v>Low</v>
      </c>
      <c r="L1255" s="5" t="str">
        <f>TEXT(Table1[[#This Row],[Order_Date]],"MMM")</f>
        <v>May</v>
      </c>
      <c r="M1255" s="5" t="str">
        <f>IF(Table1[[#This Row],[Profit]]&gt;=1000,"Excellent",IF(Table1[[#This Row],[Profit]]&gt;=500,"Good", IF(Table1[[#This Row],[Profit]]&lt;500,"Low")))</f>
        <v>Good</v>
      </c>
      <c r="N1255" s="7" t="str">
        <f>TEXT(Table1[[#This Row],[Order_Date]],"YYY")</f>
        <v>2025</v>
      </c>
    </row>
    <row r="1256" spans="1:14" x14ac:dyDescent="0.3">
      <c r="A1256" s="4">
        <v>45805</v>
      </c>
      <c r="B1256" s="5" t="s">
        <v>18</v>
      </c>
      <c r="C1256" s="5" t="s">
        <v>26</v>
      </c>
      <c r="D1256" s="23">
        <v>798.44</v>
      </c>
      <c r="E1256" s="23">
        <v>340.03</v>
      </c>
      <c r="F1256" s="23">
        <v>458.41</v>
      </c>
      <c r="G1256" s="5" t="s">
        <v>9</v>
      </c>
      <c r="H1256" s="5" t="s">
        <v>29</v>
      </c>
      <c r="I1256" s="5" t="s">
        <v>27</v>
      </c>
      <c r="J1256" s="6">
        <f>Table1[[#This Row],[Profit]]/Table1[[#This Row],[Sales]]</f>
        <v>0.57413205751214869</v>
      </c>
      <c r="K1256" s="5" t="str">
        <f t="shared" si="19"/>
        <v>Low</v>
      </c>
      <c r="L1256" s="5" t="str">
        <f>TEXT(Table1[[#This Row],[Order_Date]],"MMM")</f>
        <v>May</v>
      </c>
      <c r="M1256" s="5" t="str">
        <f>IF(Table1[[#This Row],[Profit]]&gt;=1000,"Excellent",IF(Table1[[#This Row],[Profit]]&gt;=500,"Good", IF(Table1[[#This Row],[Profit]]&lt;500,"Low")))</f>
        <v>Low</v>
      </c>
      <c r="N1256" s="7" t="str">
        <f>TEXT(Table1[[#This Row],[Order_Date]],"YYY")</f>
        <v>2025</v>
      </c>
    </row>
    <row r="1257" spans="1:14" x14ac:dyDescent="0.3">
      <c r="A1257" s="4">
        <v>45805</v>
      </c>
      <c r="B1257" s="5" t="s">
        <v>18</v>
      </c>
      <c r="C1257" s="5" t="s">
        <v>14</v>
      </c>
      <c r="D1257" s="23">
        <v>337.09</v>
      </c>
      <c r="E1257" s="23">
        <v>115.14</v>
      </c>
      <c r="F1257" s="23">
        <v>221.95</v>
      </c>
      <c r="G1257" s="5" t="s">
        <v>9</v>
      </c>
      <c r="H1257" s="5" t="s">
        <v>36</v>
      </c>
      <c r="I1257" s="5" t="s">
        <v>22</v>
      </c>
      <c r="J1257" s="6">
        <f>Table1[[#This Row],[Profit]]/Table1[[#This Row],[Sales]]</f>
        <v>0.65842949954018215</v>
      </c>
      <c r="K1257" s="5" t="str">
        <f t="shared" si="19"/>
        <v>Low</v>
      </c>
      <c r="L1257" s="5" t="str">
        <f>TEXT(Table1[[#This Row],[Order_Date]],"MMM")</f>
        <v>May</v>
      </c>
      <c r="M1257" s="5" t="str">
        <f>IF(Table1[[#This Row],[Profit]]&gt;=1000,"Excellent",IF(Table1[[#This Row],[Profit]]&gt;=500,"Good", IF(Table1[[#This Row],[Profit]]&lt;500,"Low")))</f>
        <v>Low</v>
      </c>
      <c r="N1257" s="7" t="str">
        <f>TEXT(Table1[[#This Row],[Order_Date]],"YYY")</f>
        <v>2025</v>
      </c>
    </row>
    <row r="1258" spans="1:14" x14ac:dyDescent="0.3">
      <c r="A1258" s="4">
        <v>45805</v>
      </c>
      <c r="B1258" s="5" t="s">
        <v>18</v>
      </c>
      <c r="C1258" s="5" t="s">
        <v>1</v>
      </c>
      <c r="D1258" s="23">
        <v>736.46</v>
      </c>
      <c r="E1258" s="23">
        <v>451.39</v>
      </c>
      <c r="F1258" s="23">
        <v>285.07</v>
      </c>
      <c r="G1258" s="5" t="s">
        <v>2</v>
      </c>
      <c r="H1258" s="5" t="s">
        <v>21</v>
      </c>
      <c r="I1258" s="5" t="s">
        <v>25</v>
      </c>
      <c r="J1258" s="6">
        <f>Table1[[#This Row],[Profit]]/Table1[[#This Row],[Sales]]</f>
        <v>0.38708144366292802</v>
      </c>
      <c r="K1258" s="5" t="str">
        <f t="shared" si="19"/>
        <v>Low</v>
      </c>
      <c r="L1258" s="5" t="str">
        <f>TEXT(Table1[[#This Row],[Order_Date]],"MMM")</f>
        <v>May</v>
      </c>
      <c r="M1258" s="5" t="str">
        <f>IF(Table1[[#This Row],[Profit]]&gt;=1000,"Excellent",IF(Table1[[#This Row],[Profit]]&gt;=500,"Good", IF(Table1[[#This Row],[Profit]]&lt;500,"Low")))</f>
        <v>Low</v>
      </c>
      <c r="N1258" s="7" t="str">
        <f>TEXT(Table1[[#This Row],[Order_Date]],"YYY")</f>
        <v>2025</v>
      </c>
    </row>
    <row r="1259" spans="1:14" x14ac:dyDescent="0.3">
      <c r="A1259" s="4">
        <v>45805</v>
      </c>
      <c r="B1259" s="5" t="s">
        <v>0</v>
      </c>
      <c r="C1259" s="5" t="s">
        <v>26</v>
      </c>
      <c r="D1259" s="23">
        <v>487.52</v>
      </c>
      <c r="E1259" s="23">
        <v>164.26</v>
      </c>
      <c r="F1259" s="23">
        <v>323.26</v>
      </c>
      <c r="G1259" s="5" t="s">
        <v>2</v>
      </c>
      <c r="H1259" s="5" t="s">
        <v>35</v>
      </c>
      <c r="I1259" s="5" t="s">
        <v>25</v>
      </c>
      <c r="J1259" s="6">
        <f>Table1[[#This Row],[Profit]]/Table1[[#This Row],[Sales]]</f>
        <v>0.66307023301608137</v>
      </c>
      <c r="K1259" s="5" t="str">
        <f t="shared" si="19"/>
        <v>Low</v>
      </c>
      <c r="L1259" s="5" t="str">
        <f>TEXT(Table1[[#This Row],[Order_Date]],"MMM")</f>
        <v>May</v>
      </c>
      <c r="M1259" s="5" t="str">
        <f>IF(Table1[[#This Row],[Profit]]&gt;=1000,"Excellent",IF(Table1[[#This Row],[Profit]]&gt;=500,"Good", IF(Table1[[#This Row],[Profit]]&lt;500,"Low")))</f>
        <v>Low</v>
      </c>
      <c r="N1259" s="7" t="str">
        <f>TEXT(Table1[[#This Row],[Order_Date]],"YYY")</f>
        <v>2025</v>
      </c>
    </row>
    <row r="1260" spans="1:14" x14ac:dyDescent="0.3">
      <c r="A1260" s="4">
        <v>45806</v>
      </c>
      <c r="B1260" s="5" t="s">
        <v>13</v>
      </c>
      <c r="C1260" s="5" t="s">
        <v>14</v>
      </c>
      <c r="D1260" s="23">
        <v>393.14</v>
      </c>
      <c r="E1260" s="23">
        <v>200.08</v>
      </c>
      <c r="F1260" s="23">
        <v>193.06</v>
      </c>
      <c r="G1260" s="5" t="s">
        <v>32</v>
      </c>
      <c r="H1260" s="5" t="s">
        <v>21</v>
      </c>
      <c r="I1260" s="5" t="s">
        <v>25</v>
      </c>
      <c r="J1260" s="6">
        <f>Table1[[#This Row],[Profit]]/Table1[[#This Row],[Sales]]</f>
        <v>0.49107188278984587</v>
      </c>
      <c r="K1260" s="5" t="str">
        <f t="shared" si="19"/>
        <v>Low</v>
      </c>
      <c r="L1260" s="5" t="str">
        <f>TEXT(Table1[[#This Row],[Order_Date]],"MMM")</f>
        <v>May</v>
      </c>
      <c r="M1260" s="5" t="str">
        <f>IF(Table1[[#This Row],[Profit]]&gt;=1000,"Excellent",IF(Table1[[#This Row],[Profit]]&gt;=500,"Good", IF(Table1[[#This Row],[Profit]]&lt;500,"Low")))</f>
        <v>Low</v>
      </c>
      <c r="N1260" s="7" t="str">
        <f>TEXT(Table1[[#This Row],[Order_Date]],"YYY")</f>
        <v>2025</v>
      </c>
    </row>
    <row r="1261" spans="1:14" x14ac:dyDescent="0.3">
      <c r="A1261" s="4">
        <v>45807</v>
      </c>
      <c r="B1261" s="5" t="s">
        <v>8</v>
      </c>
      <c r="C1261" s="5" t="s">
        <v>26</v>
      </c>
      <c r="D1261" s="23">
        <v>523.29</v>
      </c>
      <c r="E1261" s="23">
        <v>219.37</v>
      </c>
      <c r="F1261" s="23">
        <v>303.92</v>
      </c>
      <c r="G1261" s="5" t="s">
        <v>20</v>
      </c>
      <c r="H1261" s="5" t="s">
        <v>36</v>
      </c>
      <c r="I1261" s="5" t="s">
        <v>25</v>
      </c>
      <c r="J1261" s="6">
        <f>Table1[[#This Row],[Profit]]/Table1[[#This Row],[Sales]]</f>
        <v>0.58078694414187171</v>
      </c>
      <c r="K1261" s="5" t="str">
        <f t="shared" si="19"/>
        <v>Low</v>
      </c>
      <c r="L1261" s="5" t="str">
        <f>TEXT(Table1[[#This Row],[Order_Date]],"MMM")</f>
        <v>May</v>
      </c>
      <c r="M1261" s="5" t="str">
        <f>IF(Table1[[#This Row],[Profit]]&gt;=1000,"Excellent",IF(Table1[[#This Row],[Profit]]&gt;=500,"Good", IF(Table1[[#This Row],[Profit]]&lt;500,"Low")))</f>
        <v>Low</v>
      </c>
      <c r="N1261" s="7" t="str">
        <f>TEXT(Table1[[#This Row],[Order_Date]],"YYY")</f>
        <v>2025</v>
      </c>
    </row>
    <row r="1262" spans="1:14" x14ac:dyDescent="0.3">
      <c r="A1262" s="4">
        <v>45807</v>
      </c>
      <c r="B1262" s="5" t="s">
        <v>8</v>
      </c>
      <c r="C1262" s="5" t="s">
        <v>31</v>
      </c>
      <c r="D1262" s="23">
        <v>50.38</v>
      </c>
      <c r="E1262" s="23">
        <v>12.5</v>
      </c>
      <c r="F1262" s="23">
        <v>37.880000000000003</v>
      </c>
      <c r="G1262" s="5" t="s">
        <v>2</v>
      </c>
      <c r="H1262" s="5" t="s">
        <v>35</v>
      </c>
      <c r="I1262" s="5" t="s">
        <v>22</v>
      </c>
      <c r="J1262" s="6">
        <f>Table1[[#This Row],[Profit]]/Table1[[#This Row],[Sales]]</f>
        <v>0.75188566891623665</v>
      </c>
      <c r="K1262" s="5" t="str">
        <f t="shared" si="19"/>
        <v>Low</v>
      </c>
      <c r="L1262" s="5" t="str">
        <f>TEXT(Table1[[#This Row],[Order_Date]],"MMM")</f>
        <v>May</v>
      </c>
      <c r="M1262" s="5" t="str">
        <f>IF(Table1[[#This Row],[Profit]]&gt;=1000,"Excellent",IF(Table1[[#This Row],[Profit]]&gt;=500,"Good", IF(Table1[[#This Row],[Profit]]&lt;500,"Low")))</f>
        <v>Low</v>
      </c>
      <c r="N1262" s="7" t="str">
        <f>TEXT(Table1[[#This Row],[Order_Date]],"YYY")</f>
        <v>2025</v>
      </c>
    </row>
    <row r="1263" spans="1:14" x14ac:dyDescent="0.3">
      <c r="A1263" s="4">
        <v>45808</v>
      </c>
      <c r="B1263" s="5" t="s">
        <v>18</v>
      </c>
      <c r="C1263" s="5" t="s">
        <v>1</v>
      </c>
      <c r="D1263" s="23">
        <v>1295.06</v>
      </c>
      <c r="E1263" s="23">
        <v>861.2</v>
      </c>
      <c r="F1263" s="23">
        <v>433.86</v>
      </c>
      <c r="G1263" s="5" t="s">
        <v>6</v>
      </c>
      <c r="H1263" s="5" t="s">
        <v>10</v>
      </c>
      <c r="I1263" s="5" t="s">
        <v>17</v>
      </c>
      <c r="J1263" s="6">
        <f>Table1[[#This Row],[Profit]]/Table1[[#This Row],[Sales]]</f>
        <v>0.33501150525844364</v>
      </c>
      <c r="K1263" s="5" t="str">
        <f t="shared" si="19"/>
        <v>Low</v>
      </c>
      <c r="L1263" s="5" t="str">
        <f>TEXT(Table1[[#This Row],[Order_Date]],"MMM")</f>
        <v>May</v>
      </c>
      <c r="M1263" s="5" t="str">
        <f>IF(Table1[[#This Row],[Profit]]&gt;=1000,"Excellent",IF(Table1[[#This Row],[Profit]]&gt;=500,"Good", IF(Table1[[#This Row],[Profit]]&lt;500,"Low")))</f>
        <v>Low</v>
      </c>
      <c r="N1263" s="7" t="str">
        <f>TEXT(Table1[[#This Row],[Order_Date]],"YYY")</f>
        <v>2025</v>
      </c>
    </row>
    <row r="1264" spans="1:14" x14ac:dyDescent="0.3">
      <c r="A1264" s="4">
        <v>45810</v>
      </c>
      <c r="B1264" s="5" t="s">
        <v>18</v>
      </c>
      <c r="C1264" s="5" t="s">
        <v>1</v>
      </c>
      <c r="D1264" s="23">
        <v>1317.12</v>
      </c>
      <c r="E1264" s="23">
        <v>819.79</v>
      </c>
      <c r="F1264" s="23">
        <v>497.33</v>
      </c>
      <c r="G1264" s="5" t="s">
        <v>6</v>
      </c>
      <c r="H1264" s="5" t="s">
        <v>37</v>
      </c>
      <c r="I1264" s="5" t="s">
        <v>25</v>
      </c>
      <c r="J1264" s="6">
        <f>Table1[[#This Row],[Profit]]/Table1[[#This Row],[Sales]]</f>
        <v>0.37758898202138003</v>
      </c>
      <c r="K1264" s="5" t="str">
        <f t="shared" si="19"/>
        <v>Low</v>
      </c>
      <c r="L1264" s="5" t="str">
        <f>TEXT(Table1[[#This Row],[Order_Date]],"MMM")</f>
        <v>Jun</v>
      </c>
      <c r="M1264" s="5" t="str">
        <f>IF(Table1[[#This Row],[Profit]]&gt;=1000,"Excellent",IF(Table1[[#This Row],[Profit]]&gt;=500,"Good", IF(Table1[[#This Row],[Profit]]&lt;500,"Low")))</f>
        <v>Low</v>
      </c>
      <c r="N1264" s="7" t="str">
        <f>TEXT(Table1[[#This Row],[Order_Date]],"YYY")</f>
        <v>2025</v>
      </c>
    </row>
    <row r="1265" spans="1:14" x14ac:dyDescent="0.3">
      <c r="A1265" s="4">
        <v>45810</v>
      </c>
      <c r="B1265" s="5" t="s">
        <v>8</v>
      </c>
      <c r="C1265" s="5" t="s">
        <v>23</v>
      </c>
      <c r="D1265" s="23">
        <v>429.89</v>
      </c>
      <c r="E1265" s="23">
        <v>142.44999999999999</v>
      </c>
      <c r="F1265" s="23">
        <v>287.44</v>
      </c>
      <c r="G1265" s="5" t="s">
        <v>9</v>
      </c>
      <c r="H1265" s="5" t="s">
        <v>37</v>
      </c>
      <c r="I1265" s="5" t="s">
        <v>4</v>
      </c>
      <c r="J1265" s="6">
        <f>Table1[[#This Row],[Profit]]/Table1[[#This Row],[Sales]]</f>
        <v>0.66863616273930537</v>
      </c>
      <c r="K1265" s="5" t="str">
        <f t="shared" si="19"/>
        <v>Low</v>
      </c>
      <c r="L1265" s="5" t="str">
        <f>TEXT(Table1[[#This Row],[Order_Date]],"MMM")</f>
        <v>Jun</v>
      </c>
      <c r="M1265" s="5" t="str">
        <f>IF(Table1[[#This Row],[Profit]]&gt;=1000,"Excellent",IF(Table1[[#This Row],[Profit]]&gt;=500,"Good", IF(Table1[[#This Row],[Profit]]&lt;500,"Low")))</f>
        <v>Low</v>
      </c>
      <c r="N1265" s="7" t="str">
        <f>TEXT(Table1[[#This Row],[Order_Date]],"YYY")</f>
        <v>2025</v>
      </c>
    </row>
    <row r="1266" spans="1:14" x14ac:dyDescent="0.3">
      <c r="A1266" s="4">
        <v>45810</v>
      </c>
      <c r="B1266" s="5" t="s">
        <v>13</v>
      </c>
      <c r="C1266" s="5" t="s">
        <v>23</v>
      </c>
      <c r="D1266" s="23">
        <v>70.61</v>
      </c>
      <c r="E1266" s="23">
        <v>21.67</v>
      </c>
      <c r="F1266" s="23">
        <v>48.94</v>
      </c>
      <c r="G1266" s="5" t="s">
        <v>6</v>
      </c>
      <c r="H1266" s="5" t="s">
        <v>10</v>
      </c>
      <c r="I1266" s="5" t="s">
        <v>22</v>
      </c>
      <c r="J1266" s="6">
        <f>Table1[[#This Row],[Profit]]/Table1[[#This Row],[Sales]]</f>
        <v>0.69310295992069104</v>
      </c>
      <c r="K1266" s="5" t="str">
        <f t="shared" si="19"/>
        <v>Low</v>
      </c>
      <c r="L1266" s="5" t="str">
        <f>TEXT(Table1[[#This Row],[Order_Date]],"MMM")</f>
        <v>Jun</v>
      </c>
      <c r="M1266" s="5" t="str">
        <f>IF(Table1[[#This Row],[Profit]]&gt;=1000,"Excellent",IF(Table1[[#This Row],[Profit]]&gt;=500,"Good", IF(Table1[[#This Row],[Profit]]&lt;500,"Low")))</f>
        <v>Low</v>
      </c>
      <c r="N1266" s="7" t="str">
        <f>TEXT(Table1[[#This Row],[Order_Date]],"YYY")</f>
        <v>2025</v>
      </c>
    </row>
    <row r="1267" spans="1:14" x14ac:dyDescent="0.3">
      <c r="A1267" s="4">
        <v>45811</v>
      </c>
      <c r="B1267" s="5" t="s">
        <v>13</v>
      </c>
      <c r="C1267" s="5" t="s">
        <v>19</v>
      </c>
      <c r="D1267" s="23">
        <v>106.67</v>
      </c>
      <c r="E1267" s="23">
        <v>41.22</v>
      </c>
      <c r="F1267" s="23">
        <v>65.45</v>
      </c>
      <c r="G1267" s="5" t="s">
        <v>32</v>
      </c>
      <c r="H1267" s="5" t="s">
        <v>28</v>
      </c>
      <c r="I1267" s="5" t="s">
        <v>22</v>
      </c>
      <c r="J1267" s="6">
        <f>Table1[[#This Row],[Profit]]/Table1[[#This Row],[Sales]]</f>
        <v>0.61357457579450647</v>
      </c>
      <c r="K1267" s="5" t="str">
        <f t="shared" si="19"/>
        <v>Low</v>
      </c>
      <c r="L1267" s="5" t="str">
        <f>TEXT(Table1[[#This Row],[Order_Date]],"MMM")</f>
        <v>Jun</v>
      </c>
      <c r="M1267" s="5" t="str">
        <f>IF(Table1[[#This Row],[Profit]]&gt;=1000,"Excellent",IF(Table1[[#This Row],[Profit]]&gt;=500,"Good", IF(Table1[[#This Row],[Profit]]&lt;500,"Low")))</f>
        <v>Low</v>
      </c>
      <c r="N1267" s="7" t="str">
        <f>TEXT(Table1[[#This Row],[Order_Date]],"YYY")</f>
        <v>2025</v>
      </c>
    </row>
    <row r="1268" spans="1:14" x14ac:dyDescent="0.3">
      <c r="A1268" s="4">
        <v>45811</v>
      </c>
      <c r="B1268" s="5" t="s">
        <v>0</v>
      </c>
      <c r="C1268" s="5" t="s">
        <v>23</v>
      </c>
      <c r="D1268" s="23">
        <v>764.53</v>
      </c>
      <c r="E1268" s="23">
        <v>327.84</v>
      </c>
      <c r="F1268" s="23">
        <v>436.69</v>
      </c>
      <c r="G1268" s="5" t="s">
        <v>32</v>
      </c>
      <c r="H1268" s="5" t="s">
        <v>37</v>
      </c>
      <c r="I1268" s="5" t="s">
        <v>4</v>
      </c>
      <c r="J1268" s="6">
        <f>Table1[[#This Row],[Profit]]/Table1[[#This Row],[Sales]]</f>
        <v>0.57118752697735864</v>
      </c>
      <c r="K1268" s="5" t="str">
        <f t="shared" si="19"/>
        <v>Low</v>
      </c>
      <c r="L1268" s="5" t="str">
        <f>TEXT(Table1[[#This Row],[Order_Date]],"MMM")</f>
        <v>Jun</v>
      </c>
      <c r="M1268" s="5" t="str">
        <f>IF(Table1[[#This Row],[Profit]]&gt;=1000,"Excellent",IF(Table1[[#This Row],[Profit]]&gt;=500,"Good", IF(Table1[[#This Row],[Profit]]&lt;500,"Low")))</f>
        <v>Low</v>
      </c>
      <c r="N1268" s="7" t="str">
        <f>TEXT(Table1[[#This Row],[Order_Date]],"YYY")</f>
        <v>2025</v>
      </c>
    </row>
    <row r="1269" spans="1:14" x14ac:dyDescent="0.3">
      <c r="A1269" s="4">
        <v>45812</v>
      </c>
      <c r="B1269" s="5" t="s">
        <v>8</v>
      </c>
      <c r="C1269" s="5" t="s">
        <v>23</v>
      </c>
      <c r="D1269" s="23">
        <v>395.45</v>
      </c>
      <c r="E1269" s="23">
        <v>155.08000000000001</v>
      </c>
      <c r="F1269" s="23">
        <v>240.37</v>
      </c>
      <c r="G1269" s="5" t="s">
        <v>2</v>
      </c>
      <c r="H1269" s="5" t="s">
        <v>15</v>
      </c>
      <c r="I1269" s="5" t="s">
        <v>11</v>
      </c>
      <c r="J1269" s="6">
        <f>Table1[[#This Row],[Profit]]/Table1[[#This Row],[Sales]]</f>
        <v>0.60783917056517889</v>
      </c>
      <c r="K1269" s="5" t="str">
        <f t="shared" si="19"/>
        <v>Low</v>
      </c>
      <c r="L1269" s="5" t="str">
        <f>TEXT(Table1[[#This Row],[Order_Date]],"MMM")</f>
        <v>Jun</v>
      </c>
      <c r="M1269" s="5" t="str">
        <f>IF(Table1[[#This Row],[Profit]]&gt;=1000,"Excellent",IF(Table1[[#This Row],[Profit]]&gt;=500,"Good", IF(Table1[[#This Row],[Profit]]&lt;500,"Low")))</f>
        <v>Low</v>
      </c>
      <c r="N1269" s="7" t="str">
        <f>TEXT(Table1[[#This Row],[Order_Date]],"YYY")</f>
        <v>2025</v>
      </c>
    </row>
    <row r="1270" spans="1:14" x14ac:dyDescent="0.3">
      <c r="A1270" s="4">
        <v>45813</v>
      </c>
      <c r="B1270" s="5" t="s">
        <v>0</v>
      </c>
      <c r="C1270" s="5" t="s">
        <v>31</v>
      </c>
      <c r="D1270" s="23">
        <v>63.68</v>
      </c>
      <c r="E1270" s="23">
        <v>15.96</v>
      </c>
      <c r="F1270" s="23">
        <v>47.72</v>
      </c>
      <c r="G1270" s="5" t="s">
        <v>20</v>
      </c>
      <c r="H1270" s="5" t="s">
        <v>12</v>
      </c>
      <c r="I1270" s="5" t="s">
        <v>11</v>
      </c>
      <c r="J1270" s="6">
        <f>Table1[[#This Row],[Profit]]/Table1[[#This Row],[Sales]]</f>
        <v>0.74937185929648242</v>
      </c>
      <c r="K1270" s="5" t="str">
        <f t="shared" si="19"/>
        <v>Low</v>
      </c>
      <c r="L1270" s="5" t="str">
        <f>TEXT(Table1[[#This Row],[Order_Date]],"MMM")</f>
        <v>Jun</v>
      </c>
      <c r="M1270" s="5" t="str">
        <f>IF(Table1[[#This Row],[Profit]]&gt;=1000,"Excellent",IF(Table1[[#This Row],[Profit]]&gt;=500,"Good", IF(Table1[[#This Row],[Profit]]&lt;500,"Low")))</f>
        <v>Low</v>
      </c>
      <c r="N1270" s="7" t="str">
        <f>TEXT(Table1[[#This Row],[Order_Date]],"YYY")</f>
        <v>2025</v>
      </c>
    </row>
    <row r="1271" spans="1:14" x14ac:dyDescent="0.3">
      <c r="A1271" s="4">
        <v>45813</v>
      </c>
      <c r="B1271" s="5" t="s">
        <v>13</v>
      </c>
      <c r="C1271" s="5" t="s">
        <v>26</v>
      </c>
      <c r="D1271" s="23">
        <v>235.58</v>
      </c>
      <c r="E1271" s="23">
        <v>86.17</v>
      </c>
      <c r="F1271" s="23">
        <v>149.41</v>
      </c>
      <c r="G1271" s="5" t="s">
        <v>9</v>
      </c>
      <c r="H1271" s="5" t="s">
        <v>3</v>
      </c>
      <c r="I1271" s="5" t="s">
        <v>17</v>
      </c>
      <c r="J1271" s="6">
        <f>Table1[[#This Row],[Profit]]/Table1[[#This Row],[Sales]]</f>
        <v>0.6342219203667544</v>
      </c>
      <c r="K1271" s="5" t="str">
        <f t="shared" si="19"/>
        <v>Low</v>
      </c>
      <c r="L1271" s="5" t="str">
        <f>TEXT(Table1[[#This Row],[Order_Date]],"MMM")</f>
        <v>Jun</v>
      </c>
      <c r="M1271" s="5" t="str">
        <f>IF(Table1[[#This Row],[Profit]]&gt;=1000,"Excellent",IF(Table1[[#This Row],[Profit]]&gt;=500,"Good", IF(Table1[[#This Row],[Profit]]&lt;500,"Low")))</f>
        <v>Low</v>
      </c>
      <c r="N1271" s="7" t="str">
        <f>TEXT(Table1[[#This Row],[Order_Date]],"YYY")</f>
        <v>2025</v>
      </c>
    </row>
    <row r="1272" spans="1:14" x14ac:dyDescent="0.3">
      <c r="A1272" s="4">
        <v>45813</v>
      </c>
      <c r="B1272" s="5" t="s">
        <v>13</v>
      </c>
      <c r="C1272" s="5" t="s">
        <v>26</v>
      </c>
      <c r="D1272" s="23">
        <v>550.58000000000004</v>
      </c>
      <c r="E1272" s="23">
        <v>149.63</v>
      </c>
      <c r="F1272" s="23">
        <v>400.95</v>
      </c>
      <c r="G1272" s="5" t="s">
        <v>32</v>
      </c>
      <c r="H1272" s="5" t="s">
        <v>7</v>
      </c>
      <c r="I1272" s="5" t="s">
        <v>17</v>
      </c>
      <c r="J1272" s="6">
        <f>Table1[[#This Row],[Profit]]/Table1[[#This Row],[Sales]]</f>
        <v>0.72823204620581927</v>
      </c>
      <c r="K1272" s="5" t="str">
        <f t="shared" si="19"/>
        <v>Low</v>
      </c>
      <c r="L1272" s="5" t="str">
        <f>TEXT(Table1[[#This Row],[Order_Date]],"MMM")</f>
        <v>Jun</v>
      </c>
      <c r="M1272" s="5" t="str">
        <f>IF(Table1[[#This Row],[Profit]]&gt;=1000,"Excellent",IF(Table1[[#This Row],[Profit]]&gt;=500,"Good", IF(Table1[[#This Row],[Profit]]&lt;500,"Low")))</f>
        <v>Low</v>
      </c>
      <c r="N1272" s="7" t="str">
        <f>TEXT(Table1[[#This Row],[Order_Date]],"YYY")</f>
        <v>2025</v>
      </c>
    </row>
    <row r="1273" spans="1:14" x14ac:dyDescent="0.3">
      <c r="A1273" s="4">
        <v>45814</v>
      </c>
      <c r="B1273" s="5" t="s">
        <v>16</v>
      </c>
      <c r="C1273" s="5" t="s">
        <v>1</v>
      </c>
      <c r="D1273" s="23">
        <v>392.42</v>
      </c>
      <c r="E1273" s="23">
        <v>209.69</v>
      </c>
      <c r="F1273" s="23">
        <v>182.73</v>
      </c>
      <c r="G1273" s="5" t="s">
        <v>32</v>
      </c>
      <c r="H1273" s="5" t="s">
        <v>33</v>
      </c>
      <c r="I1273" s="5" t="s">
        <v>11</v>
      </c>
      <c r="J1273" s="6">
        <f>Table1[[#This Row],[Profit]]/Table1[[#This Row],[Sales]]</f>
        <v>0.46564904948779362</v>
      </c>
      <c r="K1273" s="5" t="str">
        <f t="shared" si="19"/>
        <v>Low</v>
      </c>
      <c r="L1273" s="5" t="str">
        <f>TEXT(Table1[[#This Row],[Order_Date]],"MMM")</f>
        <v>Jun</v>
      </c>
      <c r="M1273" s="5" t="str">
        <f>IF(Table1[[#This Row],[Profit]]&gt;=1000,"Excellent",IF(Table1[[#This Row],[Profit]]&gt;=500,"Good", IF(Table1[[#This Row],[Profit]]&lt;500,"Low")))</f>
        <v>Low</v>
      </c>
      <c r="N1273" s="7" t="str">
        <f>TEXT(Table1[[#This Row],[Order_Date]],"YYY")</f>
        <v>2025</v>
      </c>
    </row>
    <row r="1274" spans="1:14" x14ac:dyDescent="0.3">
      <c r="A1274" s="4">
        <v>45815</v>
      </c>
      <c r="B1274" s="5" t="s">
        <v>16</v>
      </c>
      <c r="C1274" s="5" t="s">
        <v>14</v>
      </c>
      <c r="D1274" s="23">
        <v>100.8</v>
      </c>
      <c r="E1274" s="23">
        <v>36.76</v>
      </c>
      <c r="F1274" s="23">
        <v>64.040000000000006</v>
      </c>
      <c r="G1274" s="5" t="s">
        <v>32</v>
      </c>
      <c r="H1274" s="5" t="s">
        <v>12</v>
      </c>
      <c r="I1274" s="5" t="s">
        <v>17</v>
      </c>
      <c r="J1274" s="6">
        <f>Table1[[#This Row],[Profit]]/Table1[[#This Row],[Sales]]</f>
        <v>0.63531746031746039</v>
      </c>
      <c r="K1274" s="5" t="str">
        <f t="shared" si="19"/>
        <v>Low</v>
      </c>
      <c r="L1274" s="5" t="str">
        <f>TEXT(Table1[[#This Row],[Order_Date]],"MMM")</f>
        <v>Jun</v>
      </c>
      <c r="M1274" s="5" t="str">
        <f>IF(Table1[[#This Row],[Profit]]&gt;=1000,"Excellent",IF(Table1[[#This Row],[Profit]]&gt;=500,"Good", IF(Table1[[#This Row],[Profit]]&lt;500,"Low")))</f>
        <v>Low</v>
      </c>
      <c r="N1274" s="7" t="str">
        <f>TEXT(Table1[[#This Row],[Order_Date]],"YYY")</f>
        <v>2025</v>
      </c>
    </row>
    <row r="1275" spans="1:14" x14ac:dyDescent="0.3">
      <c r="A1275" s="4">
        <v>45815</v>
      </c>
      <c r="B1275" s="5" t="s">
        <v>16</v>
      </c>
      <c r="C1275" s="5" t="s">
        <v>23</v>
      </c>
      <c r="D1275" s="23">
        <v>188.91</v>
      </c>
      <c r="E1275" s="23">
        <v>62.09</v>
      </c>
      <c r="F1275" s="23">
        <v>126.82</v>
      </c>
      <c r="G1275" s="5" t="s">
        <v>9</v>
      </c>
      <c r="H1275" s="5" t="s">
        <v>34</v>
      </c>
      <c r="I1275" s="5" t="s">
        <v>27</v>
      </c>
      <c r="J1275" s="6">
        <f>Table1[[#This Row],[Profit]]/Table1[[#This Row],[Sales]]</f>
        <v>0.67132496956222543</v>
      </c>
      <c r="K1275" s="5" t="str">
        <f t="shared" si="19"/>
        <v>Low</v>
      </c>
      <c r="L1275" s="5" t="str">
        <f>TEXT(Table1[[#This Row],[Order_Date]],"MMM")</f>
        <v>Jun</v>
      </c>
      <c r="M1275" s="5" t="str">
        <f>IF(Table1[[#This Row],[Profit]]&gt;=1000,"Excellent",IF(Table1[[#This Row],[Profit]]&gt;=500,"Good", IF(Table1[[#This Row],[Profit]]&lt;500,"Low")))</f>
        <v>Low</v>
      </c>
      <c r="N1275" s="7" t="str">
        <f>TEXT(Table1[[#This Row],[Order_Date]],"YYY")</f>
        <v>2025</v>
      </c>
    </row>
    <row r="1276" spans="1:14" x14ac:dyDescent="0.3">
      <c r="A1276" s="4">
        <v>45815</v>
      </c>
      <c r="B1276" s="5" t="s">
        <v>16</v>
      </c>
      <c r="C1276" s="5" t="s">
        <v>5</v>
      </c>
      <c r="D1276" s="23">
        <v>251.48</v>
      </c>
      <c r="E1276" s="23">
        <v>107.36</v>
      </c>
      <c r="F1276" s="23">
        <v>144.12</v>
      </c>
      <c r="G1276" s="5" t="s">
        <v>32</v>
      </c>
      <c r="H1276" s="5" t="s">
        <v>28</v>
      </c>
      <c r="I1276" s="5" t="s">
        <v>22</v>
      </c>
      <c r="J1276" s="6">
        <f>Table1[[#This Row],[Profit]]/Table1[[#This Row],[Sales]]</f>
        <v>0.57308732304755849</v>
      </c>
      <c r="K1276" s="5" t="str">
        <f t="shared" si="19"/>
        <v>Low</v>
      </c>
      <c r="L1276" s="5" t="str">
        <f>TEXT(Table1[[#This Row],[Order_Date]],"MMM")</f>
        <v>Jun</v>
      </c>
      <c r="M1276" s="5" t="str">
        <f>IF(Table1[[#This Row],[Profit]]&gt;=1000,"Excellent",IF(Table1[[#This Row],[Profit]]&gt;=500,"Good", IF(Table1[[#This Row],[Profit]]&lt;500,"Low")))</f>
        <v>Low</v>
      </c>
      <c r="N1276" s="7" t="str">
        <f>TEXT(Table1[[#This Row],[Order_Date]],"YYY")</f>
        <v>2025</v>
      </c>
    </row>
    <row r="1277" spans="1:14" x14ac:dyDescent="0.3">
      <c r="A1277" s="4">
        <v>45816</v>
      </c>
      <c r="B1277" s="5" t="s">
        <v>0</v>
      </c>
      <c r="C1277" s="5" t="s">
        <v>1</v>
      </c>
      <c r="D1277" s="23">
        <v>969.65</v>
      </c>
      <c r="E1277" s="23">
        <v>614.76</v>
      </c>
      <c r="F1277" s="23">
        <v>354.89</v>
      </c>
      <c r="G1277" s="5" t="s">
        <v>2</v>
      </c>
      <c r="H1277" s="5" t="s">
        <v>12</v>
      </c>
      <c r="I1277" s="5" t="s">
        <v>25</v>
      </c>
      <c r="J1277" s="6">
        <f>Table1[[#This Row],[Profit]]/Table1[[#This Row],[Sales]]</f>
        <v>0.36599804053008816</v>
      </c>
      <c r="K1277" s="5" t="str">
        <f t="shared" si="19"/>
        <v>Low</v>
      </c>
      <c r="L1277" s="5" t="str">
        <f>TEXT(Table1[[#This Row],[Order_Date]],"MMM")</f>
        <v>Jun</v>
      </c>
      <c r="M1277" s="5" t="str">
        <f>IF(Table1[[#This Row],[Profit]]&gt;=1000,"Excellent",IF(Table1[[#This Row],[Profit]]&gt;=500,"Good", IF(Table1[[#This Row],[Profit]]&lt;500,"Low")))</f>
        <v>Low</v>
      </c>
      <c r="N1277" s="7" t="str">
        <f>TEXT(Table1[[#This Row],[Order_Date]],"YYY")</f>
        <v>2025</v>
      </c>
    </row>
    <row r="1278" spans="1:14" x14ac:dyDescent="0.3">
      <c r="A1278" s="4">
        <v>45816</v>
      </c>
      <c r="B1278" s="5" t="s">
        <v>0</v>
      </c>
      <c r="C1278" s="5" t="s">
        <v>1</v>
      </c>
      <c r="D1278" s="23">
        <v>825.22</v>
      </c>
      <c r="E1278" s="23">
        <v>415.73</v>
      </c>
      <c r="F1278" s="23">
        <v>409.49</v>
      </c>
      <c r="G1278" s="5" t="s">
        <v>6</v>
      </c>
      <c r="H1278" s="5" t="s">
        <v>28</v>
      </c>
      <c r="I1278" s="5" t="s">
        <v>27</v>
      </c>
      <c r="J1278" s="6">
        <f>Table1[[#This Row],[Profit]]/Table1[[#This Row],[Sales]]</f>
        <v>0.4962191900341727</v>
      </c>
      <c r="K1278" s="5" t="str">
        <f t="shared" si="19"/>
        <v>Low</v>
      </c>
      <c r="L1278" s="5" t="str">
        <f>TEXT(Table1[[#This Row],[Order_Date]],"MMM")</f>
        <v>Jun</v>
      </c>
      <c r="M1278" s="5" t="str">
        <f>IF(Table1[[#This Row],[Profit]]&gt;=1000,"Excellent",IF(Table1[[#This Row],[Profit]]&gt;=500,"Good", IF(Table1[[#This Row],[Profit]]&lt;500,"Low")))</f>
        <v>Low</v>
      </c>
      <c r="N1278" s="7" t="str">
        <f>TEXT(Table1[[#This Row],[Order_Date]],"YYY")</f>
        <v>2025</v>
      </c>
    </row>
    <row r="1279" spans="1:14" x14ac:dyDescent="0.3">
      <c r="A1279" s="4">
        <v>45816</v>
      </c>
      <c r="B1279" s="5" t="s">
        <v>13</v>
      </c>
      <c r="C1279" s="5" t="s">
        <v>5</v>
      </c>
      <c r="D1279" s="23">
        <v>2428.65</v>
      </c>
      <c r="E1279" s="23">
        <v>962.87</v>
      </c>
      <c r="F1279" s="23">
        <v>1465.78</v>
      </c>
      <c r="G1279" s="5" t="s">
        <v>9</v>
      </c>
      <c r="H1279" s="5" t="s">
        <v>24</v>
      </c>
      <c r="I1279" s="5" t="s">
        <v>22</v>
      </c>
      <c r="J1279" s="6">
        <f>Table1[[#This Row],[Profit]]/Table1[[#This Row],[Sales]]</f>
        <v>0.60353694439297545</v>
      </c>
      <c r="K1279" s="5" t="str">
        <f t="shared" si="19"/>
        <v>High</v>
      </c>
      <c r="L1279" s="5" t="str">
        <f>TEXT(Table1[[#This Row],[Order_Date]],"MMM")</f>
        <v>Jun</v>
      </c>
      <c r="M1279" s="5" t="str">
        <f>IF(Table1[[#This Row],[Profit]]&gt;=1000,"Excellent",IF(Table1[[#This Row],[Profit]]&gt;=500,"Good", IF(Table1[[#This Row],[Profit]]&lt;500,"Low")))</f>
        <v>Excellent</v>
      </c>
      <c r="N1279" s="7" t="str">
        <f>TEXT(Table1[[#This Row],[Order_Date]],"YYY")</f>
        <v>2025</v>
      </c>
    </row>
    <row r="1280" spans="1:14" x14ac:dyDescent="0.3">
      <c r="A1280" s="4">
        <v>45816</v>
      </c>
      <c r="B1280" s="5" t="s">
        <v>18</v>
      </c>
      <c r="C1280" s="5" t="s">
        <v>26</v>
      </c>
      <c r="D1280" s="23">
        <v>400.08</v>
      </c>
      <c r="E1280" s="23">
        <v>172.68</v>
      </c>
      <c r="F1280" s="23">
        <v>227.4</v>
      </c>
      <c r="G1280" s="5" t="s">
        <v>32</v>
      </c>
      <c r="H1280" s="5" t="s">
        <v>34</v>
      </c>
      <c r="I1280" s="5" t="s">
        <v>17</v>
      </c>
      <c r="J1280" s="6">
        <f>Table1[[#This Row],[Profit]]/Table1[[#This Row],[Sales]]</f>
        <v>0.56838632273545298</v>
      </c>
      <c r="K1280" s="5" t="str">
        <f t="shared" si="19"/>
        <v>Low</v>
      </c>
      <c r="L1280" s="5" t="str">
        <f>TEXT(Table1[[#This Row],[Order_Date]],"MMM")</f>
        <v>Jun</v>
      </c>
      <c r="M1280" s="5" t="str">
        <f>IF(Table1[[#This Row],[Profit]]&gt;=1000,"Excellent",IF(Table1[[#This Row],[Profit]]&gt;=500,"Good", IF(Table1[[#This Row],[Profit]]&lt;500,"Low")))</f>
        <v>Low</v>
      </c>
      <c r="N1280" s="7" t="str">
        <f>TEXT(Table1[[#This Row],[Order_Date]],"YYY")</f>
        <v>2025</v>
      </c>
    </row>
    <row r="1281" spans="1:14" x14ac:dyDescent="0.3">
      <c r="A1281" s="4">
        <v>45817</v>
      </c>
      <c r="B1281" s="5" t="s">
        <v>16</v>
      </c>
      <c r="C1281" s="5" t="s">
        <v>23</v>
      </c>
      <c r="D1281" s="23">
        <v>39.380000000000003</v>
      </c>
      <c r="E1281" s="23">
        <v>15.76</v>
      </c>
      <c r="F1281" s="23">
        <v>23.62</v>
      </c>
      <c r="G1281" s="5" t="s">
        <v>2</v>
      </c>
      <c r="H1281" s="5" t="s">
        <v>3</v>
      </c>
      <c r="I1281" s="5" t="s">
        <v>11</v>
      </c>
      <c r="J1281" s="6">
        <f>Table1[[#This Row],[Profit]]/Table1[[#This Row],[Sales]]</f>
        <v>0.59979685119349924</v>
      </c>
      <c r="K1281" s="5" t="str">
        <f t="shared" si="19"/>
        <v>Low</v>
      </c>
      <c r="L1281" s="5" t="str">
        <f>TEXT(Table1[[#This Row],[Order_Date]],"MMM")</f>
        <v>Jun</v>
      </c>
      <c r="M1281" s="5" t="str">
        <f>IF(Table1[[#This Row],[Profit]]&gt;=1000,"Excellent",IF(Table1[[#This Row],[Profit]]&gt;=500,"Good", IF(Table1[[#This Row],[Profit]]&lt;500,"Low")))</f>
        <v>Low</v>
      </c>
      <c r="N1281" s="7" t="str">
        <f>TEXT(Table1[[#This Row],[Order_Date]],"YYY")</f>
        <v>2025</v>
      </c>
    </row>
    <row r="1282" spans="1:14" x14ac:dyDescent="0.3">
      <c r="A1282" s="4">
        <v>45817</v>
      </c>
      <c r="B1282" s="5" t="s">
        <v>16</v>
      </c>
      <c r="C1282" s="5" t="s">
        <v>19</v>
      </c>
      <c r="D1282" s="23">
        <v>7.56</v>
      </c>
      <c r="E1282" s="23">
        <v>2.0699999999999998</v>
      </c>
      <c r="F1282" s="23">
        <v>5.49</v>
      </c>
      <c r="G1282" s="5" t="s">
        <v>2</v>
      </c>
      <c r="H1282" s="5" t="s">
        <v>10</v>
      </c>
      <c r="I1282" s="5" t="s">
        <v>25</v>
      </c>
      <c r="J1282" s="6">
        <f>Table1[[#This Row],[Profit]]/Table1[[#This Row],[Sales]]</f>
        <v>0.72619047619047628</v>
      </c>
      <c r="K1282" s="5" t="str">
        <f t="shared" ref="K1282:K1345" si="20">IF(D1282&gt;=2000,"High",IF(D1282&gt;=1500,"Medium","Low"))</f>
        <v>Low</v>
      </c>
      <c r="L1282" s="5" t="str">
        <f>TEXT(Table1[[#This Row],[Order_Date]],"MMM")</f>
        <v>Jun</v>
      </c>
      <c r="M1282" s="5" t="str">
        <f>IF(Table1[[#This Row],[Profit]]&gt;=1000,"Excellent",IF(Table1[[#This Row],[Profit]]&gt;=500,"Good", IF(Table1[[#This Row],[Profit]]&lt;500,"Low")))</f>
        <v>Low</v>
      </c>
      <c r="N1282" s="7" t="str">
        <f>TEXT(Table1[[#This Row],[Order_Date]],"YYY")</f>
        <v>2025</v>
      </c>
    </row>
    <row r="1283" spans="1:14" x14ac:dyDescent="0.3">
      <c r="A1283" s="4">
        <v>45818</v>
      </c>
      <c r="B1283" s="5" t="s">
        <v>13</v>
      </c>
      <c r="C1283" s="5" t="s">
        <v>14</v>
      </c>
      <c r="D1283" s="23">
        <v>223.34</v>
      </c>
      <c r="E1283" s="23">
        <v>84.44</v>
      </c>
      <c r="F1283" s="23">
        <v>138.9</v>
      </c>
      <c r="G1283" s="5" t="s">
        <v>2</v>
      </c>
      <c r="H1283" s="5" t="s">
        <v>36</v>
      </c>
      <c r="I1283" s="5" t="s">
        <v>17</v>
      </c>
      <c r="J1283" s="6">
        <f>Table1[[#This Row],[Profit]]/Table1[[#This Row],[Sales]]</f>
        <v>0.62192173367959169</v>
      </c>
      <c r="K1283" s="5" t="str">
        <f t="shared" si="20"/>
        <v>Low</v>
      </c>
      <c r="L1283" s="5" t="str">
        <f>TEXT(Table1[[#This Row],[Order_Date]],"MMM")</f>
        <v>Jun</v>
      </c>
      <c r="M1283" s="5" t="str">
        <f>IF(Table1[[#This Row],[Profit]]&gt;=1000,"Excellent",IF(Table1[[#This Row],[Profit]]&gt;=500,"Good", IF(Table1[[#This Row],[Profit]]&lt;500,"Low")))</f>
        <v>Low</v>
      </c>
      <c r="N1283" s="7" t="str">
        <f>TEXT(Table1[[#This Row],[Order_Date]],"YYY")</f>
        <v>2025</v>
      </c>
    </row>
    <row r="1284" spans="1:14" x14ac:dyDescent="0.3">
      <c r="A1284" s="4">
        <v>45818</v>
      </c>
      <c r="B1284" s="5" t="s">
        <v>0</v>
      </c>
      <c r="C1284" s="5" t="s">
        <v>5</v>
      </c>
      <c r="D1284" s="23">
        <v>1176.23</v>
      </c>
      <c r="E1284" s="23">
        <v>358.64</v>
      </c>
      <c r="F1284" s="23">
        <v>817.59</v>
      </c>
      <c r="G1284" s="5" t="s">
        <v>20</v>
      </c>
      <c r="H1284" s="5" t="s">
        <v>12</v>
      </c>
      <c r="I1284" s="5" t="s">
        <v>25</v>
      </c>
      <c r="J1284" s="6">
        <f>Table1[[#This Row],[Profit]]/Table1[[#This Row],[Sales]]</f>
        <v>0.69509364665074014</v>
      </c>
      <c r="K1284" s="5" t="str">
        <f t="shared" si="20"/>
        <v>Low</v>
      </c>
      <c r="L1284" s="5" t="str">
        <f>TEXT(Table1[[#This Row],[Order_Date]],"MMM")</f>
        <v>Jun</v>
      </c>
      <c r="M1284" s="5" t="str">
        <f>IF(Table1[[#This Row],[Profit]]&gt;=1000,"Excellent",IF(Table1[[#This Row],[Profit]]&gt;=500,"Good", IF(Table1[[#This Row],[Profit]]&lt;500,"Low")))</f>
        <v>Good</v>
      </c>
      <c r="N1284" s="7" t="str">
        <f>TEXT(Table1[[#This Row],[Order_Date]],"YYY")</f>
        <v>2025</v>
      </c>
    </row>
    <row r="1285" spans="1:14" x14ac:dyDescent="0.3">
      <c r="A1285" s="4">
        <v>45818</v>
      </c>
      <c r="B1285" s="5" t="s">
        <v>16</v>
      </c>
      <c r="C1285" s="5" t="s">
        <v>26</v>
      </c>
      <c r="D1285" s="23">
        <v>955.75</v>
      </c>
      <c r="E1285" s="23">
        <v>384.88</v>
      </c>
      <c r="F1285" s="23">
        <v>570.87</v>
      </c>
      <c r="G1285" s="5" t="s">
        <v>6</v>
      </c>
      <c r="H1285" s="5" t="s">
        <v>21</v>
      </c>
      <c r="I1285" s="5" t="s">
        <v>4</v>
      </c>
      <c r="J1285" s="6">
        <f>Table1[[#This Row],[Profit]]/Table1[[#This Row],[Sales]]</f>
        <v>0.59730054930682708</v>
      </c>
      <c r="K1285" s="5" t="str">
        <f t="shared" si="20"/>
        <v>Low</v>
      </c>
      <c r="L1285" s="5" t="str">
        <f>TEXT(Table1[[#This Row],[Order_Date]],"MMM")</f>
        <v>Jun</v>
      </c>
      <c r="M1285" s="5" t="str">
        <f>IF(Table1[[#This Row],[Profit]]&gt;=1000,"Excellent",IF(Table1[[#This Row],[Profit]]&gt;=500,"Good", IF(Table1[[#This Row],[Profit]]&lt;500,"Low")))</f>
        <v>Good</v>
      </c>
      <c r="N1285" s="7" t="str">
        <f>TEXT(Table1[[#This Row],[Order_Date]],"YYY")</f>
        <v>2025</v>
      </c>
    </row>
    <row r="1286" spans="1:14" x14ac:dyDescent="0.3">
      <c r="A1286" s="4">
        <v>45818</v>
      </c>
      <c r="B1286" s="5" t="s">
        <v>0</v>
      </c>
      <c r="C1286" s="5" t="s">
        <v>14</v>
      </c>
      <c r="D1286" s="23">
        <v>335.68</v>
      </c>
      <c r="E1286" s="23">
        <v>181.89</v>
      </c>
      <c r="F1286" s="23">
        <v>153.79</v>
      </c>
      <c r="G1286" s="5" t="s">
        <v>9</v>
      </c>
      <c r="H1286" s="5" t="s">
        <v>21</v>
      </c>
      <c r="I1286" s="5" t="s">
        <v>11</v>
      </c>
      <c r="J1286" s="6">
        <f>Table1[[#This Row],[Profit]]/Table1[[#This Row],[Sales]]</f>
        <v>0.45814466158245948</v>
      </c>
      <c r="K1286" s="5" t="str">
        <f t="shared" si="20"/>
        <v>Low</v>
      </c>
      <c r="L1286" s="5" t="str">
        <f>TEXT(Table1[[#This Row],[Order_Date]],"MMM")</f>
        <v>Jun</v>
      </c>
      <c r="M1286" s="5" t="str">
        <f>IF(Table1[[#This Row],[Profit]]&gt;=1000,"Excellent",IF(Table1[[#This Row],[Profit]]&gt;=500,"Good", IF(Table1[[#This Row],[Profit]]&lt;500,"Low")))</f>
        <v>Low</v>
      </c>
      <c r="N1286" s="7" t="str">
        <f>TEXT(Table1[[#This Row],[Order_Date]],"YYY")</f>
        <v>2025</v>
      </c>
    </row>
    <row r="1287" spans="1:14" x14ac:dyDescent="0.3">
      <c r="A1287" s="4">
        <v>45819</v>
      </c>
      <c r="B1287" s="5" t="s">
        <v>8</v>
      </c>
      <c r="C1287" s="5" t="s">
        <v>19</v>
      </c>
      <c r="D1287" s="23">
        <v>149.15</v>
      </c>
      <c r="E1287" s="23">
        <v>35.06</v>
      </c>
      <c r="F1287" s="23">
        <v>114.09</v>
      </c>
      <c r="G1287" s="5" t="s">
        <v>32</v>
      </c>
      <c r="H1287" s="5" t="s">
        <v>10</v>
      </c>
      <c r="I1287" s="5" t="s">
        <v>17</v>
      </c>
      <c r="J1287" s="6">
        <f>Table1[[#This Row],[Profit]]/Table1[[#This Row],[Sales]]</f>
        <v>0.76493462956754943</v>
      </c>
      <c r="K1287" s="5" t="str">
        <f t="shared" si="20"/>
        <v>Low</v>
      </c>
      <c r="L1287" s="5" t="str">
        <f>TEXT(Table1[[#This Row],[Order_Date]],"MMM")</f>
        <v>Jun</v>
      </c>
      <c r="M1287" s="5" t="str">
        <f>IF(Table1[[#This Row],[Profit]]&gt;=1000,"Excellent",IF(Table1[[#This Row],[Profit]]&gt;=500,"Good", IF(Table1[[#This Row],[Profit]]&lt;500,"Low")))</f>
        <v>Low</v>
      </c>
      <c r="N1287" s="7" t="str">
        <f>TEXT(Table1[[#This Row],[Order_Date]],"YYY")</f>
        <v>2025</v>
      </c>
    </row>
    <row r="1288" spans="1:14" x14ac:dyDescent="0.3">
      <c r="A1288" s="4">
        <v>45819</v>
      </c>
      <c r="B1288" s="5" t="s">
        <v>0</v>
      </c>
      <c r="C1288" s="5" t="s">
        <v>23</v>
      </c>
      <c r="D1288" s="23">
        <v>808.21</v>
      </c>
      <c r="E1288" s="23">
        <v>270.94</v>
      </c>
      <c r="F1288" s="23">
        <v>537.27</v>
      </c>
      <c r="G1288" s="5" t="s">
        <v>32</v>
      </c>
      <c r="H1288" s="5" t="s">
        <v>12</v>
      </c>
      <c r="I1288" s="5" t="s">
        <v>25</v>
      </c>
      <c r="J1288" s="6">
        <f>Table1[[#This Row],[Profit]]/Table1[[#This Row],[Sales]]</f>
        <v>0.66476534564036571</v>
      </c>
      <c r="K1288" s="5" t="str">
        <f t="shared" si="20"/>
        <v>Low</v>
      </c>
      <c r="L1288" s="5" t="str">
        <f>TEXT(Table1[[#This Row],[Order_Date]],"MMM")</f>
        <v>Jun</v>
      </c>
      <c r="M1288" s="5" t="str">
        <f>IF(Table1[[#This Row],[Profit]]&gt;=1000,"Excellent",IF(Table1[[#This Row],[Profit]]&gt;=500,"Good", IF(Table1[[#This Row],[Profit]]&lt;500,"Low")))</f>
        <v>Good</v>
      </c>
      <c r="N1288" s="7" t="str">
        <f>TEXT(Table1[[#This Row],[Order_Date]],"YYY")</f>
        <v>2025</v>
      </c>
    </row>
    <row r="1289" spans="1:14" x14ac:dyDescent="0.3">
      <c r="A1289" s="4">
        <v>45819</v>
      </c>
      <c r="B1289" s="5" t="s">
        <v>8</v>
      </c>
      <c r="C1289" s="5" t="s">
        <v>14</v>
      </c>
      <c r="D1289" s="23">
        <v>228.94</v>
      </c>
      <c r="E1289" s="23">
        <v>103.36</v>
      </c>
      <c r="F1289" s="23">
        <v>125.58</v>
      </c>
      <c r="G1289" s="5" t="s">
        <v>9</v>
      </c>
      <c r="H1289" s="5" t="s">
        <v>10</v>
      </c>
      <c r="I1289" s="5" t="s">
        <v>17</v>
      </c>
      <c r="J1289" s="6">
        <f>Table1[[#This Row],[Profit]]/Table1[[#This Row],[Sales]]</f>
        <v>0.54852799860225387</v>
      </c>
      <c r="K1289" s="5" t="str">
        <f t="shared" si="20"/>
        <v>Low</v>
      </c>
      <c r="L1289" s="5" t="str">
        <f>TEXT(Table1[[#This Row],[Order_Date]],"MMM")</f>
        <v>Jun</v>
      </c>
      <c r="M1289" s="5" t="str">
        <f>IF(Table1[[#This Row],[Profit]]&gt;=1000,"Excellent",IF(Table1[[#This Row],[Profit]]&gt;=500,"Good", IF(Table1[[#This Row],[Profit]]&lt;500,"Low")))</f>
        <v>Low</v>
      </c>
      <c r="N1289" s="7" t="str">
        <f>TEXT(Table1[[#This Row],[Order_Date]],"YYY")</f>
        <v>2025</v>
      </c>
    </row>
    <row r="1290" spans="1:14" x14ac:dyDescent="0.3">
      <c r="A1290" s="4">
        <v>45820</v>
      </c>
      <c r="B1290" s="5" t="s">
        <v>0</v>
      </c>
      <c r="C1290" s="5" t="s">
        <v>1</v>
      </c>
      <c r="D1290" s="23">
        <v>1002.8</v>
      </c>
      <c r="E1290" s="23">
        <v>675.97</v>
      </c>
      <c r="F1290" s="23">
        <v>326.83</v>
      </c>
      <c r="G1290" s="5" t="s">
        <v>20</v>
      </c>
      <c r="H1290" s="5" t="s">
        <v>33</v>
      </c>
      <c r="I1290" s="5" t="s">
        <v>27</v>
      </c>
      <c r="J1290" s="6">
        <f>Table1[[#This Row],[Profit]]/Table1[[#This Row],[Sales]]</f>
        <v>0.32591743119266053</v>
      </c>
      <c r="K1290" s="5" t="str">
        <f t="shared" si="20"/>
        <v>Low</v>
      </c>
      <c r="L1290" s="5" t="str">
        <f>TEXT(Table1[[#This Row],[Order_Date]],"MMM")</f>
        <v>Jun</v>
      </c>
      <c r="M1290" s="5" t="str">
        <f>IF(Table1[[#This Row],[Profit]]&gt;=1000,"Excellent",IF(Table1[[#This Row],[Profit]]&gt;=500,"Good", IF(Table1[[#This Row],[Profit]]&lt;500,"Low")))</f>
        <v>Low</v>
      </c>
      <c r="N1290" s="7" t="str">
        <f>TEXT(Table1[[#This Row],[Order_Date]],"YYY")</f>
        <v>2025</v>
      </c>
    </row>
    <row r="1291" spans="1:14" x14ac:dyDescent="0.3">
      <c r="A1291" s="4">
        <v>45820</v>
      </c>
      <c r="B1291" s="5" t="s">
        <v>18</v>
      </c>
      <c r="C1291" s="5" t="s">
        <v>23</v>
      </c>
      <c r="D1291" s="23">
        <v>449.44</v>
      </c>
      <c r="E1291" s="23">
        <v>164.98</v>
      </c>
      <c r="F1291" s="23">
        <v>284.45999999999998</v>
      </c>
      <c r="G1291" s="5" t="s">
        <v>20</v>
      </c>
      <c r="H1291" s="5" t="s">
        <v>10</v>
      </c>
      <c r="I1291" s="5" t="s">
        <v>22</v>
      </c>
      <c r="J1291" s="6">
        <f>Table1[[#This Row],[Profit]]/Table1[[#This Row],[Sales]]</f>
        <v>0.63292096831612665</v>
      </c>
      <c r="K1291" s="5" t="str">
        <f t="shared" si="20"/>
        <v>Low</v>
      </c>
      <c r="L1291" s="5" t="str">
        <f>TEXT(Table1[[#This Row],[Order_Date]],"MMM")</f>
        <v>Jun</v>
      </c>
      <c r="M1291" s="5" t="str">
        <f>IF(Table1[[#This Row],[Profit]]&gt;=1000,"Excellent",IF(Table1[[#This Row],[Profit]]&gt;=500,"Good", IF(Table1[[#This Row],[Profit]]&lt;500,"Low")))</f>
        <v>Low</v>
      </c>
      <c r="N1291" s="7" t="str">
        <f>TEXT(Table1[[#This Row],[Order_Date]],"YYY")</f>
        <v>2025</v>
      </c>
    </row>
    <row r="1292" spans="1:14" x14ac:dyDescent="0.3">
      <c r="A1292" s="4">
        <v>45820</v>
      </c>
      <c r="B1292" s="5" t="s">
        <v>13</v>
      </c>
      <c r="C1292" s="5" t="s">
        <v>14</v>
      </c>
      <c r="D1292" s="23">
        <v>153.47999999999999</v>
      </c>
      <c r="E1292" s="23">
        <v>59.04</v>
      </c>
      <c r="F1292" s="23">
        <v>94.44</v>
      </c>
      <c r="G1292" s="5" t="s">
        <v>9</v>
      </c>
      <c r="H1292" s="5" t="s">
        <v>34</v>
      </c>
      <c r="I1292" s="5" t="s">
        <v>11</v>
      </c>
      <c r="J1292" s="6">
        <f>Table1[[#This Row],[Profit]]/Table1[[#This Row],[Sales]]</f>
        <v>0.6153244722439406</v>
      </c>
      <c r="K1292" s="5" t="str">
        <f t="shared" si="20"/>
        <v>Low</v>
      </c>
      <c r="L1292" s="5" t="str">
        <f>TEXT(Table1[[#This Row],[Order_Date]],"MMM")</f>
        <v>Jun</v>
      </c>
      <c r="M1292" s="5" t="str">
        <f>IF(Table1[[#This Row],[Profit]]&gt;=1000,"Excellent",IF(Table1[[#This Row],[Profit]]&gt;=500,"Good", IF(Table1[[#This Row],[Profit]]&lt;500,"Low")))</f>
        <v>Low</v>
      </c>
      <c r="N1292" s="7" t="str">
        <f>TEXT(Table1[[#This Row],[Order_Date]],"YYY")</f>
        <v>2025</v>
      </c>
    </row>
    <row r="1293" spans="1:14" x14ac:dyDescent="0.3">
      <c r="A1293" s="4">
        <v>45820</v>
      </c>
      <c r="B1293" s="5" t="s">
        <v>18</v>
      </c>
      <c r="C1293" s="5" t="s">
        <v>14</v>
      </c>
      <c r="D1293" s="23">
        <v>369.38</v>
      </c>
      <c r="E1293" s="23">
        <v>189.02</v>
      </c>
      <c r="F1293" s="23">
        <v>180.36</v>
      </c>
      <c r="G1293" s="5" t="s">
        <v>20</v>
      </c>
      <c r="H1293" s="5" t="s">
        <v>10</v>
      </c>
      <c r="I1293" s="5" t="s">
        <v>27</v>
      </c>
      <c r="J1293" s="6">
        <f>Table1[[#This Row],[Profit]]/Table1[[#This Row],[Sales]]</f>
        <v>0.48827765444799398</v>
      </c>
      <c r="K1293" s="5" t="str">
        <f t="shared" si="20"/>
        <v>Low</v>
      </c>
      <c r="L1293" s="5" t="str">
        <f>TEXT(Table1[[#This Row],[Order_Date]],"MMM")</f>
        <v>Jun</v>
      </c>
      <c r="M1293" s="5" t="str">
        <f>IF(Table1[[#This Row],[Profit]]&gt;=1000,"Excellent",IF(Table1[[#This Row],[Profit]]&gt;=500,"Good", IF(Table1[[#This Row],[Profit]]&lt;500,"Low")))</f>
        <v>Low</v>
      </c>
      <c r="N1293" s="7" t="str">
        <f>TEXT(Table1[[#This Row],[Order_Date]],"YYY")</f>
        <v>2025</v>
      </c>
    </row>
    <row r="1294" spans="1:14" x14ac:dyDescent="0.3">
      <c r="A1294" s="4">
        <v>45821</v>
      </c>
      <c r="B1294" s="5" t="s">
        <v>18</v>
      </c>
      <c r="C1294" s="5" t="s">
        <v>1</v>
      </c>
      <c r="D1294" s="23">
        <v>945</v>
      </c>
      <c r="E1294" s="23">
        <v>444.44</v>
      </c>
      <c r="F1294" s="23">
        <v>500.56</v>
      </c>
      <c r="G1294" s="5" t="s">
        <v>20</v>
      </c>
      <c r="H1294" s="5" t="s">
        <v>3</v>
      </c>
      <c r="I1294" s="5" t="s">
        <v>17</v>
      </c>
      <c r="J1294" s="6">
        <f>Table1[[#This Row],[Profit]]/Table1[[#This Row],[Sales]]</f>
        <v>0.52969312169312166</v>
      </c>
      <c r="K1294" s="5" t="str">
        <f t="shared" si="20"/>
        <v>Low</v>
      </c>
      <c r="L1294" s="5" t="str">
        <f>TEXT(Table1[[#This Row],[Order_Date]],"MMM")</f>
        <v>Jun</v>
      </c>
      <c r="M1294" s="5" t="str">
        <f>IF(Table1[[#This Row],[Profit]]&gt;=1000,"Excellent",IF(Table1[[#This Row],[Profit]]&gt;=500,"Good", IF(Table1[[#This Row],[Profit]]&lt;500,"Low")))</f>
        <v>Good</v>
      </c>
      <c r="N1294" s="7" t="str">
        <f>TEXT(Table1[[#This Row],[Order_Date]],"YYY")</f>
        <v>2025</v>
      </c>
    </row>
    <row r="1295" spans="1:14" x14ac:dyDescent="0.3">
      <c r="A1295" s="4">
        <v>45821</v>
      </c>
      <c r="B1295" s="5" t="s">
        <v>8</v>
      </c>
      <c r="C1295" s="5" t="s">
        <v>31</v>
      </c>
      <c r="D1295" s="23">
        <v>226.92</v>
      </c>
      <c r="E1295" s="23">
        <v>66.73</v>
      </c>
      <c r="F1295" s="23">
        <v>160.19</v>
      </c>
      <c r="G1295" s="5" t="s">
        <v>6</v>
      </c>
      <c r="H1295" s="5" t="s">
        <v>12</v>
      </c>
      <c r="I1295" s="5" t="s">
        <v>27</v>
      </c>
      <c r="J1295" s="6">
        <f>Table1[[#This Row],[Profit]]/Table1[[#This Row],[Sales]]</f>
        <v>0.70593160585228276</v>
      </c>
      <c r="K1295" s="5" t="str">
        <f t="shared" si="20"/>
        <v>Low</v>
      </c>
      <c r="L1295" s="5" t="str">
        <f>TEXT(Table1[[#This Row],[Order_Date]],"MMM")</f>
        <v>Jun</v>
      </c>
      <c r="M1295" s="5" t="str">
        <f>IF(Table1[[#This Row],[Profit]]&gt;=1000,"Excellent",IF(Table1[[#This Row],[Profit]]&gt;=500,"Good", IF(Table1[[#This Row],[Profit]]&lt;500,"Low")))</f>
        <v>Low</v>
      </c>
      <c r="N1295" s="7" t="str">
        <f>TEXT(Table1[[#This Row],[Order_Date]],"YYY")</f>
        <v>2025</v>
      </c>
    </row>
    <row r="1296" spans="1:14" x14ac:dyDescent="0.3">
      <c r="A1296" s="4">
        <v>45822</v>
      </c>
      <c r="B1296" s="5" t="s">
        <v>8</v>
      </c>
      <c r="C1296" s="5" t="s">
        <v>26</v>
      </c>
      <c r="D1296" s="23">
        <v>608.94000000000005</v>
      </c>
      <c r="E1296" s="23">
        <v>171.88</v>
      </c>
      <c r="F1296" s="23">
        <v>437.06</v>
      </c>
      <c r="G1296" s="5" t="s">
        <v>6</v>
      </c>
      <c r="H1296" s="5" t="s">
        <v>3</v>
      </c>
      <c r="I1296" s="5" t="s">
        <v>4</v>
      </c>
      <c r="J1296" s="6">
        <f>Table1[[#This Row],[Profit]]/Table1[[#This Row],[Sales]]</f>
        <v>0.71773902190692018</v>
      </c>
      <c r="K1296" s="5" t="str">
        <f t="shared" si="20"/>
        <v>Low</v>
      </c>
      <c r="L1296" s="5" t="str">
        <f>TEXT(Table1[[#This Row],[Order_Date]],"MMM")</f>
        <v>Jun</v>
      </c>
      <c r="M1296" s="5" t="str">
        <f>IF(Table1[[#This Row],[Profit]]&gt;=1000,"Excellent",IF(Table1[[#This Row],[Profit]]&gt;=500,"Good", IF(Table1[[#This Row],[Profit]]&lt;500,"Low")))</f>
        <v>Low</v>
      </c>
      <c r="N1296" s="7" t="str">
        <f>TEXT(Table1[[#This Row],[Order_Date]],"YYY")</f>
        <v>2025</v>
      </c>
    </row>
    <row r="1297" spans="1:14" x14ac:dyDescent="0.3">
      <c r="A1297" s="4">
        <v>45822</v>
      </c>
      <c r="B1297" s="5" t="s">
        <v>18</v>
      </c>
      <c r="C1297" s="5" t="s">
        <v>31</v>
      </c>
      <c r="D1297" s="23">
        <v>272.3</v>
      </c>
      <c r="E1297" s="23">
        <v>75.5</v>
      </c>
      <c r="F1297" s="23">
        <v>196.8</v>
      </c>
      <c r="G1297" s="5" t="s">
        <v>20</v>
      </c>
      <c r="H1297" s="5" t="s">
        <v>34</v>
      </c>
      <c r="I1297" s="5" t="s">
        <v>25</v>
      </c>
      <c r="J1297" s="6">
        <f>Table1[[#This Row],[Profit]]/Table1[[#This Row],[Sales]]</f>
        <v>0.72273228057289751</v>
      </c>
      <c r="K1297" s="5" t="str">
        <f t="shared" si="20"/>
        <v>Low</v>
      </c>
      <c r="L1297" s="5" t="str">
        <f>TEXT(Table1[[#This Row],[Order_Date]],"MMM")</f>
        <v>Jun</v>
      </c>
      <c r="M1297" s="5" t="str">
        <f>IF(Table1[[#This Row],[Profit]]&gt;=1000,"Excellent",IF(Table1[[#This Row],[Profit]]&gt;=500,"Good", IF(Table1[[#This Row],[Profit]]&lt;500,"Low")))</f>
        <v>Low</v>
      </c>
      <c r="N1297" s="7" t="str">
        <f>TEXT(Table1[[#This Row],[Order_Date]],"YYY")</f>
        <v>2025</v>
      </c>
    </row>
    <row r="1298" spans="1:14" x14ac:dyDescent="0.3">
      <c r="A1298" s="4">
        <v>45822</v>
      </c>
      <c r="B1298" s="5" t="s">
        <v>18</v>
      </c>
      <c r="C1298" s="5" t="s">
        <v>31</v>
      </c>
      <c r="D1298" s="23">
        <v>188.92</v>
      </c>
      <c r="E1298" s="23">
        <v>42.46</v>
      </c>
      <c r="F1298" s="23">
        <v>146.46</v>
      </c>
      <c r="G1298" s="5" t="s">
        <v>9</v>
      </c>
      <c r="H1298" s="5" t="s">
        <v>21</v>
      </c>
      <c r="I1298" s="5" t="s">
        <v>27</v>
      </c>
      <c r="J1298" s="6">
        <f>Table1[[#This Row],[Profit]]/Table1[[#This Row],[Sales]]</f>
        <v>0.77524878255346186</v>
      </c>
      <c r="K1298" s="5" t="str">
        <f t="shared" si="20"/>
        <v>Low</v>
      </c>
      <c r="L1298" s="5" t="str">
        <f>TEXT(Table1[[#This Row],[Order_Date]],"MMM")</f>
        <v>Jun</v>
      </c>
      <c r="M1298" s="5" t="str">
        <f>IF(Table1[[#This Row],[Profit]]&gt;=1000,"Excellent",IF(Table1[[#This Row],[Profit]]&gt;=500,"Good", IF(Table1[[#This Row],[Profit]]&lt;500,"Low")))</f>
        <v>Low</v>
      </c>
      <c r="N1298" s="7" t="str">
        <f>TEXT(Table1[[#This Row],[Order_Date]],"YYY")</f>
        <v>2025</v>
      </c>
    </row>
    <row r="1299" spans="1:14" x14ac:dyDescent="0.3">
      <c r="A1299" s="4">
        <v>45822</v>
      </c>
      <c r="B1299" s="5" t="s">
        <v>18</v>
      </c>
      <c r="C1299" s="5" t="s">
        <v>14</v>
      </c>
      <c r="D1299" s="23">
        <v>82.83</v>
      </c>
      <c r="E1299" s="23">
        <v>45.54</v>
      </c>
      <c r="F1299" s="23">
        <v>37.29</v>
      </c>
      <c r="G1299" s="5" t="s">
        <v>9</v>
      </c>
      <c r="H1299" s="5" t="s">
        <v>34</v>
      </c>
      <c r="I1299" s="5" t="s">
        <v>22</v>
      </c>
      <c r="J1299" s="6">
        <f>Table1[[#This Row],[Profit]]/Table1[[#This Row],[Sales]]</f>
        <v>0.45019920318725098</v>
      </c>
      <c r="K1299" s="5" t="str">
        <f t="shared" si="20"/>
        <v>Low</v>
      </c>
      <c r="L1299" s="5" t="str">
        <f>TEXT(Table1[[#This Row],[Order_Date]],"MMM")</f>
        <v>Jun</v>
      </c>
      <c r="M1299" s="5" t="str">
        <f>IF(Table1[[#This Row],[Profit]]&gt;=1000,"Excellent",IF(Table1[[#This Row],[Profit]]&gt;=500,"Good", IF(Table1[[#This Row],[Profit]]&lt;500,"Low")))</f>
        <v>Low</v>
      </c>
      <c r="N1299" s="7" t="str">
        <f>TEXT(Table1[[#This Row],[Order_Date]],"YYY")</f>
        <v>2025</v>
      </c>
    </row>
    <row r="1300" spans="1:14" x14ac:dyDescent="0.3">
      <c r="A1300" s="4">
        <v>45824</v>
      </c>
      <c r="B1300" s="5" t="s">
        <v>18</v>
      </c>
      <c r="C1300" s="5" t="s">
        <v>1</v>
      </c>
      <c r="D1300" s="23">
        <v>682.53</v>
      </c>
      <c r="E1300" s="23">
        <v>450.24</v>
      </c>
      <c r="F1300" s="23">
        <v>232.29</v>
      </c>
      <c r="G1300" s="5" t="s">
        <v>9</v>
      </c>
      <c r="H1300" s="5" t="s">
        <v>29</v>
      </c>
      <c r="I1300" s="5" t="s">
        <v>27</v>
      </c>
      <c r="J1300" s="6">
        <f>Table1[[#This Row],[Profit]]/Table1[[#This Row],[Sales]]</f>
        <v>0.34033668849720894</v>
      </c>
      <c r="K1300" s="5" t="str">
        <f t="shared" si="20"/>
        <v>Low</v>
      </c>
      <c r="L1300" s="5" t="str">
        <f>TEXT(Table1[[#This Row],[Order_Date]],"MMM")</f>
        <v>Jun</v>
      </c>
      <c r="M1300" s="5" t="str">
        <f>IF(Table1[[#This Row],[Profit]]&gt;=1000,"Excellent",IF(Table1[[#This Row],[Profit]]&gt;=500,"Good", IF(Table1[[#This Row],[Profit]]&lt;500,"Low")))</f>
        <v>Low</v>
      </c>
      <c r="N1300" s="7" t="str">
        <f>TEXT(Table1[[#This Row],[Order_Date]],"YYY")</f>
        <v>2025</v>
      </c>
    </row>
    <row r="1301" spans="1:14" x14ac:dyDescent="0.3">
      <c r="A1301" s="4">
        <v>45824</v>
      </c>
      <c r="B1301" s="5" t="s">
        <v>13</v>
      </c>
      <c r="C1301" s="5" t="s">
        <v>14</v>
      </c>
      <c r="D1301" s="23">
        <v>252.95</v>
      </c>
      <c r="E1301" s="23">
        <v>87.9</v>
      </c>
      <c r="F1301" s="23">
        <v>165.05</v>
      </c>
      <c r="G1301" s="5" t="s">
        <v>9</v>
      </c>
      <c r="H1301" s="5" t="s">
        <v>21</v>
      </c>
      <c r="I1301" s="5" t="s">
        <v>22</v>
      </c>
      <c r="J1301" s="6">
        <f>Table1[[#This Row],[Profit]]/Table1[[#This Row],[Sales]]</f>
        <v>0.65250049416880818</v>
      </c>
      <c r="K1301" s="5" t="str">
        <f t="shared" si="20"/>
        <v>Low</v>
      </c>
      <c r="L1301" s="5" t="str">
        <f>TEXT(Table1[[#This Row],[Order_Date]],"MMM")</f>
        <v>Jun</v>
      </c>
      <c r="M1301" s="5" t="str">
        <f>IF(Table1[[#This Row],[Profit]]&gt;=1000,"Excellent",IF(Table1[[#This Row],[Profit]]&gt;=500,"Good", IF(Table1[[#This Row],[Profit]]&lt;500,"Low")))</f>
        <v>Low</v>
      </c>
      <c r="N1301" s="7" t="str">
        <f>TEXT(Table1[[#This Row],[Order_Date]],"YYY")</f>
        <v>2025</v>
      </c>
    </row>
    <row r="1302" spans="1:14" x14ac:dyDescent="0.3">
      <c r="A1302" s="4">
        <v>45824</v>
      </c>
      <c r="B1302" s="5" t="s">
        <v>18</v>
      </c>
      <c r="C1302" s="5" t="s">
        <v>19</v>
      </c>
      <c r="D1302" s="23">
        <v>92</v>
      </c>
      <c r="E1302" s="23">
        <v>41.29</v>
      </c>
      <c r="F1302" s="23">
        <v>50.71</v>
      </c>
      <c r="G1302" s="5" t="s">
        <v>20</v>
      </c>
      <c r="H1302" s="5" t="s">
        <v>33</v>
      </c>
      <c r="I1302" s="5" t="s">
        <v>27</v>
      </c>
      <c r="J1302" s="6">
        <f>Table1[[#This Row],[Profit]]/Table1[[#This Row],[Sales]]</f>
        <v>0.55119565217391309</v>
      </c>
      <c r="K1302" s="5" t="str">
        <f t="shared" si="20"/>
        <v>Low</v>
      </c>
      <c r="L1302" s="5" t="str">
        <f>TEXT(Table1[[#This Row],[Order_Date]],"MMM")</f>
        <v>Jun</v>
      </c>
      <c r="M1302" s="5" t="str">
        <f>IF(Table1[[#This Row],[Profit]]&gt;=1000,"Excellent",IF(Table1[[#This Row],[Profit]]&gt;=500,"Good", IF(Table1[[#This Row],[Profit]]&lt;500,"Low")))</f>
        <v>Low</v>
      </c>
      <c r="N1302" s="7" t="str">
        <f>TEXT(Table1[[#This Row],[Order_Date]],"YYY")</f>
        <v>2025</v>
      </c>
    </row>
    <row r="1303" spans="1:14" x14ac:dyDescent="0.3">
      <c r="A1303" s="4">
        <v>45825</v>
      </c>
      <c r="B1303" s="5" t="s">
        <v>18</v>
      </c>
      <c r="C1303" s="5" t="s">
        <v>23</v>
      </c>
      <c r="D1303" s="23">
        <v>627.11</v>
      </c>
      <c r="E1303" s="23">
        <v>289.44</v>
      </c>
      <c r="F1303" s="23">
        <v>337.67</v>
      </c>
      <c r="G1303" s="5" t="s">
        <v>32</v>
      </c>
      <c r="H1303" s="5" t="s">
        <v>33</v>
      </c>
      <c r="I1303" s="5" t="s">
        <v>4</v>
      </c>
      <c r="J1303" s="6">
        <f>Table1[[#This Row],[Profit]]/Table1[[#This Row],[Sales]]</f>
        <v>0.53845417869273338</v>
      </c>
      <c r="K1303" s="5" t="str">
        <f t="shared" si="20"/>
        <v>Low</v>
      </c>
      <c r="L1303" s="5" t="str">
        <f>TEXT(Table1[[#This Row],[Order_Date]],"MMM")</f>
        <v>Jun</v>
      </c>
      <c r="M1303" s="5" t="str">
        <f>IF(Table1[[#This Row],[Profit]]&gt;=1000,"Excellent",IF(Table1[[#This Row],[Profit]]&gt;=500,"Good", IF(Table1[[#This Row],[Profit]]&lt;500,"Low")))</f>
        <v>Low</v>
      </c>
      <c r="N1303" s="7" t="str">
        <f>TEXT(Table1[[#This Row],[Order_Date]],"YYY")</f>
        <v>2025</v>
      </c>
    </row>
    <row r="1304" spans="1:14" x14ac:dyDescent="0.3">
      <c r="A1304" s="4">
        <v>45825</v>
      </c>
      <c r="B1304" s="5" t="s">
        <v>18</v>
      </c>
      <c r="C1304" s="5" t="s">
        <v>1</v>
      </c>
      <c r="D1304" s="23">
        <v>235.68</v>
      </c>
      <c r="E1304" s="23">
        <v>113</v>
      </c>
      <c r="F1304" s="23">
        <v>122.68</v>
      </c>
      <c r="G1304" s="5" t="s">
        <v>2</v>
      </c>
      <c r="H1304" s="5" t="s">
        <v>3</v>
      </c>
      <c r="I1304" s="5" t="s">
        <v>17</v>
      </c>
      <c r="J1304" s="6">
        <f>Table1[[#This Row],[Profit]]/Table1[[#This Row],[Sales]]</f>
        <v>0.5205363204344875</v>
      </c>
      <c r="K1304" s="5" t="str">
        <f t="shared" si="20"/>
        <v>Low</v>
      </c>
      <c r="L1304" s="5" t="str">
        <f>TEXT(Table1[[#This Row],[Order_Date]],"MMM")</f>
        <v>Jun</v>
      </c>
      <c r="M1304" s="5" t="str">
        <f>IF(Table1[[#This Row],[Profit]]&gt;=1000,"Excellent",IF(Table1[[#This Row],[Profit]]&gt;=500,"Good", IF(Table1[[#This Row],[Profit]]&lt;500,"Low")))</f>
        <v>Low</v>
      </c>
      <c r="N1304" s="7" t="str">
        <f>TEXT(Table1[[#This Row],[Order_Date]],"YYY")</f>
        <v>2025</v>
      </c>
    </row>
    <row r="1305" spans="1:14" x14ac:dyDescent="0.3">
      <c r="A1305" s="4">
        <v>45826</v>
      </c>
      <c r="B1305" s="5" t="s">
        <v>8</v>
      </c>
      <c r="C1305" s="5" t="s">
        <v>31</v>
      </c>
      <c r="D1305" s="23">
        <v>297.93</v>
      </c>
      <c r="E1305" s="23">
        <v>95.75</v>
      </c>
      <c r="F1305" s="23">
        <v>202.18</v>
      </c>
      <c r="G1305" s="5" t="s">
        <v>9</v>
      </c>
      <c r="H1305" s="5" t="s">
        <v>33</v>
      </c>
      <c r="I1305" s="5" t="s">
        <v>22</v>
      </c>
      <c r="J1305" s="6">
        <f>Table1[[#This Row],[Profit]]/Table1[[#This Row],[Sales]]</f>
        <v>0.67861578223072538</v>
      </c>
      <c r="K1305" s="5" t="str">
        <f t="shared" si="20"/>
        <v>Low</v>
      </c>
      <c r="L1305" s="5" t="str">
        <f>TEXT(Table1[[#This Row],[Order_Date]],"MMM")</f>
        <v>Jun</v>
      </c>
      <c r="M1305" s="5" t="str">
        <f>IF(Table1[[#This Row],[Profit]]&gt;=1000,"Excellent",IF(Table1[[#This Row],[Profit]]&gt;=500,"Good", IF(Table1[[#This Row],[Profit]]&lt;500,"Low")))</f>
        <v>Low</v>
      </c>
      <c r="N1305" s="7" t="str">
        <f>TEXT(Table1[[#This Row],[Order_Date]],"YYY")</f>
        <v>2025</v>
      </c>
    </row>
    <row r="1306" spans="1:14" x14ac:dyDescent="0.3">
      <c r="A1306" s="4">
        <v>45826</v>
      </c>
      <c r="B1306" s="5" t="s">
        <v>13</v>
      </c>
      <c r="C1306" s="5" t="s">
        <v>1</v>
      </c>
      <c r="D1306" s="23">
        <v>729.17</v>
      </c>
      <c r="E1306" s="23">
        <v>352.25</v>
      </c>
      <c r="F1306" s="23">
        <v>376.92</v>
      </c>
      <c r="G1306" s="5" t="s">
        <v>20</v>
      </c>
      <c r="H1306" s="5" t="s">
        <v>10</v>
      </c>
      <c r="I1306" s="5" t="s">
        <v>4</v>
      </c>
      <c r="J1306" s="6">
        <f>Table1[[#This Row],[Profit]]/Table1[[#This Row],[Sales]]</f>
        <v>0.51691649409602702</v>
      </c>
      <c r="K1306" s="5" t="str">
        <f t="shared" si="20"/>
        <v>Low</v>
      </c>
      <c r="L1306" s="5" t="str">
        <f>TEXT(Table1[[#This Row],[Order_Date]],"MMM")</f>
        <v>Jun</v>
      </c>
      <c r="M1306" s="5" t="str">
        <f>IF(Table1[[#This Row],[Profit]]&gt;=1000,"Excellent",IF(Table1[[#This Row],[Profit]]&gt;=500,"Good", IF(Table1[[#This Row],[Profit]]&lt;500,"Low")))</f>
        <v>Low</v>
      </c>
      <c r="N1306" s="7" t="str">
        <f>TEXT(Table1[[#This Row],[Order_Date]],"YYY")</f>
        <v>2025</v>
      </c>
    </row>
    <row r="1307" spans="1:14" x14ac:dyDescent="0.3">
      <c r="A1307" s="4">
        <v>45826</v>
      </c>
      <c r="B1307" s="5" t="s">
        <v>18</v>
      </c>
      <c r="C1307" s="5" t="s">
        <v>14</v>
      </c>
      <c r="D1307" s="23">
        <v>373.49</v>
      </c>
      <c r="E1307" s="23">
        <v>194.16</v>
      </c>
      <c r="F1307" s="23">
        <v>179.33</v>
      </c>
      <c r="G1307" s="5" t="s">
        <v>9</v>
      </c>
      <c r="H1307" s="5" t="s">
        <v>33</v>
      </c>
      <c r="I1307" s="5" t="s">
        <v>11</v>
      </c>
      <c r="J1307" s="6">
        <f>Table1[[#This Row],[Profit]]/Table1[[#This Row],[Sales]]</f>
        <v>0.48014672414254733</v>
      </c>
      <c r="K1307" s="5" t="str">
        <f t="shared" si="20"/>
        <v>Low</v>
      </c>
      <c r="L1307" s="5" t="str">
        <f>TEXT(Table1[[#This Row],[Order_Date]],"MMM")</f>
        <v>Jun</v>
      </c>
      <c r="M1307" s="5" t="str">
        <f>IF(Table1[[#This Row],[Profit]]&gt;=1000,"Excellent",IF(Table1[[#This Row],[Profit]]&gt;=500,"Good", IF(Table1[[#This Row],[Profit]]&lt;500,"Low")))</f>
        <v>Low</v>
      </c>
      <c r="N1307" s="7" t="str">
        <f>TEXT(Table1[[#This Row],[Order_Date]],"YYY")</f>
        <v>2025</v>
      </c>
    </row>
    <row r="1308" spans="1:14" x14ac:dyDescent="0.3">
      <c r="A1308" s="4">
        <v>45826</v>
      </c>
      <c r="B1308" s="5" t="s">
        <v>0</v>
      </c>
      <c r="C1308" s="5" t="s">
        <v>31</v>
      </c>
      <c r="D1308" s="23">
        <v>291.81</v>
      </c>
      <c r="E1308" s="23">
        <v>83.06</v>
      </c>
      <c r="F1308" s="23">
        <v>208.75</v>
      </c>
      <c r="G1308" s="5" t="s">
        <v>32</v>
      </c>
      <c r="H1308" s="5" t="s">
        <v>15</v>
      </c>
      <c r="I1308" s="5" t="s">
        <v>27</v>
      </c>
      <c r="J1308" s="6">
        <f>Table1[[#This Row],[Profit]]/Table1[[#This Row],[Sales]]</f>
        <v>0.71536273602686684</v>
      </c>
      <c r="K1308" s="5" t="str">
        <f t="shared" si="20"/>
        <v>Low</v>
      </c>
      <c r="L1308" s="5" t="str">
        <f>TEXT(Table1[[#This Row],[Order_Date]],"MMM")</f>
        <v>Jun</v>
      </c>
      <c r="M1308" s="5" t="str">
        <f>IF(Table1[[#This Row],[Profit]]&gt;=1000,"Excellent",IF(Table1[[#This Row],[Profit]]&gt;=500,"Good", IF(Table1[[#This Row],[Profit]]&lt;500,"Low")))</f>
        <v>Low</v>
      </c>
      <c r="N1308" s="7" t="str">
        <f>TEXT(Table1[[#This Row],[Order_Date]],"YYY")</f>
        <v>2025</v>
      </c>
    </row>
    <row r="1309" spans="1:14" x14ac:dyDescent="0.3">
      <c r="A1309" s="4">
        <v>45826</v>
      </c>
      <c r="B1309" s="5" t="s">
        <v>8</v>
      </c>
      <c r="C1309" s="5" t="s">
        <v>19</v>
      </c>
      <c r="D1309" s="23">
        <v>114.4</v>
      </c>
      <c r="E1309" s="23">
        <v>42.63</v>
      </c>
      <c r="F1309" s="23">
        <v>71.77</v>
      </c>
      <c r="G1309" s="5" t="s">
        <v>6</v>
      </c>
      <c r="H1309" s="5" t="s">
        <v>36</v>
      </c>
      <c r="I1309" s="5" t="s">
        <v>4</v>
      </c>
      <c r="J1309" s="6">
        <f>Table1[[#This Row],[Profit]]/Table1[[#This Row],[Sales]]</f>
        <v>0.62736013986013983</v>
      </c>
      <c r="K1309" s="5" t="str">
        <f t="shared" si="20"/>
        <v>Low</v>
      </c>
      <c r="L1309" s="5" t="str">
        <f>TEXT(Table1[[#This Row],[Order_Date]],"MMM")</f>
        <v>Jun</v>
      </c>
      <c r="M1309" s="5" t="str">
        <f>IF(Table1[[#This Row],[Profit]]&gt;=1000,"Excellent",IF(Table1[[#This Row],[Profit]]&gt;=500,"Good", IF(Table1[[#This Row],[Profit]]&lt;500,"Low")))</f>
        <v>Low</v>
      </c>
      <c r="N1309" s="7" t="str">
        <f>TEXT(Table1[[#This Row],[Order_Date]],"YYY")</f>
        <v>2025</v>
      </c>
    </row>
    <row r="1310" spans="1:14" x14ac:dyDescent="0.3">
      <c r="A1310" s="4">
        <v>45827</v>
      </c>
      <c r="B1310" s="5" t="s">
        <v>16</v>
      </c>
      <c r="C1310" s="5" t="s">
        <v>1</v>
      </c>
      <c r="D1310" s="23">
        <v>758.5</v>
      </c>
      <c r="E1310" s="23">
        <v>400.4</v>
      </c>
      <c r="F1310" s="23">
        <v>358.1</v>
      </c>
      <c r="G1310" s="5" t="s">
        <v>32</v>
      </c>
      <c r="H1310" s="5" t="s">
        <v>7</v>
      </c>
      <c r="I1310" s="5" t="s">
        <v>17</v>
      </c>
      <c r="J1310" s="6">
        <f>Table1[[#This Row],[Profit]]/Table1[[#This Row],[Sales]]</f>
        <v>0.47211601845748191</v>
      </c>
      <c r="K1310" s="5" t="str">
        <f t="shared" si="20"/>
        <v>Low</v>
      </c>
      <c r="L1310" s="5" t="str">
        <f>TEXT(Table1[[#This Row],[Order_Date]],"MMM")</f>
        <v>Jun</v>
      </c>
      <c r="M1310" s="5" t="str">
        <f>IF(Table1[[#This Row],[Profit]]&gt;=1000,"Excellent",IF(Table1[[#This Row],[Profit]]&gt;=500,"Good", IF(Table1[[#This Row],[Profit]]&lt;500,"Low")))</f>
        <v>Low</v>
      </c>
      <c r="N1310" s="7" t="str">
        <f>TEXT(Table1[[#This Row],[Order_Date]],"YYY")</f>
        <v>2025</v>
      </c>
    </row>
    <row r="1311" spans="1:14" x14ac:dyDescent="0.3">
      <c r="A1311" s="4">
        <v>45827</v>
      </c>
      <c r="B1311" s="5" t="s">
        <v>8</v>
      </c>
      <c r="C1311" s="5" t="s">
        <v>5</v>
      </c>
      <c r="D1311" s="23">
        <v>2298.96</v>
      </c>
      <c r="E1311" s="23">
        <v>845.22</v>
      </c>
      <c r="F1311" s="23">
        <v>1453.74</v>
      </c>
      <c r="G1311" s="5" t="s">
        <v>6</v>
      </c>
      <c r="H1311" s="5" t="s">
        <v>36</v>
      </c>
      <c r="I1311" s="5" t="s">
        <v>11</v>
      </c>
      <c r="J1311" s="6">
        <f>Table1[[#This Row],[Profit]]/Table1[[#This Row],[Sales]]</f>
        <v>0.63234680029230605</v>
      </c>
      <c r="K1311" s="5" t="str">
        <f t="shared" si="20"/>
        <v>High</v>
      </c>
      <c r="L1311" s="5" t="str">
        <f>TEXT(Table1[[#This Row],[Order_Date]],"MMM")</f>
        <v>Jun</v>
      </c>
      <c r="M1311" s="5" t="str">
        <f>IF(Table1[[#This Row],[Profit]]&gt;=1000,"Excellent",IF(Table1[[#This Row],[Profit]]&gt;=500,"Good", IF(Table1[[#This Row],[Profit]]&lt;500,"Low")))</f>
        <v>Excellent</v>
      </c>
      <c r="N1311" s="7" t="str">
        <f>TEXT(Table1[[#This Row],[Order_Date]],"YYY")</f>
        <v>2025</v>
      </c>
    </row>
    <row r="1312" spans="1:14" x14ac:dyDescent="0.3">
      <c r="A1312" s="4">
        <v>45828</v>
      </c>
      <c r="B1312" s="5" t="s">
        <v>16</v>
      </c>
      <c r="C1312" s="5" t="s">
        <v>23</v>
      </c>
      <c r="D1312" s="23">
        <v>657.85</v>
      </c>
      <c r="E1312" s="23">
        <v>287.27</v>
      </c>
      <c r="F1312" s="23">
        <v>370.58</v>
      </c>
      <c r="G1312" s="5" t="s">
        <v>20</v>
      </c>
      <c r="H1312" s="5" t="s">
        <v>7</v>
      </c>
      <c r="I1312" s="5" t="s">
        <v>4</v>
      </c>
      <c r="J1312" s="6">
        <f>Table1[[#This Row],[Profit]]/Table1[[#This Row],[Sales]]</f>
        <v>0.56331990575359125</v>
      </c>
      <c r="K1312" s="5" t="str">
        <f t="shared" si="20"/>
        <v>Low</v>
      </c>
      <c r="L1312" s="5" t="str">
        <f>TEXT(Table1[[#This Row],[Order_Date]],"MMM")</f>
        <v>Jun</v>
      </c>
      <c r="M1312" s="5" t="str">
        <f>IF(Table1[[#This Row],[Profit]]&gt;=1000,"Excellent",IF(Table1[[#This Row],[Profit]]&gt;=500,"Good", IF(Table1[[#This Row],[Profit]]&lt;500,"Low")))</f>
        <v>Low</v>
      </c>
      <c r="N1312" s="7" t="str">
        <f>TEXT(Table1[[#This Row],[Order_Date]],"YYY")</f>
        <v>2025</v>
      </c>
    </row>
    <row r="1313" spans="1:14" x14ac:dyDescent="0.3">
      <c r="A1313" s="4">
        <v>45828</v>
      </c>
      <c r="B1313" s="5" t="s">
        <v>16</v>
      </c>
      <c r="C1313" s="5" t="s">
        <v>26</v>
      </c>
      <c r="D1313" s="23">
        <v>953.45</v>
      </c>
      <c r="E1313" s="23">
        <v>309.83999999999997</v>
      </c>
      <c r="F1313" s="23">
        <v>643.61</v>
      </c>
      <c r="G1313" s="5" t="s">
        <v>2</v>
      </c>
      <c r="H1313" s="5" t="s">
        <v>30</v>
      </c>
      <c r="I1313" s="5" t="s">
        <v>17</v>
      </c>
      <c r="J1313" s="6">
        <f>Table1[[#This Row],[Profit]]/Table1[[#This Row],[Sales]]</f>
        <v>0.67503277570926634</v>
      </c>
      <c r="K1313" s="5" t="str">
        <f t="shared" si="20"/>
        <v>Low</v>
      </c>
      <c r="L1313" s="5" t="str">
        <f>TEXT(Table1[[#This Row],[Order_Date]],"MMM")</f>
        <v>Jun</v>
      </c>
      <c r="M1313" s="5" t="str">
        <f>IF(Table1[[#This Row],[Profit]]&gt;=1000,"Excellent",IF(Table1[[#This Row],[Profit]]&gt;=500,"Good", IF(Table1[[#This Row],[Profit]]&lt;500,"Low")))</f>
        <v>Good</v>
      </c>
      <c r="N1313" s="7" t="str">
        <f>TEXT(Table1[[#This Row],[Order_Date]],"YYY")</f>
        <v>2025</v>
      </c>
    </row>
    <row r="1314" spans="1:14" x14ac:dyDescent="0.3">
      <c r="A1314" s="4">
        <v>45828</v>
      </c>
      <c r="B1314" s="5" t="s">
        <v>8</v>
      </c>
      <c r="C1314" s="5" t="s">
        <v>23</v>
      </c>
      <c r="D1314" s="23">
        <v>68.87</v>
      </c>
      <c r="E1314" s="23">
        <v>27.14</v>
      </c>
      <c r="F1314" s="23">
        <v>41.73</v>
      </c>
      <c r="G1314" s="5" t="s">
        <v>6</v>
      </c>
      <c r="H1314" s="5" t="s">
        <v>3</v>
      </c>
      <c r="I1314" s="5" t="s">
        <v>17</v>
      </c>
      <c r="J1314" s="6">
        <f>Table1[[#This Row],[Profit]]/Table1[[#This Row],[Sales]]</f>
        <v>0.60592420502395805</v>
      </c>
      <c r="K1314" s="5" t="str">
        <f t="shared" si="20"/>
        <v>Low</v>
      </c>
      <c r="L1314" s="5" t="str">
        <f>TEXT(Table1[[#This Row],[Order_Date]],"MMM")</f>
        <v>Jun</v>
      </c>
      <c r="M1314" s="5" t="str">
        <f>IF(Table1[[#This Row],[Profit]]&gt;=1000,"Excellent",IF(Table1[[#This Row],[Profit]]&gt;=500,"Good", IF(Table1[[#This Row],[Profit]]&lt;500,"Low")))</f>
        <v>Low</v>
      </c>
      <c r="N1314" s="7" t="str">
        <f>TEXT(Table1[[#This Row],[Order_Date]],"YYY")</f>
        <v>2025</v>
      </c>
    </row>
    <row r="1315" spans="1:14" x14ac:dyDescent="0.3">
      <c r="A1315" s="4">
        <v>45828</v>
      </c>
      <c r="B1315" s="5" t="s">
        <v>16</v>
      </c>
      <c r="C1315" s="5" t="s">
        <v>23</v>
      </c>
      <c r="D1315" s="23">
        <v>275.33999999999997</v>
      </c>
      <c r="E1315" s="23">
        <v>121.25</v>
      </c>
      <c r="F1315" s="23">
        <v>154.09</v>
      </c>
      <c r="G1315" s="5" t="s">
        <v>32</v>
      </c>
      <c r="H1315" s="5" t="s">
        <v>10</v>
      </c>
      <c r="I1315" s="5" t="s">
        <v>25</v>
      </c>
      <c r="J1315" s="6">
        <f>Table1[[#This Row],[Profit]]/Table1[[#This Row],[Sales]]</f>
        <v>0.5596353599186461</v>
      </c>
      <c r="K1315" s="5" t="str">
        <f t="shared" si="20"/>
        <v>Low</v>
      </c>
      <c r="L1315" s="5" t="str">
        <f>TEXT(Table1[[#This Row],[Order_Date]],"MMM")</f>
        <v>Jun</v>
      </c>
      <c r="M1315" s="5" t="str">
        <f>IF(Table1[[#This Row],[Profit]]&gt;=1000,"Excellent",IF(Table1[[#This Row],[Profit]]&gt;=500,"Good", IF(Table1[[#This Row],[Profit]]&lt;500,"Low")))</f>
        <v>Low</v>
      </c>
      <c r="N1315" s="7" t="str">
        <f>TEXT(Table1[[#This Row],[Order_Date]],"YYY")</f>
        <v>2025</v>
      </c>
    </row>
    <row r="1316" spans="1:14" x14ac:dyDescent="0.3">
      <c r="A1316" s="4">
        <v>45831</v>
      </c>
      <c r="B1316" s="5" t="s">
        <v>18</v>
      </c>
      <c r="C1316" s="5" t="s">
        <v>14</v>
      </c>
      <c r="D1316" s="23">
        <v>135.30000000000001</v>
      </c>
      <c r="E1316" s="23">
        <v>45.67</v>
      </c>
      <c r="F1316" s="23">
        <v>89.63</v>
      </c>
      <c r="G1316" s="5" t="s">
        <v>9</v>
      </c>
      <c r="H1316" s="5" t="s">
        <v>24</v>
      </c>
      <c r="I1316" s="5" t="s">
        <v>25</v>
      </c>
      <c r="J1316" s="6">
        <f>Table1[[#This Row],[Profit]]/Table1[[#This Row],[Sales]]</f>
        <v>0.66245380635624529</v>
      </c>
      <c r="K1316" s="5" t="str">
        <f t="shared" si="20"/>
        <v>Low</v>
      </c>
      <c r="L1316" s="5" t="str">
        <f>TEXT(Table1[[#This Row],[Order_Date]],"MMM")</f>
        <v>Jun</v>
      </c>
      <c r="M1316" s="5" t="str">
        <f>IF(Table1[[#This Row],[Profit]]&gt;=1000,"Excellent",IF(Table1[[#This Row],[Profit]]&gt;=500,"Good", IF(Table1[[#This Row],[Profit]]&lt;500,"Low")))</f>
        <v>Low</v>
      </c>
      <c r="N1316" s="7" t="str">
        <f>TEXT(Table1[[#This Row],[Order_Date]],"YYY")</f>
        <v>2025</v>
      </c>
    </row>
    <row r="1317" spans="1:14" x14ac:dyDescent="0.3">
      <c r="A1317" s="4">
        <v>45835</v>
      </c>
      <c r="B1317" s="5" t="s">
        <v>0</v>
      </c>
      <c r="C1317" s="5" t="s">
        <v>31</v>
      </c>
      <c r="D1317" s="23">
        <v>218.89</v>
      </c>
      <c r="E1317" s="23">
        <v>66.180000000000007</v>
      </c>
      <c r="F1317" s="23">
        <v>152.71</v>
      </c>
      <c r="G1317" s="5" t="s">
        <v>20</v>
      </c>
      <c r="H1317" s="5" t="s">
        <v>7</v>
      </c>
      <c r="I1317" s="5" t="s">
        <v>25</v>
      </c>
      <c r="J1317" s="6">
        <f>Table1[[#This Row],[Profit]]/Table1[[#This Row],[Sales]]</f>
        <v>0.6976563570743296</v>
      </c>
      <c r="K1317" s="5" t="str">
        <f t="shared" si="20"/>
        <v>Low</v>
      </c>
      <c r="L1317" s="5" t="str">
        <f>TEXT(Table1[[#This Row],[Order_Date]],"MMM")</f>
        <v>Jun</v>
      </c>
      <c r="M1317" s="5" t="str">
        <f>IF(Table1[[#This Row],[Profit]]&gt;=1000,"Excellent",IF(Table1[[#This Row],[Profit]]&gt;=500,"Good", IF(Table1[[#This Row],[Profit]]&lt;500,"Low")))</f>
        <v>Low</v>
      </c>
      <c r="N1317" s="7" t="str">
        <f>TEXT(Table1[[#This Row],[Order_Date]],"YYY")</f>
        <v>2025</v>
      </c>
    </row>
    <row r="1318" spans="1:14" x14ac:dyDescent="0.3">
      <c r="A1318" s="4">
        <v>45835</v>
      </c>
      <c r="B1318" s="5" t="s">
        <v>0</v>
      </c>
      <c r="C1318" s="5" t="s">
        <v>23</v>
      </c>
      <c r="D1318" s="23">
        <v>465.55</v>
      </c>
      <c r="E1318" s="23">
        <v>158.16</v>
      </c>
      <c r="F1318" s="23">
        <v>307.39</v>
      </c>
      <c r="G1318" s="5" t="s">
        <v>9</v>
      </c>
      <c r="H1318" s="5" t="s">
        <v>28</v>
      </c>
      <c r="I1318" s="5" t="s">
        <v>4</v>
      </c>
      <c r="J1318" s="6">
        <f>Table1[[#This Row],[Profit]]/Table1[[#This Row],[Sales]]</f>
        <v>0.66027279561808605</v>
      </c>
      <c r="K1318" s="5" t="str">
        <f t="shared" si="20"/>
        <v>Low</v>
      </c>
      <c r="L1318" s="5" t="str">
        <f>TEXT(Table1[[#This Row],[Order_Date]],"MMM")</f>
        <v>Jun</v>
      </c>
      <c r="M1318" s="5" t="str">
        <f>IF(Table1[[#This Row],[Profit]]&gt;=1000,"Excellent",IF(Table1[[#This Row],[Profit]]&gt;=500,"Good", IF(Table1[[#This Row],[Profit]]&lt;500,"Low")))</f>
        <v>Low</v>
      </c>
      <c r="N1318" s="7" t="str">
        <f>TEXT(Table1[[#This Row],[Order_Date]],"YYY")</f>
        <v>2025</v>
      </c>
    </row>
    <row r="1319" spans="1:14" x14ac:dyDescent="0.3">
      <c r="A1319" s="4">
        <v>45835</v>
      </c>
      <c r="B1319" s="5" t="s">
        <v>8</v>
      </c>
      <c r="C1319" s="5" t="s">
        <v>26</v>
      </c>
      <c r="D1319" s="23">
        <v>414.01</v>
      </c>
      <c r="E1319" s="23">
        <v>157.31</v>
      </c>
      <c r="F1319" s="23">
        <v>256.7</v>
      </c>
      <c r="G1319" s="5" t="s">
        <v>6</v>
      </c>
      <c r="H1319" s="5" t="s">
        <v>36</v>
      </c>
      <c r="I1319" s="5" t="s">
        <v>4</v>
      </c>
      <c r="J1319" s="6">
        <f>Table1[[#This Row],[Profit]]/Table1[[#This Row],[Sales]]</f>
        <v>0.62003333252819981</v>
      </c>
      <c r="K1319" s="5" t="str">
        <f t="shared" si="20"/>
        <v>Low</v>
      </c>
      <c r="L1319" s="5" t="str">
        <f>TEXT(Table1[[#This Row],[Order_Date]],"MMM")</f>
        <v>Jun</v>
      </c>
      <c r="M1319" s="5" t="str">
        <f>IF(Table1[[#This Row],[Profit]]&gt;=1000,"Excellent",IF(Table1[[#This Row],[Profit]]&gt;=500,"Good", IF(Table1[[#This Row],[Profit]]&lt;500,"Low")))</f>
        <v>Low</v>
      </c>
      <c r="N1319" s="7" t="str">
        <f>TEXT(Table1[[#This Row],[Order_Date]],"YYY")</f>
        <v>2025</v>
      </c>
    </row>
    <row r="1320" spans="1:14" x14ac:dyDescent="0.3">
      <c r="A1320" s="4">
        <v>45836</v>
      </c>
      <c r="B1320" s="5" t="s">
        <v>0</v>
      </c>
      <c r="C1320" s="5" t="s">
        <v>19</v>
      </c>
      <c r="D1320" s="23">
        <v>65.400000000000006</v>
      </c>
      <c r="E1320" s="23">
        <v>19.440000000000001</v>
      </c>
      <c r="F1320" s="23">
        <v>45.96</v>
      </c>
      <c r="G1320" s="5" t="s">
        <v>32</v>
      </c>
      <c r="H1320" s="5" t="s">
        <v>28</v>
      </c>
      <c r="I1320" s="5" t="s">
        <v>27</v>
      </c>
      <c r="J1320" s="6">
        <f>Table1[[#This Row],[Profit]]/Table1[[#This Row],[Sales]]</f>
        <v>0.70275229357798163</v>
      </c>
      <c r="K1320" s="5" t="str">
        <f t="shared" si="20"/>
        <v>Low</v>
      </c>
      <c r="L1320" s="5" t="str">
        <f>TEXT(Table1[[#This Row],[Order_Date]],"MMM")</f>
        <v>Jun</v>
      </c>
      <c r="M1320" s="5" t="str">
        <f>IF(Table1[[#This Row],[Profit]]&gt;=1000,"Excellent",IF(Table1[[#This Row],[Profit]]&gt;=500,"Good", IF(Table1[[#This Row],[Profit]]&lt;500,"Low")))</f>
        <v>Low</v>
      </c>
      <c r="N1320" s="7" t="str">
        <f>TEXT(Table1[[#This Row],[Order_Date]],"YYY")</f>
        <v>2025</v>
      </c>
    </row>
    <row r="1321" spans="1:14" x14ac:dyDescent="0.3">
      <c r="A1321" s="4">
        <v>45836</v>
      </c>
      <c r="B1321" s="5" t="s">
        <v>13</v>
      </c>
      <c r="C1321" s="5" t="s">
        <v>5</v>
      </c>
      <c r="D1321" s="23">
        <v>247.42</v>
      </c>
      <c r="E1321" s="23">
        <v>94.49</v>
      </c>
      <c r="F1321" s="23">
        <v>152.93</v>
      </c>
      <c r="G1321" s="5" t="s">
        <v>9</v>
      </c>
      <c r="H1321" s="5" t="s">
        <v>35</v>
      </c>
      <c r="I1321" s="5" t="s">
        <v>27</v>
      </c>
      <c r="J1321" s="6">
        <f>Table1[[#This Row],[Profit]]/Table1[[#This Row],[Sales]]</f>
        <v>0.6180987794034436</v>
      </c>
      <c r="K1321" s="5" t="str">
        <f t="shared" si="20"/>
        <v>Low</v>
      </c>
      <c r="L1321" s="5" t="str">
        <f>TEXT(Table1[[#This Row],[Order_Date]],"MMM")</f>
        <v>Jun</v>
      </c>
      <c r="M1321" s="5" t="str">
        <f>IF(Table1[[#This Row],[Profit]]&gt;=1000,"Excellent",IF(Table1[[#This Row],[Profit]]&gt;=500,"Good", IF(Table1[[#This Row],[Profit]]&lt;500,"Low")))</f>
        <v>Low</v>
      </c>
      <c r="N1321" s="7" t="str">
        <f>TEXT(Table1[[#This Row],[Order_Date]],"YYY")</f>
        <v>2025</v>
      </c>
    </row>
    <row r="1322" spans="1:14" x14ac:dyDescent="0.3">
      <c r="A1322" s="4">
        <v>45836</v>
      </c>
      <c r="B1322" s="5" t="s">
        <v>18</v>
      </c>
      <c r="C1322" s="5" t="s">
        <v>23</v>
      </c>
      <c r="D1322" s="23">
        <v>553.14</v>
      </c>
      <c r="E1322" s="23">
        <v>229.51</v>
      </c>
      <c r="F1322" s="23">
        <v>323.63</v>
      </c>
      <c r="G1322" s="5" t="s">
        <v>32</v>
      </c>
      <c r="H1322" s="5" t="s">
        <v>30</v>
      </c>
      <c r="I1322" s="5" t="s">
        <v>17</v>
      </c>
      <c r="J1322" s="6">
        <f>Table1[[#This Row],[Profit]]/Table1[[#This Row],[Sales]]</f>
        <v>0.58507791879090287</v>
      </c>
      <c r="K1322" s="5" t="str">
        <f t="shared" si="20"/>
        <v>Low</v>
      </c>
      <c r="L1322" s="5" t="str">
        <f>TEXT(Table1[[#This Row],[Order_Date]],"MMM")</f>
        <v>Jun</v>
      </c>
      <c r="M1322" s="5" t="str">
        <f>IF(Table1[[#This Row],[Profit]]&gt;=1000,"Excellent",IF(Table1[[#This Row],[Profit]]&gt;=500,"Good", IF(Table1[[#This Row],[Profit]]&lt;500,"Low")))</f>
        <v>Low</v>
      </c>
      <c r="N1322" s="7" t="str">
        <f>TEXT(Table1[[#This Row],[Order_Date]],"YYY")</f>
        <v>2025</v>
      </c>
    </row>
    <row r="1323" spans="1:14" x14ac:dyDescent="0.3">
      <c r="A1323" s="4">
        <v>45836</v>
      </c>
      <c r="B1323" s="5" t="s">
        <v>13</v>
      </c>
      <c r="C1323" s="5" t="s">
        <v>14</v>
      </c>
      <c r="D1323" s="23">
        <v>181.06</v>
      </c>
      <c r="E1323" s="23">
        <v>68.2</v>
      </c>
      <c r="F1323" s="23">
        <v>112.86</v>
      </c>
      <c r="G1323" s="5" t="s">
        <v>2</v>
      </c>
      <c r="H1323" s="5" t="s">
        <v>3</v>
      </c>
      <c r="I1323" s="5" t="s">
        <v>11</v>
      </c>
      <c r="J1323" s="6">
        <f>Table1[[#This Row],[Profit]]/Table1[[#This Row],[Sales]]</f>
        <v>0.62332928311057112</v>
      </c>
      <c r="K1323" s="5" t="str">
        <f t="shared" si="20"/>
        <v>Low</v>
      </c>
      <c r="L1323" s="5" t="str">
        <f>TEXT(Table1[[#This Row],[Order_Date]],"MMM")</f>
        <v>Jun</v>
      </c>
      <c r="M1323" s="5" t="str">
        <f>IF(Table1[[#This Row],[Profit]]&gt;=1000,"Excellent",IF(Table1[[#This Row],[Profit]]&gt;=500,"Good", IF(Table1[[#This Row],[Profit]]&lt;500,"Low")))</f>
        <v>Low</v>
      </c>
      <c r="N1323" s="7" t="str">
        <f>TEXT(Table1[[#This Row],[Order_Date]],"YYY")</f>
        <v>2025</v>
      </c>
    </row>
    <row r="1324" spans="1:14" x14ac:dyDescent="0.3">
      <c r="A1324" s="4">
        <v>45837</v>
      </c>
      <c r="B1324" s="5" t="s">
        <v>18</v>
      </c>
      <c r="C1324" s="5" t="s">
        <v>14</v>
      </c>
      <c r="D1324" s="23">
        <v>242.71</v>
      </c>
      <c r="E1324" s="23">
        <v>102.08</v>
      </c>
      <c r="F1324" s="23">
        <v>140.63</v>
      </c>
      <c r="G1324" s="5" t="s">
        <v>32</v>
      </c>
      <c r="H1324" s="5" t="s">
        <v>10</v>
      </c>
      <c r="I1324" s="5" t="s">
        <v>25</v>
      </c>
      <c r="J1324" s="6">
        <f>Table1[[#This Row],[Profit]]/Table1[[#This Row],[Sales]]</f>
        <v>0.57941576366857561</v>
      </c>
      <c r="K1324" s="5" t="str">
        <f t="shared" si="20"/>
        <v>Low</v>
      </c>
      <c r="L1324" s="5" t="str">
        <f>TEXT(Table1[[#This Row],[Order_Date]],"MMM")</f>
        <v>Jun</v>
      </c>
      <c r="M1324" s="5" t="str">
        <f>IF(Table1[[#This Row],[Profit]]&gt;=1000,"Excellent",IF(Table1[[#This Row],[Profit]]&gt;=500,"Good", IF(Table1[[#This Row],[Profit]]&lt;500,"Low")))</f>
        <v>Low</v>
      </c>
      <c r="N1324" s="7" t="str">
        <f>TEXT(Table1[[#This Row],[Order_Date]],"YYY")</f>
        <v>2025</v>
      </c>
    </row>
    <row r="1325" spans="1:14" x14ac:dyDescent="0.3">
      <c r="A1325" s="4">
        <v>45838</v>
      </c>
      <c r="B1325" s="5" t="s">
        <v>16</v>
      </c>
      <c r="C1325" s="5" t="s">
        <v>19</v>
      </c>
      <c r="D1325" s="23">
        <v>118.09</v>
      </c>
      <c r="E1325" s="23">
        <v>37.85</v>
      </c>
      <c r="F1325" s="23">
        <v>80.239999999999995</v>
      </c>
      <c r="G1325" s="5" t="s">
        <v>20</v>
      </c>
      <c r="H1325" s="5" t="s">
        <v>28</v>
      </c>
      <c r="I1325" s="5" t="s">
        <v>25</v>
      </c>
      <c r="J1325" s="6">
        <f>Table1[[#This Row],[Profit]]/Table1[[#This Row],[Sales]]</f>
        <v>0.67948175120670673</v>
      </c>
      <c r="K1325" s="5" t="str">
        <f t="shared" si="20"/>
        <v>Low</v>
      </c>
      <c r="L1325" s="5" t="str">
        <f>TEXT(Table1[[#This Row],[Order_Date]],"MMM")</f>
        <v>Jun</v>
      </c>
      <c r="M1325" s="5" t="str">
        <f>IF(Table1[[#This Row],[Profit]]&gt;=1000,"Excellent",IF(Table1[[#This Row],[Profit]]&gt;=500,"Good", IF(Table1[[#This Row],[Profit]]&lt;500,"Low")))</f>
        <v>Low</v>
      </c>
      <c r="N1325" s="7" t="str">
        <f>TEXT(Table1[[#This Row],[Order_Date]],"YYY")</f>
        <v>2025</v>
      </c>
    </row>
    <row r="1326" spans="1:14" x14ac:dyDescent="0.3">
      <c r="A1326" s="4">
        <v>45839</v>
      </c>
      <c r="B1326" s="5" t="s">
        <v>13</v>
      </c>
      <c r="C1326" s="5" t="s">
        <v>19</v>
      </c>
      <c r="D1326" s="23">
        <v>75.209999999999994</v>
      </c>
      <c r="E1326" s="23">
        <v>17.28</v>
      </c>
      <c r="F1326" s="23">
        <v>57.93</v>
      </c>
      <c r="G1326" s="5" t="s">
        <v>6</v>
      </c>
      <c r="H1326" s="5" t="s">
        <v>28</v>
      </c>
      <c r="I1326" s="5" t="s">
        <v>27</v>
      </c>
      <c r="J1326" s="6">
        <f>Table1[[#This Row],[Profit]]/Table1[[#This Row],[Sales]]</f>
        <v>0.77024331870761875</v>
      </c>
      <c r="K1326" s="5" t="str">
        <f t="shared" si="20"/>
        <v>Low</v>
      </c>
      <c r="L1326" s="5" t="str">
        <f>TEXT(Table1[[#This Row],[Order_Date]],"MMM")</f>
        <v>Jul</v>
      </c>
      <c r="M1326" s="5" t="str">
        <f>IF(Table1[[#This Row],[Profit]]&gt;=1000,"Excellent",IF(Table1[[#This Row],[Profit]]&gt;=500,"Good", IF(Table1[[#This Row],[Profit]]&lt;500,"Low")))</f>
        <v>Low</v>
      </c>
      <c r="N1326" s="7" t="str">
        <f>TEXT(Table1[[#This Row],[Order_Date]],"YYY")</f>
        <v>2025</v>
      </c>
    </row>
    <row r="1327" spans="1:14" x14ac:dyDescent="0.3">
      <c r="A1327" s="4">
        <v>45839</v>
      </c>
      <c r="B1327" s="5" t="s">
        <v>8</v>
      </c>
      <c r="C1327" s="5" t="s">
        <v>26</v>
      </c>
      <c r="D1327" s="23">
        <v>944.39</v>
      </c>
      <c r="E1327" s="23">
        <v>247.18</v>
      </c>
      <c r="F1327" s="23">
        <v>697.21</v>
      </c>
      <c r="G1327" s="5" t="s">
        <v>2</v>
      </c>
      <c r="H1327" s="5" t="s">
        <v>12</v>
      </c>
      <c r="I1327" s="5" t="s">
        <v>4</v>
      </c>
      <c r="J1327" s="6">
        <f>Table1[[#This Row],[Profit]]/Table1[[#This Row],[Sales]]</f>
        <v>0.73826491174197106</v>
      </c>
      <c r="K1327" s="5" t="str">
        <f t="shared" si="20"/>
        <v>Low</v>
      </c>
      <c r="L1327" s="5" t="str">
        <f>TEXT(Table1[[#This Row],[Order_Date]],"MMM")</f>
        <v>Jul</v>
      </c>
      <c r="M1327" s="5" t="str">
        <f>IF(Table1[[#This Row],[Profit]]&gt;=1000,"Excellent",IF(Table1[[#This Row],[Profit]]&gt;=500,"Good", IF(Table1[[#This Row],[Profit]]&lt;500,"Low")))</f>
        <v>Good</v>
      </c>
      <c r="N1327" s="7" t="str">
        <f>TEXT(Table1[[#This Row],[Order_Date]],"YYY")</f>
        <v>2025</v>
      </c>
    </row>
    <row r="1328" spans="1:14" x14ac:dyDescent="0.3">
      <c r="A1328" s="4">
        <v>45841</v>
      </c>
      <c r="B1328" s="5" t="s">
        <v>0</v>
      </c>
      <c r="C1328" s="5" t="s">
        <v>1</v>
      </c>
      <c r="D1328" s="23">
        <v>437.12</v>
      </c>
      <c r="E1328" s="23">
        <v>203.63</v>
      </c>
      <c r="F1328" s="23">
        <v>233.49</v>
      </c>
      <c r="G1328" s="5" t="s">
        <v>32</v>
      </c>
      <c r="H1328" s="5" t="s">
        <v>3</v>
      </c>
      <c r="I1328" s="5" t="s">
        <v>11</v>
      </c>
      <c r="J1328" s="6">
        <f>Table1[[#This Row],[Profit]]/Table1[[#This Row],[Sales]]</f>
        <v>0.53415538067349932</v>
      </c>
      <c r="K1328" s="5" t="str">
        <f t="shared" si="20"/>
        <v>Low</v>
      </c>
      <c r="L1328" s="5" t="str">
        <f>TEXT(Table1[[#This Row],[Order_Date]],"MMM")</f>
        <v>Jul</v>
      </c>
      <c r="M1328" s="5" t="str">
        <f>IF(Table1[[#This Row],[Profit]]&gt;=1000,"Excellent",IF(Table1[[#This Row],[Profit]]&gt;=500,"Good", IF(Table1[[#This Row],[Profit]]&lt;500,"Low")))</f>
        <v>Low</v>
      </c>
      <c r="N1328" s="7" t="str">
        <f>TEXT(Table1[[#This Row],[Order_Date]],"YYY")</f>
        <v>2025</v>
      </c>
    </row>
    <row r="1329" spans="1:14" x14ac:dyDescent="0.3">
      <c r="A1329" s="4">
        <v>45841</v>
      </c>
      <c r="B1329" s="5" t="s">
        <v>13</v>
      </c>
      <c r="C1329" s="5" t="s">
        <v>19</v>
      </c>
      <c r="D1329" s="23">
        <v>16.86</v>
      </c>
      <c r="E1329" s="23">
        <v>5.63</v>
      </c>
      <c r="F1329" s="23">
        <v>11.23</v>
      </c>
      <c r="G1329" s="5" t="s">
        <v>32</v>
      </c>
      <c r="H1329" s="5" t="s">
        <v>33</v>
      </c>
      <c r="I1329" s="5" t="s">
        <v>11</v>
      </c>
      <c r="J1329" s="6">
        <f>Table1[[#This Row],[Profit]]/Table1[[#This Row],[Sales]]</f>
        <v>0.66607354685646503</v>
      </c>
      <c r="K1329" s="5" t="str">
        <f t="shared" si="20"/>
        <v>Low</v>
      </c>
      <c r="L1329" s="5" t="str">
        <f>TEXT(Table1[[#This Row],[Order_Date]],"MMM")</f>
        <v>Jul</v>
      </c>
      <c r="M1329" s="5" t="str">
        <f>IF(Table1[[#This Row],[Profit]]&gt;=1000,"Excellent",IF(Table1[[#This Row],[Profit]]&gt;=500,"Good", IF(Table1[[#This Row],[Profit]]&lt;500,"Low")))</f>
        <v>Low</v>
      </c>
      <c r="N1329" s="7" t="str">
        <f>TEXT(Table1[[#This Row],[Order_Date]],"YYY")</f>
        <v>2025</v>
      </c>
    </row>
    <row r="1330" spans="1:14" x14ac:dyDescent="0.3">
      <c r="A1330" s="4">
        <v>45841</v>
      </c>
      <c r="B1330" s="5" t="s">
        <v>8</v>
      </c>
      <c r="C1330" s="5" t="s">
        <v>31</v>
      </c>
      <c r="D1330" s="23">
        <v>264.51</v>
      </c>
      <c r="E1330" s="23">
        <v>55.84</v>
      </c>
      <c r="F1330" s="23">
        <v>208.67</v>
      </c>
      <c r="G1330" s="5" t="s">
        <v>32</v>
      </c>
      <c r="H1330" s="5" t="s">
        <v>35</v>
      </c>
      <c r="I1330" s="5" t="s">
        <v>17</v>
      </c>
      <c r="J1330" s="6">
        <f>Table1[[#This Row],[Profit]]/Table1[[#This Row],[Sales]]</f>
        <v>0.78889266946429248</v>
      </c>
      <c r="K1330" s="5" t="str">
        <f t="shared" si="20"/>
        <v>Low</v>
      </c>
      <c r="L1330" s="5" t="str">
        <f>TEXT(Table1[[#This Row],[Order_Date]],"MMM")</f>
        <v>Jul</v>
      </c>
      <c r="M1330" s="5" t="str">
        <f>IF(Table1[[#This Row],[Profit]]&gt;=1000,"Excellent",IF(Table1[[#This Row],[Profit]]&gt;=500,"Good", IF(Table1[[#This Row],[Profit]]&lt;500,"Low")))</f>
        <v>Low</v>
      </c>
      <c r="N1330" s="7" t="str">
        <f>TEXT(Table1[[#This Row],[Order_Date]],"YYY")</f>
        <v>2025</v>
      </c>
    </row>
    <row r="1331" spans="1:14" x14ac:dyDescent="0.3">
      <c r="A1331" s="4">
        <v>45842</v>
      </c>
      <c r="B1331" s="5" t="s">
        <v>16</v>
      </c>
      <c r="C1331" s="5" t="s">
        <v>14</v>
      </c>
      <c r="D1331" s="23">
        <v>184.1</v>
      </c>
      <c r="E1331" s="23">
        <v>69.97</v>
      </c>
      <c r="F1331" s="23">
        <v>114.13</v>
      </c>
      <c r="G1331" s="5" t="s">
        <v>2</v>
      </c>
      <c r="H1331" s="5" t="s">
        <v>30</v>
      </c>
      <c r="I1331" s="5" t="s">
        <v>4</v>
      </c>
      <c r="J1331" s="6">
        <f>Table1[[#This Row],[Profit]]/Table1[[#This Row],[Sales]]</f>
        <v>0.61993481803367734</v>
      </c>
      <c r="K1331" s="5" t="str">
        <f t="shared" si="20"/>
        <v>Low</v>
      </c>
      <c r="L1331" s="5" t="str">
        <f>TEXT(Table1[[#This Row],[Order_Date]],"MMM")</f>
        <v>Jul</v>
      </c>
      <c r="M1331" s="5" t="str">
        <f>IF(Table1[[#This Row],[Profit]]&gt;=1000,"Excellent",IF(Table1[[#This Row],[Profit]]&gt;=500,"Good", IF(Table1[[#This Row],[Profit]]&lt;500,"Low")))</f>
        <v>Low</v>
      </c>
      <c r="N1331" s="7" t="str">
        <f>TEXT(Table1[[#This Row],[Order_Date]],"YYY")</f>
        <v>2025</v>
      </c>
    </row>
    <row r="1332" spans="1:14" x14ac:dyDescent="0.3">
      <c r="A1332" s="4">
        <v>45842</v>
      </c>
      <c r="B1332" s="5" t="s">
        <v>0</v>
      </c>
      <c r="C1332" s="5" t="s">
        <v>1</v>
      </c>
      <c r="D1332" s="23">
        <v>1449.58</v>
      </c>
      <c r="E1332" s="23">
        <v>950.66</v>
      </c>
      <c r="F1332" s="23">
        <v>498.92</v>
      </c>
      <c r="G1332" s="5" t="s">
        <v>32</v>
      </c>
      <c r="H1332" s="5" t="s">
        <v>28</v>
      </c>
      <c r="I1332" s="5" t="s">
        <v>11</v>
      </c>
      <c r="J1332" s="6">
        <f>Table1[[#This Row],[Profit]]/Table1[[#This Row],[Sales]]</f>
        <v>0.34418245284841131</v>
      </c>
      <c r="K1332" s="5" t="str">
        <f t="shared" si="20"/>
        <v>Low</v>
      </c>
      <c r="L1332" s="5" t="str">
        <f>TEXT(Table1[[#This Row],[Order_Date]],"MMM")</f>
        <v>Jul</v>
      </c>
      <c r="M1332" s="5" t="str">
        <f>IF(Table1[[#This Row],[Profit]]&gt;=1000,"Excellent",IF(Table1[[#This Row],[Profit]]&gt;=500,"Good", IF(Table1[[#This Row],[Profit]]&lt;500,"Low")))</f>
        <v>Low</v>
      </c>
      <c r="N1332" s="7" t="str">
        <f>TEXT(Table1[[#This Row],[Order_Date]],"YYY")</f>
        <v>2025</v>
      </c>
    </row>
    <row r="1333" spans="1:14" x14ac:dyDescent="0.3">
      <c r="A1333" s="4">
        <v>45844</v>
      </c>
      <c r="B1333" s="5" t="s">
        <v>16</v>
      </c>
      <c r="C1333" s="5" t="s">
        <v>14</v>
      </c>
      <c r="D1333" s="23">
        <v>193.95</v>
      </c>
      <c r="E1333" s="23">
        <v>101.22</v>
      </c>
      <c r="F1333" s="23">
        <v>92.73</v>
      </c>
      <c r="G1333" s="5" t="s">
        <v>9</v>
      </c>
      <c r="H1333" s="5" t="s">
        <v>30</v>
      </c>
      <c r="I1333" s="5" t="s">
        <v>27</v>
      </c>
      <c r="J1333" s="6">
        <f>Table1[[#This Row],[Profit]]/Table1[[#This Row],[Sales]]</f>
        <v>0.4781129156999227</v>
      </c>
      <c r="K1333" s="5" t="str">
        <f t="shared" si="20"/>
        <v>Low</v>
      </c>
      <c r="L1333" s="5" t="str">
        <f>TEXT(Table1[[#This Row],[Order_Date]],"MMM")</f>
        <v>Jul</v>
      </c>
      <c r="M1333" s="5" t="str">
        <f>IF(Table1[[#This Row],[Profit]]&gt;=1000,"Excellent",IF(Table1[[#This Row],[Profit]]&gt;=500,"Good", IF(Table1[[#This Row],[Profit]]&lt;500,"Low")))</f>
        <v>Low</v>
      </c>
      <c r="N1333" s="7" t="str">
        <f>TEXT(Table1[[#This Row],[Order_Date]],"YYY")</f>
        <v>2025</v>
      </c>
    </row>
    <row r="1334" spans="1:14" x14ac:dyDescent="0.3">
      <c r="A1334" s="4">
        <v>45844</v>
      </c>
      <c r="B1334" s="5" t="s">
        <v>13</v>
      </c>
      <c r="C1334" s="5" t="s">
        <v>14</v>
      </c>
      <c r="D1334" s="23">
        <v>210.08</v>
      </c>
      <c r="E1334" s="23">
        <v>99.03</v>
      </c>
      <c r="F1334" s="23">
        <v>111.05</v>
      </c>
      <c r="G1334" s="5" t="s">
        <v>2</v>
      </c>
      <c r="H1334" s="5" t="s">
        <v>33</v>
      </c>
      <c r="I1334" s="5" t="s">
        <v>27</v>
      </c>
      <c r="J1334" s="6">
        <f>Table1[[#This Row],[Profit]]/Table1[[#This Row],[Sales]]</f>
        <v>0.52860814927646604</v>
      </c>
      <c r="K1334" s="5" t="str">
        <f t="shared" si="20"/>
        <v>Low</v>
      </c>
      <c r="L1334" s="5" t="str">
        <f>TEXT(Table1[[#This Row],[Order_Date]],"MMM")</f>
        <v>Jul</v>
      </c>
      <c r="M1334" s="5" t="str">
        <f>IF(Table1[[#This Row],[Profit]]&gt;=1000,"Excellent",IF(Table1[[#This Row],[Profit]]&gt;=500,"Good", IF(Table1[[#This Row],[Profit]]&lt;500,"Low")))</f>
        <v>Low</v>
      </c>
      <c r="N1334" s="7" t="str">
        <f>TEXT(Table1[[#This Row],[Order_Date]],"YYY")</f>
        <v>2025</v>
      </c>
    </row>
    <row r="1335" spans="1:14" x14ac:dyDescent="0.3">
      <c r="A1335" s="4">
        <v>45845</v>
      </c>
      <c r="B1335" s="5" t="s">
        <v>0</v>
      </c>
      <c r="C1335" s="5" t="s">
        <v>1</v>
      </c>
      <c r="D1335" s="23">
        <v>1000.44</v>
      </c>
      <c r="E1335" s="23">
        <v>675.29</v>
      </c>
      <c r="F1335" s="23">
        <v>325.14999999999998</v>
      </c>
      <c r="G1335" s="5" t="s">
        <v>20</v>
      </c>
      <c r="H1335" s="5" t="s">
        <v>30</v>
      </c>
      <c r="I1335" s="5" t="s">
        <v>22</v>
      </c>
      <c r="J1335" s="6">
        <f>Table1[[#This Row],[Profit]]/Table1[[#This Row],[Sales]]</f>
        <v>0.32500699692135454</v>
      </c>
      <c r="K1335" s="5" t="str">
        <f t="shared" si="20"/>
        <v>Low</v>
      </c>
      <c r="L1335" s="5" t="str">
        <f>TEXT(Table1[[#This Row],[Order_Date]],"MMM")</f>
        <v>Jul</v>
      </c>
      <c r="M1335" s="5" t="str">
        <f>IF(Table1[[#This Row],[Profit]]&gt;=1000,"Excellent",IF(Table1[[#This Row],[Profit]]&gt;=500,"Good", IF(Table1[[#This Row],[Profit]]&lt;500,"Low")))</f>
        <v>Low</v>
      </c>
      <c r="N1335" s="7" t="str">
        <f>TEXT(Table1[[#This Row],[Order_Date]],"YYY")</f>
        <v>2025</v>
      </c>
    </row>
    <row r="1336" spans="1:14" x14ac:dyDescent="0.3">
      <c r="A1336" s="4">
        <v>45845</v>
      </c>
      <c r="B1336" s="5" t="s">
        <v>0</v>
      </c>
      <c r="C1336" s="5" t="s">
        <v>31</v>
      </c>
      <c r="D1336" s="23">
        <v>250.11</v>
      </c>
      <c r="E1336" s="23">
        <v>55.3</v>
      </c>
      <c r="F1336" s="23">
        <v>194.81</v>
      </c>
      <c r="G1336" s="5" t="s">
        <v>32</v>
      </c>
      <c r="H1336" s="5" t="s">
        <v>36</v>
      </c>
      <c r="I1336" s="5" t="s">
        <v>25</v>
      </c>
      <c r="J1336" s="6">
        <f>Table1[[#This Row],[Profit]]/Table1[[#This Row],[Sales]]</f>
        <v>0.7788972851945144</v>
      </c>
      <c r="K1336" s="5" t="str">
        <f t="shared" si="20"/>
        <v>Low</v>
      </c>
      <c r="L1336" s="5" t="str">
        <f>TEXT(Table1[[#This Row],[Order_Date]],"MMM")</f>
        <v>Jul</v>
      </c>
      <c r="M1336" s="5" t="str">
        <f>IF(Table1[[#This Row],[Profit]]&gt;=1000,"Excellent",IF(Table1[[#This Row],[Profit]]&gt;=500,"Good", IF(Table1[[#This Row],[Profit]]&lt;500,"Low")))</f>
        <v>Low</v>
      </c>
      <c r="N1336" s="7" t="str">
        <f>TEXT(Table1[[#This Row],[Order_Date]],"YYY")</f>
        <v>2025</v>
      </c>
    </row>
    <row r="1337" spans="1:14" x14ac:dyDescent="0.3">
      <c r="A1337" s="4">
        <v>45846</v>
      </c>
      <c r="B1337" s="5" t="s">
        <v>0</v>
      </c>
      <c r="C1337" s="5" t="s">
        <v>26</v>
      </c>
      <c r="D1337" s="23">
        <v>1007.09</v>
      </c>
      <c r="E1337" s="23">
        <v>327.26</v>
      </c>
      <c r="F1337" s="23">
        <v>679.83</v>
      </c>
      <c r="G1337" s="5" t="s">
        <v>9</v>
      </c>
      <c r="H1337" s="5" t="s">
        <v>34</v>
      </c>
      <c r="I1337" s="5" t="s">
        <v>17</v>
      </c>
      <c r="J1337" s="6">
        <f>Table1[[#This Row],[Profit]]/Table1[[#This Row],[Sales]]</f>
        <v>0.6750439384762037</v>
      </c>
      <c r="K1337" s="5" t="str">
        <f t="shared" si="20"/>
        <v>Low</v>
      </c>
      <c r="L1337" s="5" t="str">
        <f>TEXT(Table1[[#This Row],[Order_Date]],"MMM")</f>
        <v>Jul</v>
      </c>
      <c r="M1337" s="5" t="str">
        <f>IF(Table1[[#This Row],[Profit]]&gt;=1000,"Excellent",IF(Table1[[#This Row],[Profit]]&gt;=500,"Good", IF(Table1[[#This Row],[Profit]]&lt;500,"Low")))</f>
        <v>Good</v>
      </c>
      <c r="N1337" s="7" t="str">
        <f>TEXT(Table1[[#This Row],[Order_Date]],"YYY")</f>
        <v>2025</v>
      </c>
    </row>
    <row r="1338" spans="1:14" x14ac:dyDescent="0.3">
      <c r="A1338" s="4">
        <v>45846</v>
      </c>
      <c r="B1338" s="5" t="s">
        <v>13</v>
      </c>
      <c r="C1338" s="5" t="s">
        <v>19</v>
      </c>
      <c r="D1338" s="23">
        <v>133.36000000000001</v>
      </c>
      <c r="E1338" s="23">
        <v>36.229999999999997</v>
      </c>
      <c r="F1338" s="23">
        <v>97.13</v>
      </c>
      <c r="G1338" s="5" t="s">
        <v>9</v>
      </c>
      <c r="H1338" s="5" t="s">
        <v>29</v>
      </c>
      <c r="I1338" s="5" t="s">
        <v>27</v>
      </c>
      <c r="J1338" s="6">
        <f>Table1[[#This Row],[Profit]]/Table1[[#This Row],[Sales]]</f>
        <v>0.72832933413317325</v>
      </c>
      <c r="K1338" s="5" t="str">
        <f t="shared" si="20"/>
        <v>Low</v>
      </c>
      <c r="L1338" s="5" t="str">
        <f>TEXT(Table1[[#This Row],[Order_Date]],"MMM")</f>
        <v>Jul</v>
      </c>
      <c r="M1338" s="5" t="str">
        <f>IF(Table1[[#This Row],[Profit]]&gt;=1000,"Excellent",IF(Table1[[#This Row],[Profit]]&gt;=500,"Good", IF(Table1[[#This Row],[Profit]]&lt;500,"Low")))</f>
        <v>Low</v>
      </c>
      <c r="N1338" s="7" t="str">
        <f>TEXT(Table1[[#This Row],[Order_Date]],"YYY")</f>
        <v>2025</v>
      </c>
    </row>
    <row r="1339" spans="1:14" x14ac:dyDescent="0.3">
      <c r="A1339" s="4">
        <v>45846</v>
      </c>
      <c r="B1339" s="5" t="s">
        <v>8</v>
      </c>
      <c r="C1339" s="5" t="s">
        <v>19</v>
      </c>
      <c r="D1339" s="23">
        <v>21.7</v>
      </c>
      <c r="E1339" s="23">
        <v>8.31</v>
      </c>
      <c r="F1339" s="23">
        <v>13.39</v>
      </c>
      <c r="G1339" s="5" t="s">
        <v>9</v>
      </c>
      <c r="H1339" s="5" t="s">
        <v>7</v>
      </c>
      <c r="I1339" s="5" t="s">
        <v>4</v>
      </c>
      <c r="J1339" s="6">
        <f>Table1[[#This Row],[Profit]]/Table1[[#This Row],[Sales]]</f>
        <v>0.61705069124423972</v>
      </c>
      <c r="K1339" s="5" t="str">
        <f t="shared" si="20"/>
        <v>Low</v>
      </c>
      <c r="L1339" s="5" t="str">
        <f>TEXT(Table1[[#This Row],[Order_Date]],"MMM")</f>
        <v>Jul</v>
      </c>
      <c r="M1339" s="5" t="str">
        <f>IF(Table1[[#This Row],[Profit]]&gt;=1000,"Excellent",IF(Table1[[#This Row],[Profit]]&gt;=500,"Good", IF(Table1[[#This Row],[Profit]]&lt;500,"Low")))</f>
        <v>Low</v>
      </c>
      <c r="N1339" s="7" t="str">
        <f>TEXT(Table1[[#This Row],[Order_Date]],"YYY")</f>
        <v>2025</v>
      </c>
    </row>
    <row r="1340" spans="1:14" x14ac:dyDescent="0.3">
      <c r="A1340" s="4">
        <v>45846</v>
      </c>
      <c r="B1340" s="5" t="s">
        <v>8</v>
      </c>
      <c r="C1340" s="5" t="s">
        <v>23</v>
      </c>
      <c r="D1340" s="23">
        <v>788.18</v>
      </c>
      <c r="E1340" s="23">
        <v>226.22</v>
      </c>
      <c r="F1340" s="23">
        <v>561.96</v>
      </c>
      <c r="G1340" s="5" t="s">
        <v>32</v>
      </c>
      <c r="H1340" s="5" t="s">
        <v>28</v>
      </c>
      <c r="I1340" s="5" t="s">
        <v>4</v>
      </c>
      <c r="J1340" s="6">
        <f>Table1[[#This Row],[Profit]]/Table1[[#This Row],[Sales]]</f>
        <v>0.71298434367784014</v>
      </c>
      <c r="K1340" s="5" t="str">
        <f t="shared" si="20"/>
        <v>Low</v>
      </c>
      <c r="L1340" s="5" t="str">
        <f>TEXT(Table1[[#This Row],[Order_Date]],"MMM")</f>
        <v>Jul</v>
      </c>
      <c r="M1340" s="5" t="str">
        <f>IF(Table1[[#This Row],[Profit]]&gt;=1000,"Excellent",IF(Table1[[#This Row],[Profit]]&gt;=500,"Good", IF(Table1[[#This Row],[Profit]]&lt;500,"Low")))</f>
        <v>Good</v>
      </c>
      <c r="N1340" s="7" t="str">
        <f>TEXT(Table1[[#This Row],[Order_Date]],"YYY")</f>
        <v>2025</v>
      </c>
    </row>
    <row r="1341" spans="1:14" x14ac:dyDescent="0.3">
      <c r="A1341" s="4">
        <v>45847</v>
      </c>
      <c r="B1341" s="5" t="s">
        <v>8</v>
      </c>
      <c r="C1341" s="5" t="s">
        <v>23</v>
      </c>
      <c r="D1341" s="23">
        <v>494.95</v>
      </c>
      <c r="E1341" s="23">
        <v>223.76</v>
      </c>
      <c r="F1341" s="23">
        <v>271.19</v>
      </c>
      <c r="G1341" s="5" t="s">
        <v>2</v>
      </c>
      <c r="H1341" s="5" t="s">
        <v>35</v>
      </c>
      <c r="I1341" s="5" t="s">
        <v>22</v>
      </c>
      <c r="J1341" s="6">
        <f>Table1[[#This Row],[Profit]]/Table1[[#This Row],[Sales]]</f>
        <v>0.54791393070007077</v>
      </c>
      <c r="K1341" s="5" t="str">
        <f t="shared" si="20"/>
        <v>Low</v>
      </c>
      <c r="L1341" s="5" t="str">
        <f>TEXT(Table1[[#This Row],[Order_Date]],"MMM")</f>
        <v>Jul</v>
      </c>
      <c r="M1341" s="5" t="str">
        <f>IF(Table1[[#This Row],[Profit]]&gt;=1000,"Excellent",IF(Table1[[#This Row],[Profit]]&gt;=500,"Good", IF(Table1[[#This Row],[Profit]]&lt;500,"Low")))</f>
        <v>Low</v>
      </c>
      <c r="N1341" s="7" t="str">
        <f>TEXT(Table1[[#This Row],[Order_Date]],"YYY")</f>
        <v>2025</v>
      </c>
    </row>
    <row r="1342" spans="1:14" x14ac:dyDescent="0.3">
      <c r="A1342" s="4">
        <v>45847</v>
      </c>
      <c r="B1342" s="5" t="s">
        <v>0</v>
      </c>
      <c r="C1342" s="5" t="s">
        <v>14</v>
      </c>
      <c r="D1342" s="23">
        <v>137.16</v>
      </c>
      <c r="E1342" s="23">
        <v>66.349999999999994</v>
      </c>
      <c r="F1342" s="23">
        <v>70.81</v>
      </c>
      <c r="G1342" s="5" t="s">
        <v>32</v>
      </c>
      <c r="H1342" s="5" t="s">
        <v>30</v>
      </c>
      <c r="I1342" s="5" t="s">
        <v>22</v>
      </c>
      <c r="J1342" s="6">
        <f>Table1[[#This Row],[Profit]]/Table1[[#This Row],[Sales]]</f>
        <v>0.51625838436862059</v>
      </c>
      <c r="K1342" s="5" t="str">
        <f t="shared" si="20"/>
        <v>Low</v>
      </c>
      <c r="L1342" s="5" t="str">
        <f>TEXT(Table1[[#This Row],[Order_Date]],"MMM")</f>
        <v>Jul</v>
      </c>
      <c r="M1342" s="5" t="str">
        <f>IF(Table1[[#This Row],[Profit]]&gt;=1000,"Excellent",IF(Table1[[#This Row],[Profit]]&gt;=500,"Good", IF(Table1[[#This Row],[Profit]]&lt;500,"Low")))</f>
        <v>Low</v>
      </c>
      <c r="N1342" s="7" t="str">
        <f>TEXT(Table1[[#This Row],[Order_Date]],"YYY")</f>
        <v>2025</v>
      </c>
    </row>
    <row r="1343" spans="1:14" x14ac:dyDescent="0.3">
      <c r="A1343" s="4">
        <v>45847</v>
      </c>
      <c r="B1343" s="5" t="s">
        <v>0</v>
      </c>
      <c r="C1343" s="5" t="s">
        <v>31</v>
      </c>
      <c r="D1343" s="23">
        <v>217.18</v>
      </c>
      <c r="E1343" s="23">
        <v>48.1</v>
      </c>
      <c r="F1343" s="23">
        <v>169.08</v>
      </c>
      <c r="G1343" s="5" t="s">
        <v>20</v>
      </c>
      <c r="H1343" s="5" t="s">
        <v>34</v>
      </c>
      <c r="I1343" s="5" t="s">
        <v>17</v>
      </c>
      <c r="J1343" s="6">
        <f>Table1[[#This Row],[Profit]]/Table1[[#This Row],[Sales]]</f>
        <v>0.77852472603370482</v>
      </c>
      <c r="K1343" s="5" t="str">
        <f t="shared" si="20"/>
        <v>Low</v>
      </c>
      <c r="L1343" s="5" t="str">
        <f>TEXT(Table1[[#This Row],[Order_Date]],"MMM")</f>
        <v>Jul</v>
      </c>
      <c r="M1343" s="5" t="str">
        <f>IF(Table1[[#This Row],[Profit]]&gt;=1000,"Excellent",IF(Table1[[#This Row],[Profit]]&gt;=500,"Good", IF(Table1[[#This Row],[Profit]]&lt;500,"Low")))</f>
        <v>Low</v>
      </c>
      <c r="N1343" s="7" t="str">
        <f>TEXT(Table1[[#This Row],[Order_Date]],"YYY")</f>
        <v>2025</v>
      </c>
    </row>
    <row r="1344" spans="1:14" x14ac:dyDescent="0.3">
      <c r="A1344" s="4">
        <v>45847</v>
      </c>
      <c r="B1344" s="5" t="s">
        <v>13</v>
      </c>
      <c r="C1344" s="5" t="s">
        <v>14</v>
      </c>
      <c r="D1344" s="23">
        <v>92.57</v>
      </c>
      <c r="E1344" s="23">
        <v>28.11</v>
      </c>
      <c r="F1344" s="23">
        <v>64.459999999999994</v>
      </c>
      <c r="G1344" s="5" t="s">
        <v>20</v>
      </c>
      <c r="H1344" s="5" t="s">
        <v>15</v>
      </c>
      <c r="I1344" s="5" t="s">
        <v>17</v>
      </c>
      <c r="J1344" s="6">
        <f>Table1[[#This Row],[Profit]]/Table1[[#This Row],[Sales]]</f>
        <v>0.69633790644917359</v>
      </c>
      <c r="K1344" s="5" t="str">
        <f t="shared" si="20"/>
        <v>Low</v>
      </c>
      <c r="L1344" s="5" t="str">
        <f>TEXT(Table1[[#This Row],[Order_Date]],"MMM")</f>
        <v>Jul</v>
      </c>
      <c r="M1344" s="5" t="str">
        <f>IF(Table1[[#This Row],[Profit]]&gt;=1000,"Excellent",IF(Table1[[#This Row],[Profit]]&gt;=500,"Good", IF(Table1[[#This Row],[Profit]]&lt;500,"Low")))</f>
        <v>Low</v>
      </c>
      <c r="N1344" s="7" t="str">
        <f>TEXT(Table1[[#This Row],[Order_Date]],"YYY")</f>
        <v>2025</v>
      </c>
    </row>
    <row r="1345" spans="1:14" x14ac:dyDescent="0.3">
      <c r="A1345" s="4">
        <v>45848</v>
      </c>
      <c r="B1345" s="5" t="s">
        <v>8</v>
      </c>
      <c r="C1345" s="5" t="s">
        <v>14</v>
      </c>
      <c r="D1345" s="23">
        <v>124.83</v>
      </c>
      <c r="E1345" s="23">
        <v>38.44</v>
      </c>
      <c r="F1345" s="23">
        <v>86.39</v>
      </c>
      <c r="G1345" s="5" t="s">
        <v>2</v>
      </c>
      <c r="H1345" s="5" t="s">
        <v>30</v>
      </c>
      <c r="I1345" s="5" t="s">
        <v>11</v>
      </c>
      <c r="J1345" s="6">
        <f>Table1[[#This Row],[Profit]]/Table1[[#This Row],[Sales]]</f>
        <v>0.69206120323640152</v>
      </c>
      <c r="K1345" s="5" t="str">
        <f t="shared" si="20"/>
        <v>Low</v>
      </c>
      <c r="L1345" s="5" t="str">
        <f>TEXT(Table1[[#This Row],[Order_Date]],"MMM")</f>
        <v>Jul</v>
      </c>
      <c r="M1345" s="5" t="str">
        <f>IF(Table1[[#This Row],[Profit]]&gt;=1000,"Excellent",IF(Table1[[#This Row],[Profit]]&gt;=500,"Good", IF(Table1[[#This Row],[Profit]]&lt;500,"Low")))</f>
        <v>Low</v>
      </c>
      <c r="N1345" s="7" t="str">
        <f>TEXT(Table1[[#This Row],[Order_Date]],"YYY")</f>
        <v>2025</v>
      </c>
    </row>
    <row r="1346" spans="1:14" x14ac:dyDescent="0.3">
      <c r="A1346" s="4">
        <v>45848</v>
      </c>
      <c r="B1346" s="5" t="s">
        <v>16</v>
      </c>
      <c r="C1346" s="5" t="s">
        <v>26</v>
      </c>
      <c r="D1346" s="23">
        <v>888.63</v>
      </c>
      <c r="E1346" s="23">
        <v>337.38</v>
      </c>
      <c r="F1346" s="23">
        <v>551.25</v>
      </c>
      <c r="G1346" s="5" t="s">
        <v>20</v>
      </c>
      <c r="H1346" s="5" t="s">
        <v>3</v>
      </c>
      <c r="I1346" s="5" t="s">
        <v>22</v>
      </c>
      <c r="J1346" s="6">
        <f>Table1[[#This Row],[Profit]]/Table1[[#This Row],[Sales]]</f>
        <v>0.62033692312886124</v>
      </c>
      <c r="K1346" s="5" t="str">
        <f t="shared" ref="K1346:K1409" si="21">IF(D1346&gt;=2000,"High",IF(D1346&gt;=1500,"Medium","Low"))</f>
        <v>Low</v>
      </c>
      <c r="L1346" s="5" t="str">
        <f>TEXT(Table1[[#This Row],[Order_Date]],"MMM")</f>
        <v>Jul</v>
      </c>
      <c r="M1346" s="5" t="str">
        <f>IF(Table1[[#This Row],[Profit]]&gt;=1000,"Excellent",IF(Table1[[#This Row],[Profit]]&gt;=500,"Good", IF(Table1[[#This Row],[Profit]]&lt;500,"Low")))</f>
        <v>Good</v>
      </c>
      <c r="N1346" s="7" t="str">
        <f>TEXT(Table1[[#This Row],[Order_Date]],"YYY")</f>
        <v>2025</v>
      </c>
    </row>
    <row r="1347" spans="1:14" x14ac:dyDescent="0.3">
      <c r="A1347" s="4">
        <v>45848</v>
      </c>
      <c r="B1347" s="5" t="s">
        <v>13</v>
      </c>
      <c r="C1347" s="5" t="s">
        <v>31</v>
      </c>
      <c r="D1347" s="23">
        <v>197.82</v>
      </c>
      <c r="E1347" s="23">
        <v>75.540000000000006</v>
      </c>
      <c r="F1347" s="23">
        <v>122.28</v>
      </c>
      <c r="G1347" s="5" t="s">
        <v>2</v>
      </c>
      <c r="H1347" s="5" t="s">
        <v>7</v>
      </c>
      <c r="I1347" s="5" t="s">
        <v>27</v>
      </c>
      <c r="J1347" s="6">
        <f>Table1[[#This Row],[Profit]]/Table1[[#This Row],[Sales]]</f>
        <v>0.61813770094024878</v>
      </c>
      <c r="K1347" s="5" t="str">
        <f t="shared" si="21"/>
        <v>Low</v>
      </c>
      <c r="L1347" s="5" t="str">
        <f>TEXT(Table1[[#This Row],[Order_Date]],"MMM")</f>
        <v>Jul</v>
      </c>
      <c r="M1347" s="5" t="str">
        <f>IF(Table1[[#This Row],[Profit]]&gt;=1000,"Excellent",IF(Table1[[#This Row],[Profit]]&gt;=500,"Good", IF(Table1[[#This Row],[Profit]]&lt;500,"Low")))</f>
        <v>Low</v>
      </c>
      <c r="N1347" s="7" t="str">
        <f>TEXT(Table1[[#This Row],[Order_Date]],"YYY")</f>
        <v>2025</v>
      </c>
    </row>
    <row r="1348" spans="1:14" x14ac:dyDescent="0.3">
      <c r="A1348" s="4">
        <v>45849</v>
      </c>
      <c r="B1348" s="5" t="s">
        <v>0</v>
      </c>
      <c r="C1348" s="5" t="s">
        <v>31</v>
      </c>
      <c r="D1348" s="23">
        <v>284.94</v>
      </c>
      <c r="E1348" s="23">
        <v>61.65</v>
      </c>
      <c r="F1348" s="23">
        <v>223.29</v>
      </c>
      <c r="G1348" s="5" t="s">
        <v>2</v>
      </c>
      <c r="H1348" s="5" t="s">
        <v>24</v>
      </c>
      <c r="I1348" s="5" t="s">
        <v>22</v>
      </c>
      <c r="J1348" s="6">
        <f>Table1[[#This Row],[Profit]]/Table1[[#This Row],[Sales]]</f>
        <v>0.78363866077068856</v>
      </c>
      <c r="K1348" s="5" t="str">
        <f t="shared" si="21"/>
        <v>Low</v>
      </c>
      <c r="L1348" s="5" t="str">
        <f>TEXT(Table1[[#This Row],[Order_Date]],"MMM")</f>
        <v>Jul</v>
      </c>
      <c r="M1348" s="5" t="str">
        <f>IF(Table1[[#This Row],[Profit]]&gt;=1000,"Excellent",IF(Table1[[#This Row],[Profit]]&gt;=500,"Good", IF(Table1[[#This Row],[Profit]]&lt;500,"Low")))</f>
        <v>Low</v>
      </c>
      <c r="N1348" s="7" t="str">
        <f>TEXT(Table1[[#This Row],[Order_Date]],"YYY")</f>
        <v>2025</v>
      </c>
    </row>
    <row r="1349" spans="1:14" x14ac:dyDescent="0.3">
      <c r="A1349" s="4">
        <v>45849</v>
      </c>
      <c r="B1349" s="5" t="s">
        <v>8</v>
      </c>
      <c r="C1349" s="5" t="s">
        <v>1</v>
      </c>
      <c r="D1349" s="23">
        <v>1180.75</v>
      </c>
      <c r="E1349" s="23">
        <v>786.94</v>
      </c>
      <c r="F1349" s="23">
        <v>393.81</v>
      </c>
      <c r="G1349" s="5" t="s">
        <v>20</v>
      </c>
      <c r="H1349" s="5" t="s">
        <v>29</v>
      </c>
      <c r="I1349" s="5" t="s">
        <v>11</v>
      </c>
      <c r="J1349" s="6">
        <f>Table1[[#This Row],[Profit]]/Table1[[#This Row],[Sales]]</f>
        <v>0.33352530171501166</v>
      </c>
      <c r="K1349" s="5" t="str">
        <f t="shared" si="21"/>
        <v>Low</v>
      </c>
      <c r="L1349" s="5" t="str">
        <f>TEXT(Table1[[#This Row],[Order_Date]],"MMM")</f>
        <v>Jul</v>
      </c>
      <c r="M1349" s="5" t="str">
        <f>IF(Table1[[#This Row],[Profit]]&gt;=1000,"Excellent",IF(Table1[[#This Row],[Profit]]&gt;=500,"Good", IF(Table1[[#This Row],[Profit]]&lt;500,"Low")))</f>
        <v>Low</v>
      </c>
      <c r="N1349" s="7" t="str">
        <f>TEXT(Table1[[#This Row],[Order_Date]],"YYY")</f>
        <v>2025</v>
      </c>
    </row>
    <row r="1350" spans="1:14" x14ac:dyDescent="0.3">
      <c r="A1350" s="4">
        <v>45849</v>
      </c>
      <c r="B1350" s="5" t="s">
        <v>13</v>
      </c>
      <c r="C1350" s="5" t="s">
        <v>1</v>
      </c>
      <c r="D1350" s="23">
        <v>489.1</v>
      </c>
      <c r="E1350" s="23">
        <v>335.62</v>
      </c>
      <c r="F1350" s="23">
        <v>153.47999999999999</v>
      </c>
      <c r="G1350" s="5" t="s">
        <v>32</v>
      </c>
      <c r="H1350" s="5" t="s">
        <v>15</v>
      </c>
      <c r="I1350" s="5" t="s">
        <v>4</v>
      </c>
      <c r="J1350" s="6">
        <f>Table1[[#This Row],[Profit]]/Table1[[#This Row],[Sales]]</f>
        <v>0.31380085872009811</v>
      </c>
      <c r="K1350" s="5" t="str">
        <f t="shared" si="21"/>
        <v>Low</v>
      </c>
      <c r="L1350" s="5" t="str">
        <f>TEXT(Table1[[#This Row],[Order_Date]],"MMM")</f>
        <v>Jul</v>
      </c>
      <c r="M1350" s="5" t="str">
        <f>IF(Table1[[#This Row],[Profit]]&gt;=1000,"Excellent",IF(Table1[[#This Row],[Profit]]&gt;=500,"Good", IF(Table1[[#This Row],[Profit]]&lt;500,"Low")))</f>
        <v>Low</v>
      </c>
      <c r="N1350" s="7" t="str">
        <f>TEXT(Table1[[#This Row],[Order_Date]],"YYY")</f>
        <v>2025</v>
      </c>
    </row>
    <row r="1351" spans="1:14" x14ac:dyDescent="0.3">
      <c r="A1351" s="4">
        <v>45849</v>
      </c>
      <c r="B1351" s="5" t="s">
        <v>18</v>
      </c>
      <c r="C1351" s="5" t="s">
        <v>26</v>
      </c>
      <c r="D1351" s="23">
        <v>1079.47</v>
      </c>
      <c r="E1351" s="23">
        <v>391.2</v>
      </c>
      <c r="F1351" s="23">
        <v>688.27</v>
      </c>
      <c r="G1351" s="5" t="s">
        <v>9</v>
      </c>
      <c r="H1351" s="5" t="s">
        <v>37</v>
      </c>
      <c r="I1351" s="5" t="s">
        <v>25</v>
      </c>
      <c r="J1351" s="6">
        <f>Table1[[#This Row],[Profit]]/Table1[[#This Row],[Sales]]</f>
        <v>0.63759993330060116</v>
      </c>
      <c r="K1351" s="5" t="str">
        <f t="shared" si="21"/>
        <v>Low</v>
      </c>
      <c r="L1351" s="5" t="str">
        <f>TEXT(Table1[[#This Row],[Order_Date]],"MMM")</f>
        <v>Jul</v>
      </c>
      <c r="M1351" s="5" t="str">
        <f>IF(Table1[[#This Row],[Profit]]&gt;=1000,"Excellent",IF(Table1[[#This Row],[Profit]]&gt;=500,"Good", IF(Table1[[#This Row],[Profit]]&lt;500,"Low")))</f>
        <v>Good</v>
      </c>
      <c r="N1351" s="7" t="str">
        <f>TEXT(Table1[[#This Row],[Order_Date]],"YYY")</f>
        <v>2025</v>
      </c>
    </row>
    <row r="1352" spans="1:14" x14ac:dyDescent="0.3">
      <c r="A1352" s="4">
        <v>45849</v>
      </c>
      <c r="B1352" s="5" t="s">
        <v>13</v>
      </c>
      <c r="C1352" s="5" t="s">
        <v>31</v>
      </c>
      <c r="D1352" s="23">
        <v>221.44</v>
      </c>
      <c r="E1352" s="23">
        <v>69.89</v>
      </c>
      <c r="F1352" s="23">
        <v>151.55000000000001</v>
      </c>
      <c r="G1352" s="5" t="s">
        <v>20</v>
      </c>
      <c r="H1352" s="5" t="s">
        <v>12</v>
      </c>
      <c r="I1352" s="5" t="s">
        <v>27</v>
      </c>
      <c r="J1352" s="6">
        <f>Table1[[#This Row],[Profit]]/Table1[[#This Row],[Sales]]</f>
        <v>0.68438403179190754</v>
      </c>
      <c r="K1352" s="5" t="str">
        <f t="shared" si="21"/>
        <v>Low</v>
      </c>
      <c r="L1352" s="5" t="str">
        <f>TEXT(Table1[[#This Row],[Order_Date]],"MMM")</f>
        <v>Jul</v>
      </c>
      <c r="M1352" s="5" t="str">
        <f>IF(Table1[[#This Row],[Profit]]&gt;=1000,"Excellent",IF(Table1[[#This Row],[Profit]]&gt;=500,"Good", IF(Table1[[#This Row],[Profit]]&lt;500,"Low")))</f>
        <v>Low</v>
      </c>
      <c r="N1352" s="7" t="str">
        <f>TEXT(Table1[[#This Row],[Order_Date]],"YYY")</f>
        <v>2025</v>
      </c>
    </row>
    <row r="1353" spans="1:14" x14ac:dyDescent="0.3">
      <c r="A1353" s="4">
        <v>45850</v>
      </c>
      <c r="B1353" s="5" t="s">
        <v>0</v>
      </c>
      <c r="C1353" s="5" t="s">
        <v>1</v>
      </c>
      <c r="D1353" s="23">
        <v>50.42</v>
      </c>
      <c r="E1353" s="23">
        <v>33.31</v>
      </c>
      <c r="F1353" s="23">
        <v>17.11</v>
      </c>
      <c r="G1353" s="5" t="s">
        <v>6</v>
      </c>
      <c r="H1353" s="5" t="s">
        <v>36</v>
      </c>
      <c r="I1353" s="5" t="s">
        <v>17</v>
      </c>
      <c r="J1353" s="6">
        <f>Table1[[#This Row],[Profit]]/Table1[[#This Row],[Sales]]</f>
        <v>0.33934946449821496</v>
      </c>
      <c r="K1353" s="5" t="str">
        <f t="shared" si="21"/>
        <v>Low</v>
      </c>
      <c r="L1353" s="5" t="str">
        <f>TEXT(Table1[[#This Row],[Order_Date]],"MMM")</f>
        <v>Jul</v>
      </c>
      <c r="M1353" s="5" t="str">
        <f>IF(Table1[[#This Row],[Profit]]&gt;=1000,"Excellent",IF(Table1[[#This Row],[Profit]]&gt;=500,"Good", IF(Table1[[#This Row],[Profit]]&lt;500,"Low")))</f>
        <v>Low</v>
      </c>
      <c r="N1353" s="7" t="str">
        <f>TEXT(Table1[[#This Row],[Order_Date]],"YYY")</f>
        <v>2025</v>
      </c>
    </row>
    <row r="1354" spans="1:14" x14ac:dyDescent="0.3">
      <c r="A1354" s="4">
        <v>45851</v>
      </c>
      <c r="B1354" s="5" t="s">
        <v>8</v>
      </c>
      <c r="C1354" s="5" t="s">
        <v>14</v>
      </c>
      <c r="D1354" s="23">
        <v>346.56</v>
      </c>
      <c r="E1354" s="23">
        <v>176.15</v>
      </c>
      <c r="F1354" s="23">
        <v>170.41</v>
      </c>
      <c r="G1354" s="5" t="s">
        <v>9</v>
      </c>
      <c r="H1354" s="5" t="s">
        <v>12</v>
      </c>
      <c r="I1354" s="5" t="s">
        <v>25</v>
      </c>
      <c r="J1354" s="6">
        <f>Table1[[#This Row],[Profit]]/Table1[[#This Row],[Sales]]</f>
        <v>0.49171860572483839</v>
      </c>
      <c r="K1354" s="5" t="str">
        <f t="shared" si="21"/>
        <v>Low</v>
      </c>
      <c r="L1354" s="5" t="str">
        <f>TEXT(Table1[[#This Row],[Order_Date]],"MMM")</f>
        <v>Jul</v>
      </c>
      <c r="M1354" s="5" t="str">
        <f>IF(Table1[[#This Row],[Profit]]&gt;=1000,"Excellent",IF(Table1[[#This Row],[Profit]]&gt;=500,"Good", IF(Table1[[#This Row],[Profit]]&lt;500,"Low")))</f>
        <v>Low</v>
      </c>
      <c r="N1354" s="7" t="str">
        <f>TEXT(Table1[[#This Row],[Order_Date]],"YYY")</f>
        <v>2025</v>
      </c>
    </row>
    <row r="1355" spans="1:14" x14ac:dyDescent="0.3">
      <c r="A1355" s="4">
        <v>45851</v>
      </c>
      <c r="B1355" s="5" t="s">
        <v>8</v>
      </c>
      <c r="C1355" s="5" t="s">
        <v>26</v>
      </c>
      <c r="D1355" s="23">
        <v>956.94</v>
      </c>
      <c r="E1355" s="23">
        <v>368.84</v>
      </c>
      <c r="F1355" s="23">
        <v>588.1</v>
      </c>
      <c r="G1355" s="5" t="s">
        <v>2</v>
      </c>
      <c r="H1355" s="5" t="s">
        <v>35</v>
      </c>
      <c r="I1355" s="5" t="s">
        <v>25</v>
      </c>
      <c r="J1355" s="6">
        <f>Table1[[#This Row],[Profit]]/Table1[[#This Row],[Sales]]</f>
        <v>0.61456308650490099</v>
      </c>
      <c r="K1355" s="5" t="str">
        <f t="shared" si="21"/>
        <v>Low</v>
      </c>
      <c r="L1355" s="5" t="str">
        <f>TEXT(Table1[[#This Row],[Order_Date]],"MMM")</f>
        <v>Jul</v>
      </c>
      <c r="M1355" s="5" t="str">
        <f>IF(Table1[[#This Row],[Profit]]&gt;=1000,"Excellent",IF(Table1[[#This Row],[Profit]]&gt;=500,"Good", IF(Table1[[#This Row],[Profit]]&lt;500,"Low")))</f>
        <v>Good</v>
      </c>
      <c r="N1355" s="7" t="str">
        <f>TEXT(Table1[[#This Row],[Order_Date]],"YYY")</f>
        <v>2025</v>
      </c>
    </row>
    <row r="1356" spans="1:14" x14ac:dyDescent="0.3">
      <c r="A1356" s="4">
        <v>45851</v>
      </c>
      <c r="B1356" s="5" t="s">
        <v>18</v>
      </c>
      <c r="C1356" s="5" t="s">
        <v>23</v>
      </c>
      <c r="D1356" s="23">
        <v>874.72</v>
      </c>
      <c r="E1356" s="23">
        <v>406.18</v>
      </c>
      <c r="F1356" s="23">
        <v>468.54</v>
      </c>
      <c r="G1356" s="5" t="s">
        <v>9</v>
      </c>
      <c r="H1356" s="5" t="s">
        <v>12</v>
      </c>
      <c r="I1356" s="5" t="s">
        <v>11</v>
      </c>
      <c r="J1356" s="6">
        <f>Table1[[#This Row],[Profit]]/Table1[[#This Row],[Sales]]</f>
        <v>0.53564569233583315</v>
      </c>
      <c r="K1356" s="5" t="str">
        <f t="shared" si="21"/>
        <v>Low</v>
      </c>
      <c r="L1356" s="5" t="str">
        <f>TEXT(Table1[[#This Row],[Order_Date]],"MMM")</f>
        <v>Jul</v>
      </c>
      <c r="M1356" s="5" t="str">
        <f>IF(Table1[[#This Row],[Profit]]&gt;=1000,"Excellent",IF(Table1[[#This Row],[Profit]]&gt;=500,"Good", IF(Table1[[#This Row],[Profit]]&lt;500,"Low")))</f>
        <v>Low</v>
      </c>
      <c r="N1356" s="7" t="str">
        <f>TEXT(Table1[[#This Row],[Order_Date]],"YYY")</f>
        <v>2025</v>
      </c>
    </row>
    <row r="1357" spans="1:14" x14ac:dyDescent="0.3">
      <c r="A1357" s="4">
        <v>45851</v>
      </c>
      <c r="B1357" s="5" t="s">
        <v>8</v>
      </c>
      <c r="C1357" s="5" t="s">
        <v>26</v>
      </c>
      <c r="D1357" s="23">
        <v>359.08</v>
      </c>
      <c r="E1357" s="23">
        <v>141.18</v>
      </c>
      <c r="F1357" s="23">
        <v>217.9</v>
      </c>
      <c r="G1357" s="5" t="s">
        <v>9</v>
      </c>
      <c r="H1357" s="5" t="s">
        <v>10</v>
      </c>
      <c r="I1357" s="5" t="s">
        <v>27</v>
      </c>
      <c r="J1357" s="6">
        <f>Table1[[#This Row],[Profit]]/Table1[[#This Row],[Sales]]</f>
        <v>0.60682856188036094</v>
      </c>
      <c r="K1357" s="5" t="str">
        <f t="shared" si="21"/>
        <v>Low</v>
      </c>
      <c r="L1357" s="5" t="str">
        <f>TEXT(Table1[[#This Row],[Order_Date]],"MMM")</f>
        <v>Jul</v>
      </c>
      <c r="M1357" s="5" t="str">
        <f>IF(Table1[[#This Row],[Profit]]&gt;=1000,"Excellent",IF(Table1[[#This Row],[Profit]]&gt;=500,"Good", IF(Table1[[#This Row],[Profit]]&lt;500,"Low")))</f>
        <v>Low</v>
      </c>
      <c r="N1357" s="7" t="str">
        <f>TEXT(Table1[[#This Row],[Order_Date]],"YYY")</f>
        <v>2025</v>
      </c>
    </row>
    <row r="1358" spans="1:14" x14ac:dyDescent="0.3">
      <c r="A1358" s="4">
        <v>45851</v>
      </c>
      <c r="B1358" s="5" t="s">
        <v>8</v>
      </c>
      <c r="C1358" s="5" t="s">
        <v>23</v>
      </c>
      <c r="D1358" s="23">
        <v>670.16</v>
      </c>
      <c r="E1358" s="23">
        <v>235.13</v>
      </c>
      <c r="F1358" s="23">
        <v>435.03</v>
      </c>
      <c r="G1358" s="5" t="s">
        <v>9</v>
      </c>
      <c r="H1358" s="5" t="s">
        <v>3</v>
      </c>
      <c r="I1358" s="5" t="s">
        <v>17</v>
      </c>
      <c r="J1358" s="6">
        <f>Table1[[#This Row],[Profit]]/Table1[[#This Row],[Sales]]</f>
        <v>0.64914348812223943</v>
      </c>
      <c r="K1358" s="5" t="str">
        <f t="shared" si="21"/>
        <v>Low</v>
      </c>
      <c r="L1358" s="5" t="str">
        <f>TEXT(Table1[[#This Row],[Order_Date]],"MMM")</f>
        <v>Jul</v>
      </c>
      <c r="M1358" s="5" t="str">
        <f>IF(Table1[[#This Row],[Profit]]&gt;=1000,"Excellent",IF(Table1[[#This Row],[Profit]]&gt;=500,"Good", IF(Table1[[#This Row],[Profit]]&lt;500,"Low")))</f>
        <v>Low</v>
      </c>
      <c r="N1358" s="7" t="str">
        <f>TEXT(Table1[[#This Row],[Order_Date]],"YYY")</f>
        <v>2025</v>
      </c>
    </row>
    <row r="1359" spans="1:14" x14ac:dyDescent="0.3">
      <c r="A1359" s="4">
        <v>45853</v>
      </c>
      <c r="B1359" s="5" t="s">
        <v>13</v>
      </c>
      <c r="C1359" s="5" t="s">
        <v>31</v>
      </c>
      <c r="D1359" s="23">
        <v>219.06</v>
      </c>
      <c r="E1359" s="23">
        <v>65.900000000000006</v>
      </c>
      <c r="F1359" s="23">
        <v>153.16</v>
      </c>
      <c r="G1359" s="5" t="s">
        <v>20</v>
      </c>
      <c r="H1359" s="5" t="s">
        <v>34</v>
      </c>
      <c r="I1359" s="5" t="s">
        <v>17</v>
      </c>
      <c r="J1359" s="6">
        <f>Table1[[#This Row],[Profit]]/Table1[[#This Row],[Sales]]</f>
        <v>0.69916917739432116</v>
      </c>
      <c r="K1359" s="5" t="str">
        <f t="shared" si="21"/>
        <v>Low</v>
      </c>
      <c r="L1359" s="5" t="str">
        <f>TEXT(Table1[[#This Row],[Order_Date]],"MMM")</f>
        <v>Jul</v>
      </c>
      <c r="M1359" s="5" t="str">
        <f>IF(Table1[[#This Row],[Profit]]&gt;=1000,"Excellent",IF(Table1[[#This Row],[Profit]]&gt;=500,"Good", IF(Table1[[#This Row],[Profit]]&lt;500,"Low")))</f>
        <v>Low</v>
      </c>
      <c r="N1359" s="7" t="str">
        <f>TEXT(Table1[[#This Row],[Order_Date]],"YYY")</f>
        <v>2025</v>
      </c>
    </row>
    <row r="1360" spans="1:14" x14ac:dyDescent="0.3">
      <c r="A1360" s="4">
        <v>45853</v>
      </c>
      <c r="B1360" s="5" t="s">
        <v>18</v>
      </c>
      <c r="C1360" s="5" t="s">
        <v>31</v>
      </c>
      <c r="D1360" s="23">
        <v>217.63</v>
      </c>
      <c r="E1360" s="23">
        <v>68.44</v>
      </c>
      <c r="F1360" s="23">
        <v>149.19</v>
      </c>
      <c r="G1360" s="5" t="s">
        <v>2</v>
      </c>
      <c r="H1360" s="5" t="s">
        <v>15</v>
      </c>
      <c r="I1360" s="5" t="s">
        <v>25</v>
      </c>
      <c r="J1360" s="6">
        <f>Table1[[#This Row],[Profit]]/Table1[[#This Row],[Sales]]</f>
        <v>0.68552129761521852</v>
      </c>
      <c r="K1360" s="5" t="str">
        <f t="shared" si="21"/>
        <v>Low</v>
      </c>
      <c r="L1360" s="5" t="str">
        <f>TEXT(Table1[[#This Row],[Order_Date]],"MMM")</f>
        <v>Jul</v>
      </c>
      <c r="M1360" s="5" t="str">
        <f>IF(Table1[[#This Row],[Profit]]&gt;=1000,"Excellent",IF(Table1[[#This Row],[Profit]]&gt;=500,"Good", IF(Table1[[#This Row],[Profit]]&lt;500,"Low")))</f>
        <v>Low</v>
      </c>
      <c r="N1360" s="7" t="str">
        <f>TEXT(Table1[[#This Row],[Order_Date]],"YYY")</f>
        <v>2025</v>
      </c>
    </row>
    <row r="1361" spans="1:14" x14ac:dyDescent="0.3">
      <c r="A1361" s="4">
        <v>45853</v>
      </c>
      <c r="B1361" s="5" t="s">
        <v>18</v>
      </c>
      <c r="C1361" s="5" t="s">
        <v>1</v>
      </c>
      <c r="D1361" s="23">
        <v>1372.55</v>
      </c>
      <c r="E1361" s="23">
        <v>838.63</v>
      </c>
      <c r="F1361" s="23">
        <v>533.91999999999996</v>
      </c>
      <c r="G1361" s="5" t="s">
        <v>6</v>
      </c>
      <c r="H1361" s="5" t="s">
        <v>12</v>
      </c>
      <c r="I1361" s="5" t="s">
        <v>4</v>
      </c>
      <c r="J1361" s="6">
        <f>Table1[[#This Row],[Profit]]/Table1[[#This Row],[Sales]]</f>
        <v>0.38899857928672904</v>
      </c>
      <c r="K1361" s="5" t="str">
        <f t="shared" si="21"/>
        <v>Low</v>
      </c>
      <c r="L1361" s="5" t="str">
        <f>TEXT(Table1[[#This Row],[Order_Date]],"MMM")</f>
        <v>Jul</v>
      </c>
      <c r="M1361" s="5" t="str">
        <f>IF(Table1[[#This Row],[Profit]]&gt;=1000,"Excellent",IF(Table1[[#This Row],[Profit]]&gt;=500,"Good", IF(Table1[[#This Row],[Profit]]&lt;500,"Low")))</f>
        <v>Good</v>
      </c>
      <c r="N1361" s="7" t="str">
        <f>TEXT(Table1[[#This Row],[Order_Date]],"YYY")</f>
        <v>2025</v>
      </c>
    </row>
    <row r="1362" spans="1:14" x14ac:dyDescent="0.3">
      <c r="A1362" s="4">
        <v>45854</v>
      </c>
      <c r="B1362" s="5" t="s">
        <v>16</v>
      </c>
      <c r="C1362" s="5" t="s">
        <v>31</v>
      </c>
      <c r="D1362" s="23">
        <v>214.33</v>
      </c>
      <c r="E1362" s="23">
        <v>83.77</v>
      </c>
      <c r="F1362" s="23">
        <v>130.56</v>
      </c>
      <c r="G1362" s="5" t="s">
        <v>9</v>
      </c>
      <c r="H1362" s="5" t="s">
        <v>36</v>
      </c>
      <c r="I1362" s="5" t="s">
        <v>27</v>
      </c>
      <c r="J1362" s="6">
        <f>Table1[[#This Row],[Profit]]/Table1[[#This Row],[Sales]]</f>
        <v>0.60915410815098214</v>
      </c>
      <c r="K1362" s="5" t="str">
        <f t="shared" si="21"/>
        <v>Low</v>
      </c>
      <c r="L1362" s="5" t="str">
        <f>TEXT(Table1[[#This Row],[Order_Date]],"MMM")</f>
        <v>Jul</v>
      </c>
      <c r="M1362" s="5" t="str">
        <f>IF(Table1[[#This Row],[Profit]]&gt;=1000,"Excellent",IF(Table1[[#This Row],[Profit]]&gt;=500,"Good", IF(Table1[[#This Row],[Profit]]&lt;500,"Low")))</f>
        <v>Low</v>
      </c>
      <c r="N1362" s="7" t="str">
        <f>TEXT(Table1[[#This Row],[Order_Date]],"YYY")</f>
        <v>2025</v>
      </c>
    </row>
    <row r="1363" spans="1:14" x14ac:dyDescent="0.3">
      <c r="A1363" s="4">
        <v>45854</v>
      </c>
      <c r="B1363" s="5" t="s">
        <v>16</v>
      </c>
      <c r="C1363" s="5" t="s">
        <v>14</v>
      </c>
      <c r="D1363" s="23">
        <v>234.92</v>
      </c>
      <c r="E1363" s="23">
        <v>78.209999999999994</v>
      </c>
      <c r="F1363" s="23">
        <v>156.71</v>
      </c>
      <c r="G1363" s="5" t="s">
        <v>2</v>
      </c>
      <c r="H1363" s="5" t="s">
        <v>33</v>
      </c>
      <c r="I1363" s="5" t="s">
        <v>25</v>
      </c>
      <c r="J1363" s="6">
        <f>Table1[[#This Row],[Profit]]/Table1[[#This Row],[Sales]]</f>
        <v>0.66707815426528183</v>
      </c>
      <c r="K1363" s="5" t="str">
        <f t="shared" si="21"/>
        <v>Low</v>
      </c>
      <c r="L1363" s="5" t="str">
        <f>TEXT(Table1[[#This Row],[Order_Date]],"MMM")</f>
        <v>Jul</v>
      </c>
      <c r="M1363" s="5" t="str">
        <f>IF(Table1[[#This Row],[Profit]]&gt;=1000,"Excellent",IF(Table1[[#This Row],[Profit]]&gt;=500,"Good", IF(Table1[[#This Row],[Profit]]&lt;500,"Low")))</f>
        <v>Low</v>
      </c>
      <c r="N1363" s="7" t="str">
        <f>TEXT(Table1[[#This Row],[Order_Date]],"YYY")</f>
        <v>2025</v>
      </c>
    </row>
    <row r="1364" spans="1:14" x14ac:dyDescent="0.3">
      <c r="A1364" s="4">
        <v>45854</v>
      </c>
      <c r="B1364" s="5" t="s">
        <v>8</v>
      </c>
      <c r="C1364" s="5" t="s">
        <v>14</v>
      </c>
      <c r="D1364" s="23">
        <v>75.319999999999993</v>
      </c>
      <c r="E1364" s="23">
        <v>41.24</v>
      </c>
      <c r="F1364" s="23">
        <v>34.08</v>
      </c>
      <c r="G1364" s="5" t="s">
        <v>20</v>
      </c>
      <c r="H1364" s="5" t="s">
        <v>30</v>
      </c>
      <c r="I1364" s="5" t="s">
        <v>25</v>
      </c>
      <c r="J1364" s="6">
        <f>Table1[[#This Row],[Profit]]/Table1[[#This Row],[Sales]]</f>
        <v>0.45246946362188001</v>
      </c>
      <c r="K1364" s="5" t="str">
        <f t="shared" si="21"/>
        <v>Low</v>
      </c>
      <c r="L1364" s="5" t="str">
        <f>TEXT(Table1[[#This Row],[Order_Date]],"MMM")</f>
        <v>Jul</v>
      </c>
      <c r="M1364" s="5" t="str">
        <f>IF(Table1[[#This Row],[Profit]]&gt;=1000,"Excellent",IF(Table1[[#This Row],[Profit]]&gt;=500,"Good", IF(Table1[[#This Row],[Profit]]&lt;500,"Low")))</f>
        <v>Low</v>
      </c>
      <c r="N1364" s="7" t="str">
        <f>TEXT(Table1[[#This Row],[Order_Date]],"YYY")</f>
        <v>2025</v>
      </c>
    </row>
    <row r="1365" spans="1:14" x14ac:dyDescent="0.3">
      <c r="A1365" s="4">
        <v>45854</v>
      </c>
      <c r="B1365" s="5" t="s">
        <v>16</v>
      </c>
      <c r="C1365" s="5" t="s">
        <v>19</v>
      </c>
      <c r="D1365" s="23">
        <v>92.68</v>
      </c>
      <c r="E1365" s="23">
        <v>36.630000000000003</v>
      </c>
      <c r="F1365" s="23">
        <v>56.05</v>
      </c>
      <c r="G1365" s="5" t="s">
        <v>6</v>
      </c>
      <c r="H1365" s="5" t="s">
        <v>34</v>
      </c>
      <c r="I1365" s="5" t="s">
        <v>4</v>
      </c>
      <c r="J1365" s="6">
        <f>Table1[[#This Row],[Profit]]/Table1[[#This Row],[Sales]]</f>
        <v>0.60476909797151479</v>
      </c>
      <c r="K1365" s="5" t="str">
        <f t="shared" si="21"/>
        <v>Low</v>
      </c>
      <c r="L1365" s="5" t="str">
        <f>TEXT(Table1[[#This Row],[Order_Date]],"MMM")</f>
        <v>Jul</v>
      </c>
      <c r="M1365" s="5" t="str">
        <f>IF(Table1[[#This Row],[Profit]]&gt;=1000,"Excellent",IF(Table1[[#This Row],[Profit]]&gt;=500,"Good", IF(Table1[[#This Row],[Profit]]&lt;500,"Low")))</f>
        <v>Low</v>
      </c>
      <c r="N1365" s="7" t="str">
        <f>TEXT(Table1[[#This Row],[Order_Date]],"YYY")</f>
        <v>2025</v>
      </c>
    </row>
    <row r="1366" spans="1:14" x14ac:dyDescent="0.3">
      <c r="A1366" s="4">
        <v>45855</v>
      </c>
      <c r="B1366" s="5" t="s">
        <v>0</v>
      </c>
      <c r="C1366" s="5" t="s">
        <v>14</v>
      </c>
      <c r="D1366" s="23">
        <v>139.63</v>
      </c>
      <c r="E1366" s="23">
        <v>42.85</v>
      </c>
      <c r="F1366" s="23">
        <v>96.78</v>
      </c>
      <c r="G1366" s="5" t="s">
        <v>9</v>
      </c>
      <c r="H1366" s="5" t="s">
        <v>29</v>
      </c>
      <c r="I1366" s="5" t="s">
        <v>11</v>
      </c>
      <c r="J1366" s="6">
        <f>Table1[[#This Row],[Profit]]/Table1[[#This Row],[Sales]]</f>
        <v>0.69311752488720191</v>
      </c>
      <c r="K1366" s="5" t="str">
        <f t="shared" si="21"/>
        <v>Low</v>
      </c>
      <c r="L1366" s="5" t="str">
        <f>TEXT(Table1[[#This Row],[Order_Date]],"MMM")</f>
        <v>Jul</v>
      </c>
      <c r="M1366" s="5" t="str">
        <f>IF(Table1[[#This Row],[Profit]]&gt;=1000,"Excellent",IF(Table1[[#This Row],[Profit]]&gt;=500,"Good", IF(Table1[[#This Row],[Profit]]&lt;500,"Low")))</f>
        <v>Low</v>
      </c>
      <c r="N1366" s="7" t="str">
        <f>TEXT(Table1[[#This Row],[Order_Date]],"YYY")</f>
        <v>2025</v>
      </c>
    </row>
    <row r="1367" spans="1:14" x14ac:dyDescent="0.3">
      <c r="A1367" s="4">
        <v>45855</v>
      </c>
      <c r="B1367" s="5" t="s">
        <v>16</v>
      </c>
      <c r="C1367" s="5" t="s">
        <v>31</v>
      </c>
      <c r="D1367" s="23">
        <v>295.70999999999998</v>
      </c>
      <c r="E1367" s="23">
        <v>68.709999999999994</v>
      </c>
      <c r="F1367" s="23">
        <v>227</v>
      </c>
      <c r="G1367" s="5" t="s">
        <v>2</v>
      </c>
      <c r="H1367" s="5" t="s">
        <v>35</v>
      </c>
      <c r="I1367" s="5" t="s">
        <v>11</v>
      </c>
      <c r="J1367" s="6">
        <f>Table1[[#This Row],[Profit]]/Table1[[#This Row],[Sales]]</f>
        <v>0.76764397551655339</v>
      </c>
      <c r="K1367" s="5" t="str">
        <f t="shared" si="21"/>
        <v>Low</v>
      </c>
      <c r="L1367" s="5" t="str">
        <f>TEXT(Table1[[#This Row],[Order_Date]],"MMM")</f>
        <v>Jul</v>
      </c>
      <c r="M1367" s="5" t="str">
        <f>IF(Table1[[#This Row],[Profit]]&gt;=1000,"Excellent",IF(Table1[[#This Row],[Profit]]&gt;=500,"Good", IF(Table1[[#This Row],[Profit]]&lt;500,"Low")))</f>
        <v>Low</v>
      </c>
      <c r="N1367" s="7" t="str">
        <f>TEXT(Table1[[#This Row],[Order_Date]],"YYY")</f>
        <v>2025</v>
      </c>
    </row>
    <row r="1368" spans="1:14" x14ac:dyDescent="0.3">
      <c r="A1368" s="4">
        <v>45856</v>
      </c>
      <c r="B1368" s="5" t="s">
        <v>8</v>
      </c>
      <c r="C1368" s="5" t="s">
        <v>19</v>
      </c>
      <c r="D1368" s="23">
        <v>89.11</v>
      </c>
      <c r="E1368" s="23">
        <v>23.23</v>
      </c>
      <c r="F1368" s="23">
        <v>65.88</v>
      </c>
      <c r="G1368" s="5" t="s">
        <v>32</v>
      </c>
      <c r="H1368" s="5" t="s">
        <v>37</v>
      </c>
      <c r="I1368" s="5" t="s">
        <v>4</v>
      </c>
      <c r="J1368" s="6">
        <f>Table1[[#This Row],[Profit]]/Table1[[#This Row],[Sales]]</f>
        <v>0.73931096397710694</v>
      </c>
      <c r="K1368" s="5" t="str">
        <f t="shared" si="21"/>
        <v>Low</v>
      </c>
      <c r="L1368" s="5" t="str">
        <f>TEXT(Table1[[#This Row],[Order_Date]],"MMM")</f>
        <v>Jul</v>
      </c>
      <c r="M1368" s="5" t="str">
        <f>IF(Table1[[#This Row],[Profit]]&gt;=1000,"Excellent",IF(Table1[[#This Row],[Profit]]&gt;=500,"Good", IF(Table1[[#This Row],[Profit]]&lt;500,"Low")))</f>
        <v>Low</v>
      </c>
      <c r="N1368" s="7" t="str">
        <f>TEXT(Table1[[#This Row],[Order_Date]],"YYY")</f>
        <v>2025</v>
      </c>
    </row>
    <row r="1369" spans="1:14" x14ac:dyDescent="0.3">
      <c r="A1369" s="4">
        <v>45856</v>
      </c>
      <c r="B1369" s="5" t="s">
        <v>0</v>
      </c>
      <c r="C1369" s="5" t="s">
        <v>23</v>
      </c>
      <c r="D1369" s="23">
        <v>414.49</v>
      </c>
      <c r="E1369" s="23">
        <v>117.19</v>
      </c>
      <c r="F1369" s="23">
        <v>297.3</v>
      </c>
      <c r="G1369" s="5" t="s">
        <v>20</v>
      </c>
      <c r="H1369" s="5" t="s">
        <v>36</v>
      </c>
      <c r="I1369" s="5" t="s">
        <v>27</v>
      </c>
      <c r="J1369" s="6">
        <f>Table1[[#This Row],[Profit]]/Table1[[#This Row],[Sales]]</f>
        <v>0.71726700282274602</v>
      </c>
      <c r="K1369" s="5" t="str">
        <f t="shared" si="21"/>
        <v>Low</v>
      </c>
      <c r="L1369" s="5" t="str">
        <f>TEXT(Table1[[#This Row],[Order_Date]],"MMM")</f>
        <v>Jul</v>
      </c>
      <c r="M1369" s="5" t="str">
        <f>IF(Table1[[#This Row],[Profit]]&gt;=1000,"Excellent",IF(Table1[[#This Row],[Profit]]&gt;=500,"Good", IF(Table1[[#This Row],[Profit]]&lt;500,"Low")))</f>
        <v>Low</v>
      </c>
      <c r="N1369" s="7" t="str">
        <f>TEXT(Table1[[#This Row],[Order_Date]],"YYY")</f>
        <v>2025</v>
      </c>
    </row>
    <row r="1370" spans="1:14" x14ac:dyDescent="0.3">
      <c r="A1370" s="4">
        <v>45857</v>
      </c>
      <c r="B1370" s="5" t="s">
        <v>18</v>
      </c>
      <c r="C1370" s="5" t="s">
        <v>1</v>
      </c>
      <c r="D1370" s="23">
        <v>583.22</v>
      </c>
      <c r="E1370" s="23">
        <v>363.32</v>
      </c>
      <c r="F1370" s="23">
        <v>219.9</v>
      </c>
      <c r="G1370" s="5" t="s">
        <v>20</v>
      </c>
      <c r="H1370" s="5" t="s">
        <v>24</v>
      </c>
      <c r="I1370" s="5" t="s">
        <v>11</v>
      </c>
      <c r="J1370" s="6">
        <f>Table1[[#This Row],[Profit]]/Table1[[#This Row],[Sales]]</f>
        <v>0.37704468296697641</v>
      </c>
      <c r="K1370" s="5" t="str">
        <f t="shared" si="21"/>
        <v>Low</v>
      </c>
      <c r="L1370" s="5" t="str">
        <f>TEXT(Table1[[#This Row],[Order_Date]],"MMM")</f>
        <v>Jul</v>
      </c>
      <c r="M1370" s="5" t="str">
        <f>IF(Table1[[#This Row],[Profit]]&gt;=1000,"Excellent",IF(Table1[[#This Row],[Profit]]&gt;=500,"Good", IF(Table1[[#This Row],[Profit]]&lt;500,"Low")))</f>
        <v>Low</v>
      </c>
      <c r="N1370" s="7" t="str">
        <f>TEXT(Table1[[#This Row],[Order_Date]],"YYY")</f>
        <v>2025</v>
      </c>
    </row>
    <row r="1371" spans="1:14" x14ac:dyDescent="0.3">
      <c r="A1371" s="4">
        <v>45857</v>
      </c>
      <c r="B1371" s="5" t="s">
        <v>8</v>
      </c>
      <c r="C1371" s="5" t="s">
        <v>5</v>
      </c>
      <c r="D1371" s="23">
        <v>1282.81</v>
      </c>
      <c r="E1371" s="23">
        <v>460.77</v>
      </c>
      <c r="F1371" s="23">
        <v>822.04</v>
      </c>
      <c r="G1371" s="5" t="s">
        <v>20</v>
      </c>
      <c r="H1371" s="5" t="s">
        <v>34</v>
      </c>
      <c r="I1371" s="5" t="s">
        <v>25</v>
      </c>
      <c r="J1371" s="6">
        <f>Table1[[#This Row],[Profit]]/Table1[[#This Row],[Sales]]</f>
        <v>0.64081196747764668</v>
      </c>
      <c r="K1371" s="5" t="str">
        <f t="shared" si="21"/>
        <v>Low</v>
      </c>
      <c r="L1371" s="5" t="str">
        <f>TEXT(Table1[[#This Row],[Order_Date]],"MMM")</f>
        <v>Jul</v>
      </c>
      <c r="M1371" s="5" t="str">
        <f>IF(Table1[[#This Row],[Profit]]&gt;=1000,"Excellent",IF(Table1[[#This Row],[Profit]]&gt;=500,"Good", IF(Table1[[#This Row],[Profit]]&lt;500,"Low")))</f>
        <v>Good</v>
      </c>
      <c r="N1371" s="7" t="str">
        <f>TEXT(Table1[[#This Row],[Order_Date]],"YYY")</f>
        <v>2025</v>
      </c>
    </row>
    <row r="1372" spans="1:14" x14ac:dyDescent="0.3">
      <c r="A1372" s="4">
        <v>45857</v>
      </c>
      <c r="B1372" s="5" t="s">
        <v>8</v>
      </c>
      <c r="C1372" s="5" t="s">
        <v>1</v>
      </c>
      <c r="D1372" s="23">
        <v>1332.9</v>
      </c>
      <c r="E1372" s="23">
        <v>613.04999999999995</v>
      </c>
      <c r="F1372" s="23">
        <v>719.85</v>
      </c>
      <c r="G1372" s="5" t="s">
        <v>6</v>
      </c>
      <c r="H1372" s="5" t="s">
        <v>28</v>
      </c>
      <c r="I1372" s="5" t="s">
        <v>4</v>
      </c>
      <c r="J1372" s="6">
        <f>Table1[[#This Row],[Profit]]/Table1[[#This Row],[Sales]]</f>
        <v>0.54006302048165655</v>
      </c>
      <c r="K1372" s="5" t="str">
        <f t="shared" si="21"/>
        <v>Low</v>
      </c>
      <c r="L1372" s="5" t="str">
        <f>TEXT(Table1[[#This Row],[Order_Date]],"MMM")</f>
        <v>Jul</v>
      </c>
      <c r="M1372" s="5" t="str">
        <f>IF(Table1[[#This Row],[Profit]]&gt;=1000,"Excellent",IF(Table1[[#This Row],[Profit]]&gt;=500,"Good", IF(Table1[[#This Row],[Profit]]&lt;500,"Low")))</f>
        <v>Good</v>
      </c>
      <c r="N1372" s="7" t="str">
        <f>TEXT(Table1[[#This Row],[Order_Date]],"YYY")</f>
        <v>2025</v>
      </c>
    </row>
    <row r="1373" spans="1:14" x14ac:dyDescent="0.3">
      <c r="A1373" s="4">
        <v>45857</v>
      </c>
      <c r="B1373" s="5" t="s">
        <v>16</v>
      </c>
      <c r="C1373" s="5" t="s">
        <v>5</v>
      </c>
      <c r="D1373" s="23">
        <v>1500.28</v>
      </c>
      <c r="E1373" s="23">
        <v>501.62</v>
      </c>
      <c r="F1373" s="23">
        <v>998.66</v>
      </c>
      <c r="G1373" s="5" t="s">
        <v>2</v>
      </c>
      <c r="H1373" s="5" t="s">
        <v>15</v>
      </c>
      <c r="I1373" s="5" t="s">
        <v>11</v>
      </c>
      <c r="J1373" s="6">
        <f>Table1[[#This Row],[Profit]]/Table1[[#This Row],[Sales]]</f>
        <v>0.66564907883861679</v>
      </c>
      <c r="K1373" s="5" t="str">
        <f t="shared" si="21"/>
        <v>Medium</v>
      </c>
      <c r="L1373" s="5" t="str">
        <f>TEXT(Table1[[#This Row],[Order_Date]],"MMM")</f>
        <v>Jul</v>
      </c>
      <c r="M1373" s="5" t="str">
        <f>IF(Table1[[#This Row],[Profit]]&gt;=1000,"Excellent",IF(Table1[[#This Row],[Profit]]&gt;=500,"Good", IF(Table1[[#This Row],[Profit]]&lt;500,"Low")))</f>
        <v>Good</v>
      </c>
      <c r="N1373" s="7" t="str">
        <f>TEXT(Table1[[#This Row],[Order_Date]],"YYY")</f>
        <v>2025</v>
      </c>
    </row>
    <row r="1374" spans="1:14" x14ac:dyDescent="0.3">
      <c r="A1374" s="4">
        <v>45858</v>
      </c>
      <c r="B1374" s="5" t="s">
        <v>18</v>
      </c>
      <c r="C1374" s="5" t="s">
        <v>26</v>
      </c>
      <c r="D1374" s="23">
        <v>252.31</v>
      </c>
      <c r="E1374" s="23">
        <v>80.290000000000006</v>
      </c>
      <c r="F1374" s="23">
        <v>172.02</v>
      </c>
      <c r="G1374" s="5" t="s">
        <v>32</v>
      </c>
      <c r="H1374" s="5" t="s">
        <v>15</v>
      </c>
      <c r="I1374" s="5" t="s">
        <v>27</v>
      </c>
      <c r="J1374" s="6">
        <f>Table1[[#This Row],[Profit]]/Table1[[#This Row],[Sales]]</f>
        <v>0.68178034956997347</v>
      </c>
      <c r="K1374" s="5" t="str">
        <f t="shared" si="21"/>
        <v>Low</v>
      </c>
      <c r="L1374" s="5" t="str">
        <f>TEXT(Table1[[#This Row],[Order_Date]],"MMM")</f>
        <v>Jul</v>
      </c>
      <c r="M1374" s="5" t="str">
        <f>IF(Table1[[#This Row],[Profit]]&gt;=1000,"Excellent",IF(Table1[[#This Row],[Profit]]&gt;=500,"Good", IF(Table1[[#This Row],[Profit]]&lt;500,"Low")))</f>
        <v>Low</v>
      </c>
      <c r="N1374" s="7" t="str">
        <f>TEXT(Table1[[#This Row],[Order_Date]],"YYY")</f>
        <v>2025</v>
      </c>
    </row>
    <row r="1375" spans="1:14" x14ac:dyDescent="0.3">
      <c r="A1375" s="4">
        <v>45858</v>
      </c>
      <c r="B1375" s="5" t="s">
        <v>13</v>
      </c>
      <c r="C1375" s="5" t="s">
        <v>23</v>
      </c>
      <c r="D1375" s="23">
        <v>149.86000000000001</v>
      </c>
      <c r="E1375" s="23">
        <v>46.95</v>
      </c>
      <c r="F1375" s="23">
        <v>102.91</v>
      </c>
      <c r="G1375" s="5" t="s">
        <v>2</v>
      </c>
      <c r="H1375" s="5" t="s">
        <v>21</v>
      </c>
      <c r="I1375" s="5" t="s">
        <v>25</v>
      </c>
      <c r="J1375" s="6">
        <f>Table1[[#This Row],[Profit]]/Table1[[#This Row],[Sales]]</f>
        <v>0.68670759375417045</v>
      </c>
      <c r="K1375" s="5" t="str">
        <f t="shared" si="21"/>
        <v>Low</v>
      </c>
      <c r="L1375" s="5" t="str">
        <f>TEXT(Table1[[#This Row],[Order_Date]],"MMM")</f>
        <v>Jul</v>
      </c>
      <c r="M1375" s="5" t="str">
        <f>IF(Table1[[#This Row],[Profit]]&gt;=1000,"Excellent",IF(Table1[[#This Row],[Profit]]&gt;=500,"Good", IF(Table1[[#This Row],[Profit]]&lt;500,"Low")))</f>
        <v>Low</v>
      </c>
      <c r="N1375" s="7" t="str">
        <f>TEXT(Table1[[#This Row],[Order_Date]],"YYY")</f>
        <v>2025</v>
      </c>
    </row>
    <row r="1376" spans="1:14" x14ac:dyDescent="0.3">
      <c r="A1376" s="4">
        <v>45858</v>
      </c>
      <c r="B1376" s="5" t="s">
        <v>13</v>
      </c>
      <c r="C1376" s="5" t="s">
        <v>5</v>
      </c>
      <c r="D1376" s="23">
        <v>1807.81</v>
      </c>
      <c r="E1376" s="23">
        <v>814.61</v>
      </c>
      <c r="F1376" s="23">
        <v>993.2</v>
      </c>
      <c r="G1376" s="5" t="s">
        <v>32</v>
      </c>
      <c r="H1376" s="5" t="s">
        <v>37</v>
      </c>
      <c r="I1376" s="5" t="s">
        <v>25</v>
      </c>
      <c r="J1376" s="6">
        <f>Table1[[#This Row],[Profit]]/Table1[[#This Row],[Sales]]</f>
        <v>0.54939401817668898</v>
      </c>
      <c r="K1376" s="5" t="str">
        <f t="shared" si="21"/>
        <v>Medium</v>
      </c>
      <c r="L1376" s="5" t="str">
        <f>TEXT(Table1[[#This Row],[Order_Date]],"MMM")</f>
        <v>Jul</v>
      </c>
      <c r="M1376" s="5" t="str">
        <f>IF(Table1[[#This Row],[Profit]]&gt;=1000,"Excellent",IF(Table1[[#This Row],[Profit]]&gt;=500,"Good", IF(Table1[[#This Row],[Profit]]&lt;500,"Low")))</f>
        <v>Good</v>
      </c>
      <c r="N1376" s="7" t="str">
        <f>TEXT(Table1[[#This Row],[Order_Date]],"YYY")</f>
        <v>2025</v>
      </c>
    </row>
    <row r="1377" spans="1:14" x14ac:dyDescent="0.3">
      <c r="A1377" s="4">
        <v>45858</v>
      </c>
      <c r="B1377" s="5" t="s">
        <v>13</v>
      </c>
      <c r="C1377" s="5" t="s">
        <v>26</v>
      </c>
      <c r="D1377" s="23">
        <v>224.69</v>
      </c>
      <c r="E1377" s="23">
        <v>69.180000000000007</v>
      </c>
      <c r="F1377" s="23">
        <v>155.51</v>
      </c>
      <c r="G1377" s="5" t="s">
        <v>2</v>
      </c>
      <c r="H1377" s="5" t="s">
        <v>12</v>
      </c>
      <c r="I1377" s="5" t="s">
        <v>17</v>
      </c>
      <c r="J1377" s="6">
        <f>Table1[[#This Row],[Profit]]/Table1[[#This Row],[Sales]]</f>
        <v>0.69210912813209302</v>
      </c>
      <c r="K1377" s="5" t="str">
        <f t="shared" si="21"/>
        <v>Low</v>
      </c>
      <c r="L1377" s="5" t="str">
        <f>TEXT(Table1[[#This Row],[Order_Date]],"MMM")</f>
        <v>Jul</v>
      </c>
      <c r="M1377" s="5" t="str">
        <f>IF(Table1[[#This Row],[Profit]]&gt;=1000,"Excellent",IF(Table1[[#This Row],[Profit]]&gt;=500,"Good", IF(Table1[[#This Row],[Profit]]&lt;500,"Low")))</f>
        <v>Low</v>
      </c>
      <c r="N1377" s="7" t="str">
        <f>TEXT(Table1[[#This Row],[Order_Date]],"YYY")</f>
        <v>2025</v>
      </c>
    </row>
    <row r="1378" spans="1:14" x14ac:dyDescent="0.3">
      <c r="A1378" s="4">
        <v>45858</v>
      </c>
      <c r="B1378" s="5" t="s">
        <v>13</v>
      </c>
      <c r="C1378" s="5" t="s">
        <v>14</v>
      </c>
      <c r="D1378" s="23">
        <v>175.43</v>
      </c>
      <c r="E1378" s="23">
        <v>69.31</v>
      </c>
      <c r="F1378" s="23">
        <v>106.12</v>
      </c>
      <c r="G1378" s="5" t="s">
        <v>9</v>
      </c>
      <c r="H1378" s="5" t="s">
        <v>29</v>
      </c>
      <c r="I1378" s="5" t="s">
        <v>27</v>
      </c>
      <c r="J1378" s="6">
        <f>Table1[[#This Row],[Profit]]/Table1[[#This Row],[Sales]]</f>
        <v>0.60491364076839771</v>
      </c>
      <c r="K1378" s="5" t="str">
        <f t="shared" si="21"/>
        <v>Low</v>
      </c>
      <c r="L1378" s="5" t="str">
        <f>TEXT(Table1[[#This Row],[Order_Date]],"MMM")</f>
        <v>Jul</v>
      </c>
      <c r="M1378" s="5" t="str">
        <f>IF(Table1[[#This Row],[Profit]]&gt;=1000,"Excellent",IF(Table1[[#This Row],[Profit]]&gt;=500,"Good", IF(Table1[[#This Row],[Profit]]&lt;500,"Low")))</f>
        <v>Low</v>
      </c>
      <c r="N1378" s="7" t="str">
        <f>TEXT(Table1[[#This Row],[Order_Date]],"YYY")</f>
        <v>2025</v>
      </c>
    </row>
    <row r="1379" spans="1:14" x14ac:dyDescent="0.3">
      <c r="A1379" s="4">
        <v>45858</v>
      </c>
      <c r="B1379" s="5" t="s">
        <v>18</v>
      </c>
      <c r="C1379" s="5" t="s">
        <v>19</v>
      </c>
      <c r="D1379" s="23">
        <v>130.05000000000001</v>
      </c>
      <c r="E1379" s="23">
        <v>34.83</v>
      </c>
      <c r="F1379" s="23">
        <v>95.22</v>
      </c>
      <c r="G1379" s="5" t="s">
        <v>6</v>
      </c>
      <c r="H1379" s="5" t="s">
        <v>7</v>
      </c>
      <c r="I1379" s="5" t="s">
        <v>27</v>
      </c>
      <c r="J1379" s="6">
        <f>Table1[[#This Row],[Profit]]/Table1[[#This Row],[Sales]]</f>
        <v>0.73217993079584764</v>
      </c>
      <c r="K1379" s="5" t="str">
        <f t="shared" si="21"/>
        <v>Low</v>
      </c>
      <c r="L1379" s="5" t="str">
        <f>TEXT(Table1[[#This Row],[Order_Date]],"MMM")</f>
        <v>Jul</v>
      </c>
      <c r="M1379" s="5" t="str">
        <f>IF(Table1[[#This Row],[Profit]]&gt;=1000,"Excellent",IF(Table1[[#This Row],[Profit]]&gt;=500,"Good", IF(Table1[[#This Row],[Profit]]&lt;500,"Low")))</f>
        <v>Low</v>
      </c>
      <c r="N1379" s="7" t="str">
        <f>TEXT(Table1[[#This Row],[Order_Date]],"YYY")</f>
        <v>2025</v>
      </c>
    </row>
    <row r="1380" spans="1:14" x14ac:dyDescent="0.3">
      <c r="A1380" s="4">
        <v>45859</v>
      </c>
      <c r="B1380" s="5" t="s">
        <v>16</v>
      </c>
      <c r="C1380" s="5" t="s">
        <v>31</v>
      </c>
      <c r="D1380" s="23">
        <v>103</v>
      </c>
      <c r="E1380" s="23">
        <v>39.9</v>
      </c>
      <c r="F1380" s="23">
        <v>63.1</v>
      </c>
      <c r="G1380" s="5" t="s">
        <v>20</v>
      </c>
      <c r="H1380" s="5" t="s">
        <v>35</v>
      </c>
      <c r="I1380" s="5" t="s">
        <v>17</v>
      </c>
      <c r="J1380" s="6">
        <f>Table1[[#This Row],[Profit]]/Table1[[#This Row],[Sales]]</f>
        <v>0.61262135922330097</v>
      </c>
      <c r="K1380" s="5" t="str">
        <f t="shared" si="21"/>
        <v>Low</v>
      </c>
      <c r="L1380" s="5" t="str">
        <f>TEXT(Table1[[#This Row],[Order_Date]],"MMM")</f>
        <v>Jul</v>
      </c>
      <c r="M1380" s="5" t="str">
        <f>IF(Table1[[#This Row],[Profit]]&gt;=1000,"Excellent",IF(Table1[[#This Row],[Profit]]&gt;=500,"Good", IF(Table1[[#This Row],[Profit]]&lt;500,"Low")))</f>
        <v>Low</v>
      </c>
      <c r="N1380" s="7" t="str">
        <f>TEXT(Table1[[#This Row],[Order_Date]],"YYY")</f>
        <v>2025</v>
      </c>
    </row>
    <row r="1381" spans="1:14" x14ac:dyDescent="0.3">
      <c r="A1381" s="4">
        <v>45859</v>
      </c>
      <c r="B1381" s="5" t="s">
        <v>8</v>
      </c>
      <c r="C1381" s="5" t="s">
        <v>26</v>
      </c>
      <c r="D1381" s="23">
        <v>552.1</v>
      </c>
      <c r="E1381" s="23">
        <v>197.06</v>
      </c>
      <c r="F1381" s="23">
        <v>355.04</v>
      </c>
      <c r="G1381" s="5" t="s">
        <v>32</v>
      </c>
      <c r="H1381" s="5" t="s">
        <v>15</v>
      </c>
      <c r="I1381" s="5" t="s">
        <v>27</v>
      </c>
      <c r="J1381" s="6">
        <f>Table1[[#This Row],[Profit]]/Table1[[#This Row],[Sales]]</f>
        <v>0.64307190726317698</v>
      </c>
      <c r="K1381" s="5" t="str">
        <f t="shared" si="21"/>
        <v>Low</v>
      </c>
      <c r="L1381" s="5" t="str">
        <f>TEXT(Table1[[#This Row],[Order_Date]],"MMM")</f>
        <v>Jul</v>
      </c>
      <c r="M1381" s="5" t="str">
        <f>IF(Table1[[#This Row],[Profit]]&gt;=1000,"Excellent",IF(Table1[[#This Row],[Profit]]&gt;=500,"Good", IF(Table1[[#This Row],[Profit]]&lt;500,"Low")))</f>
        <v>Low</v>
      </c>
      <c r="N1381" s="7" t="str">
        <f>TEXT(Table1[[#This Row],[Order_Date]],"YYY")</f>
        <v>2025</v>
      </c>
    </row>
    <row r="1382" spans="1:14" x14ac:dyDescent="0.3">
      <c r="A1382" s="4">
        <v>45860</v>
      </c>
      <c r="B1382" s="5" t="s">
        <v>13</v>
      </c>
      <c r="C1382" s="5" t="s">
        <v>14</v>
      </c>
      <c r="D1382" s="23">
        <v>84.08</v>
      </c>
      <c r="E1382" s="23">
        <v>39.659999999999997</v>
      </c>
      <c r="F1382" s="23">
        <v>44.42</v>
      </c>
      <c r="G1382" s="5" t="s">
        <v>9</v>
      </c>
      <c r="H1382" s="5" t="s">
        <v>33</v>
      </c>
      <c r="I1382" s="5" t="s">
        <v>11</v>
      </c>
      <c r="J1382" s="6">
        <f>Table1[[#This Row],[Profit]]/Table1[[#This Row],[Sales]]</f>
        <v>0.52830637488106569</v>
      </c>
      <c r="K1382" s="5" t="str">
        <f t="shared" si="21"/>
        <v>Low</v>
      </c>
      <c r="L1382" s="5" t="str">
        <f>TEXT(Table1[[#This Row],[Order_Date]],"MMM")</f>
        <v>Jul</v>
      </c>
      <c r="M1382" s="5" t="str">
        <f>IF(Table1[[#This Row],[Profit]]&gt;=1000,"Excellent",IF(Table1[[#This Row],[Profit]]&gt;=500,"Good", IF(Table1[[#This Row],[Profit]]&lt;500,"Low")))</f>
        <v>Low</v>
      </c>
      <c r="N1382" s="7" t="str">
        <f>TEXT(Table1[[#This Row],[Order_Date]],"YYY")</f>
        <v>2025</v>
      </c>
    </row>
    <row r="1383" spans="1:14" x14ac:dyDescent="0.3">
      <c r="A1383" s="4">
        <v>45861</v>
      </c>
      <c r="B1383" s="5" t="s">
        <v>0</v>
      </c>
      <c r="C1383" s="5" t="s">
        <v>19</v>
      </c>
      <c r="D1383" s="23">
        <v>101.24</v>
      </c>
      <c r="E1383" s="23">
        <v>31.8</v>
      </c>
      <c r="F1383" s="23">
        <v>69.44</v>
      </c>
      <c r="G1383" s="5" t="s">
        <v>32</v>
      </c>
      <c r="H1383" s="5" t="s">
        <v>21</v>
      </c>
      <c r="I1383" s="5" t="s">
        <v>25</v>
      </c>
      <c r="J1383" s="6">
        <f>Table1[[#This Row],[Profit]]/Table1[[#This Row],[Sales]]</f>
        <v>0.6858949032003161</v>
      </c>
      <c r="K1383" s="5" t="str">
        <f t="shared" si="21"/>
        <v>Low</v>
      </c>
      <c r="L1383" s="5" t="str">
        <f>TEXT(Table1[[#This Row],[Order_Date]],"MMM")</f>
        <v>Jul</v>
      </c>
      <c r="M1383" s="5" t="str">
        <f>IF(Table1[[#This Row],[Profit]]&gt;=1000,"Excellent",IF(Table1[[#This Row],[Profit]]&gt;=500,"Good", IF(Table1[[#This Row],[Profit]]&lt;500,"Low")))</f>
        <v>Low</v>
      </c>
      <c r="N1383" s="7" t="str">
        <f>TEXT(Table1[[#This Row],[Order_Date]],"YYY")</f>
        <v>2025</v>
      </c>
    </row>
    <row r="1384" spans="1:14" x14ac:dyDescent="0.3">
      <c r="A1384" s="4">
        <v>45862</v>
      </c>
      <c r="B1384" s="5" t="s">
        <v>16</v>
      </c>
      <c r="C1384" s="5" t="s">
        <v>5</v>
      </c>
      <c r="D1384" s="23">
        <v>2480.3200000000002</v>
      </c>
      <c r="E1384" s="23">
        <v>1043</v>
      </c>
      <c r="F1384" s="23">
        <v>1437.32</v>
      </c>
      <c r="G1384" s="5" t="s">
        <v>9</v>
      </c>
      <c r="H1384" s="5" t="s">
        <v>21</v>
      </c>
      <c r="I1384" s="5" t="s">
        <v>4</v>
      </c>
      <c r="J1384" s="6">
        <f>Table1[[#This Row],[Profit]]/Table1[[#This Row],[Sales]]</f>
        <v>0.57948974325893432</v>
      </c>
      <c r="K1384" s="5" t="str">
        <f t="shared" si="21"/>
        <v>High</v>
      </c>
      <c r="L1384" s="5" t="str">
        <f>TEXT(Table1[[#This Row],[Order_Date]],"MMM")</f>
        <v>Jul</v>
      </c>
      <c r="M1384" s="5" t="str">
        <f>IF(Table1[[#This Row],[Profit]]&gt;=1000,"Excellent",IF(Table1[[#This Row],[Profit]]&gt;=500,"Good", IF(Table1[[#This Row],[Profit]]&lt;500,"Low")))</f>
        <v>Excellent</v>
      </c>
      <c r="N1384" s="7" t="str">
        <f>TEXT(Table1[[#This Row],[Order_Date]],"YYY")</f>
        <v>2025</v>
      </c>
    </row>
    <row r="1385" spans="1:14" x14ac:dyDescent="0.3">
      <c r="A1385" s="4">
        <v>45862</v>
      </c>
      <c r="B1385" s="5" t="s">
        <v>0</v>
      </c>
      <c r="C1385" s="5" t="s">
        <v>26</v>
      </c>
      <c r="D1385" s="23">
        <v>407.3</v>
      </c>
      <c r="E1385" s="23">
        <v>182.27</v>
      </c>
      <c r="F1385" s="23">
        <v>225.03</v>
      </c>
      <c r="G1385" s="5" t="s">
        <v>2</v>
      </c>
      <c r="H1385" s="5" t="s">
        <v>37</v>
      </c>
      <c r="I1385" s="5" t="s">
        <v>22</v>
      </c>
      <c r="J1385" s="6">
        <f>Table1[[#This Row],[Profit]]/Table1[[#This Row],[Sales]]</f>
        <v>0.55249202062361891</v>
      </c>
      <c r="K1385" s="5" t="str">
        <f t="shared" si="21"/>
        <v>Low</v>
      </c>
      <c r="L1385" s="5" t="str">
        <f>TEXT(Table1[[#This Row],[Order_Date]],"MMM")</f>
        <v>Jul</v>
      </c>
      <c r="M1385" s="5" t="str">
        <f>IF(Table1[[#This Row],[Profit]]&gt;=1000,"Excellent",IF(Table1[[#This Row],[Profit]]&gt;=500,"Good", IF(Table1[[#This Row],[Profit]]&lt;500,"Low")))</f>
        <v>Low</v>
      </c>
      <c r="N1385" s="7" t="str">
        <f>TEXT(Table1[[#This Row],[Order_Date]],"YYY")</f>
        <v>2025</v>
      </c>
    </row>
    <row r="1386" spans="1:14" x14ac:dyDescent="0.3">
      <c r="A1386" s="4">
        <v>45862</v>
      </c>
      <c r="B1386" s="5" t="s">
        <v>16</v>
      </c>
      <c r="C1386" s="5" t="s">
        <v>1</v>
      </c>
      <c r="D1386" s="23">
        <v>1088.6600000000001</v>
      </c>
      <c r="E1386" s="23">
        <v>632.02</v>
      </c>
      <c r="F1386" s="23">
        <v>456.64</v>
      </c>
      <c r="G1386" s="5" t="s">
        <v>20</v>
      </c>
      <c r="H1386" s="5" t="s">
        <v>34</v>
      </c>
      <c r="I1386" s="5" t="s">
        <v>22</v>
      </c>
      <c r="J1386" s="6">
        <f>Table1[[#This Row],[Profit]]/Table1[[#This Row],[Sales]]</f>
        <v>0.4194514357099553</v>
      </c>
      <c r="K1386" s="5" t="str">
        <f t="shared" si="21"/>
        <v>Low</v>
      </c>
      <c r="L1386" s="5" t="str">
        <f>TEXT(Table1[[#This Row],[Order_Date]],"MMM")</f>
        <v>Jul</v>
      </c>
      <c r="M1386" s="5" t="str">
        <f>IF(Table1[[#This Row],[Profit]]&gt;=1000,"Excellent",IF(Table1[[#This Row],[Profit]]&gt;=500,"Good", IF(Table1[[#This Row],[Profit]]&lt;500,"Low")))</f>
        <v>Low</v>
      </c>
      <c r="N1386" s="7" t="str">
        <f>TEXT(Table1[[#This Row],[Order_Date]],"YYY")</f>
        <v>2025</v>
      </c>
    </row>
    <row r="1387" spans="1:14" x14ac:dyDescent="0.3">
      <c r="A1387" s="4">
        <v>45863</v>
      </c>
      <c r="B1387" s="5" t="s">
        <v>8</v>
      </c>
      <c r="C1387" s="5" t="s">
        <v>23</v>
      </c>
      <c r="D1387" s="23">
        <v>373.28</v>
      </c>
      <c r="E1387" s="23">
        <v>164.92</v>
      </c>
      <c r="F1387" s="23">
        <v>208.36</v>
      </c>
      <c r="G1387" s="5" t="s">
        <v>32</v>
      </c>
      <c r="H1387" s="5" t="s">
        <v>29</v>
      </c>
      <c r="I1387" s="5" t="s">
        <v>27</v>
      </c>
      <c r="J1387" s="6">
        <f>Table1[[#This Row],[Profit]]/Table1[[#This Row],[Sales]]</f>
        <v>0.55818688384054871</v>
      </c>
      <c r="K1387" s="5" t="str">
        <f t="shared" si="21"/>
        <v>Low</v>
      </c>
      <c r="L1387" s="5" t="str">
        <f>TEXT(Table1[[#This Row],[Order_Date]],"MMM")</f>
        <v>Jul</v>
      </c>
      <c r="M1387" s="5" t="str">
        <f>IF(Table1[[#This Row],[Profit]]&gt;=1000,"Excellent",IF(Table1[[#This Row],[Profit]]&gt;=500,"Good", IF(Table1[[#This Row],[Profit]]&lt;500,"Low")))</f>
        <v>Low</v>
      </c>
      <c r="N1387" s="7" t="str">
        <f>TEXT(Table1[[#This Row],[Order_Date]],"YYY")</f>
        <v>2025</v>
      </c>
    </row>
    <row r="1388" spans="1:14" x14ac:dyDescent="0.3">
      <c r="A1388" s="4">
        <v>45863</v>
      </c>
      <c r="B1388" s="5" t="s">
        <v>18</v>
      </c>
      <c r="C1388" s="5" t="s">
        <v>5</v>
      </c>
      <c r="D1388" s="23">
        <v>208.58</v>
      </c>
      <c r="E1388" s="23">
        <v>102.16</v>
      </c>
      <c r="F1388" s="23">
        <v>106.42</v>
      </c>
      <c r="G1388" s="5" t="s">
        <v>20</v>
      </c>
      <c r="H1388" s="5" t="s">
        <v>34</v>
      </c>
      <c r="I1388" s="5" t="s">
        <v>27</v>
      </c>
      <c r="J1388" s="6">
        <f>Table1[[#This Row],[Profit]]/Table1[[#This Row],[Sales]]</f>
        <v>0.51021190909962599</v>
      </c>
      <c r="K1388" s="5" t="str">
        <f t="shared" si="21"/>
        <v>Low</v>
      </c>
      <c r="L1388" s="5" t="str">
        <f>TEXT(Table1[[#This Row],[Order_Date]],"MMM")</f>
        <v>Jul</v>
      </c>
      <c r="M1388" s="5" t="str">
        <f>IF(Table1[[#This Row],[Profit]]&gt;=1000,"Excellent",IF(Table1[[#This Row],[Profit]]&gt;=500,"Good", IF(Table1[[#This Row],[Profit]]&lt;500,"Low")))</f>
        <v>Low</v>
      </c>
      <c r="N1388" s="7" t="str">
        <f>TEXT(Table1[[#This Row],[Order_Date]],"YYY")</f>
        <v>2025</v>
      </c>
    </row>
    <row r="1389" spans="1:14" x14ac:dyDescent="0.3">
      <c r="A1389" s="4">
        <v>45863</v>
      </c>
      <c r="B1389" s="5" t="s">
        <v>18</v>
      </c>
      <c r="C1389" s="5" t="s">
        <v>5</v>
      </c>
      <c r="D1389" s="23">
        <v>473.72</v>
      </c>
      <c r="E1389" s="23">
        <v>235.86</v>
      </c>
      <c r="F1389" s="23">
        <v>237.86</v>
      </c>
      <c r="G1389" s="5" t="s">
        <v>20</v>
      </c>
      <c r="H1389" s="5" t="s">
        <v>35</v>
      </c>
      <c r="I1389" s="5" t="s">
        <v>22</v>
      </c>
      <c r="J1389" s="6">
        <f>Table1[[#This Row],[Profit]]/Table1[[#This Row],[Sales]]</f>
        <v>0.50211095161698893</v>
      </c>
      <c r="K1389" s="5" t="str">
        <f t="shared" si="21"/>
        <v>Low</v>
      </c>
      <c r="L1389" s="5" t="str">
        <f>TEXT(Table1[[#This Row],[Order_Date]],"MMM")</f>
        <v>Jul</v>
      </c>
      <c r="M1389" s="5" t="str">
        <f>IF(Table1[[#This Row],[Profit]]&gt;=1000,"Excellent",IF(Table1[[#This Row],[Profit]]&gt;=500,"Good", IF(Table1[[#This Row],[Profit]]&lt;500,"Low")))</f>
        <v>Low</v>
      </c>
      <c r="N1389" s="7" t="str">
        <f>TEXT(Table1[[#This Row],[Order_Date]],"YYY")</f>
        <v>2025</v>
      </c>
    </row>
    <row r="1390" spans="1:14" x14ac:dyDescent="0.3">
      <c r="A1390" s="4">
        <v>45864</v>
      </c>
      <c r="B1390" s="5" t="s">
        <v>18</v>
      </c>
      <c r="C1390" s="5" t="s">
        <v>1</v>
      </c>
      <c r="D1390" s="23">
        <v>542.76</v>
      </c>
      <c r="E1390" s="23">
        <v>256.05</v>
      </c>
      <c r="F1390" s="23">
        <v>286.70999999999998</v>
      </c>
      <c r="G1390" s="5" t="s">
        <v>2</v>
      </c>
      <c r="H1390" s="5" t="s">
        <v>34</v>
      </c>
      <c r="I1390" s="5" t="s">
        <v>27</v>
      </c>
      <c r="J1390" s="6">
        <f>Table1[[#This Row],[Profit]]/Table1[[#This Row],[Sales]]</f>
        <v>0.52824452796816268</v>
      </c>
      <c r="K1390" s="5" t="str">
        <f t="shared" si="21"/>
        <v>Low</v>
      </c>
      <c r="L1390" s="5" t="str">
        <f>TEXT(Table1[[#This Row],[Order_Date]],"MMM")</f>
        <v>Jul</v>
      </c>
      <c r="M1390" s="5" t="str">
        <f>IF(Table1[[#This Row],[Profit]]&gt;=1000,"Excellent",IF(Table1[[#This Row],[Profit]]&gt;=500,"Good", IF(Table1[[#This Row],[Profit]]&lt;500,"Low")))</f>
        <v>Low</v>
      </c>
      <c r="N1390" s="7" t="str">
        <f>TEXT(Table1[[#This Row],[Order_Date]],"YYY")</f>
        <v>2025</v>
      </c>
    </row>
    <row r="1391" spans="1:14" x14ac:dyDescent="0.3">
      <c r="A1391" s="4">
        <v>45865</v>
      </c>
      <c r="B1391" s="5" t="s">
        <v>18</v>
      </c>
      <c r="C1391" s="5" t="s">
        <v>5</v>
      </c>
      <c r="D1391" s="23">
        <v>1658.95</v>
      </c>
      <c r="E1391" s="23">
        <v>746.66</v>
      </c>
      <c r="F1391" s="23">
        <v>912.29</v>
      </c>
      <c r="G1391" s="5" t="s">
        <v>32</v>
      </c>
      <c r="H1391" s="5" t="s">
        <v>24</v>
      </c>
      <c r="I1391" s="5" t="s">
        <v>11</v>
      </c>
      <c r="J1391" s="6">
        <f>Table1[[#This Row],[Profit]]/Table1[[#This Row],[Sales]]</f>
        <v>0.54992013020283914</v>
      </c>
      <c r="K1391" s="5" t="str">
        <f t="shared" si="21"/>
        <v>Medium</v>
      </c>
      <c r="L1391" s="5" t="str">
        <f>TEXT(Table1[[#This Row],[Order_Date]],"MMM")</f>
        <v>Jul</v>
      </c>
      <c r="M1391" s="5" t="str">
        <f>IF(Table1[[#This Row],[Profit]]&gt;=1000,"Excellent",IF(Table1[[#This Row],[Profit]]&gt;=500,"Good", IF(Table1[[#This Row],[Profit]]&lt;500,"Low")))</f>
        <v>Good</v>
      </c>
      <c r="N1391" s="7" t="str">
        <f>TEXT(Table1[[#This Row],[Order_Date]],"YYY")</f>
        <v>2025</v>
      </c>
    </row>
    <row r="1392" spans="1:14" x14ac:dyDescent="0.3">
      <c r="A1392" s="4">
        <v>45866</v>
      </c>
      <c r="B1392" s="5" t="s">
        <v>13</v>
      </c>
      <c r="C1392" s="5" t="s">
        <v>31</v>
      </c>
      <c r="D1392" s="23">
        <v>120.99</v>
      </c>
      <c r="E1392" s="23">
        <v>28.71</v>
      </c>
      <c r="F1392" s="23">
        <v>92.28</v>
      </c>
      <c r="G1392" s="5" t="s">
        <v>9</v>
      </c>
      <c r="H1392" s="5" t="s">
        <v>7</v>
      </c>
      <c r="I1392" s="5" t="s">
        <v>11</v>
      </c>
      <c r="J1392" s="6">
        <f>Table1[[#This Row],[Profit]]/Table1[[#This Row],[Sales]]</f>
        <v>0.76270766179023064</v>
      </c>
      <c r="K1392" s="5" t="str">
        <f t="shared" si="21"/>
        <v>Low</v>
      </c>
      <c r="L1392" s="5" t="str">
        <f>TEXT(Table1[[#This Row],[Order_Date]],"MMM")</f>
        <v>Jul</v>
      </c>
      <c r="M1392" s="5" t="str">
        <f>IF(Table1[[#This Row],[Profit]]&gt;=1000,"Excellent",IF(Table1[[#This Row],[Profit]]&gt;=500,"Good", IF(Table1[[#This Row],[Profit]]&lt;500,"Low")))</f>
        <v>Low</v>
      </c>
      <c r="N1392" s="7" t="str">
        <f>TEXT(Table1[[#This Row],[Order_Date]],"YYY")</f>
        <v>2025</v>
      </c>
    </row>
    <row r="1393" spans="1:14" x14ac:dyDescent="0.3">
      <c r="A1393" s="4">
        <v>45867</v>
      </c>
      <c r="B1393" s="5" t="s">
        <v>16</v>
      </c>
      <c r="C1393" s="5" t="s">
        <v>14</v>
      </c>
      <c r="D1393" s="23">
        <v>195.44</v>
      </c>
      <c r="E1393" s="23">
        <v>93.72</v>
      </c>
      <c r="F1393" s="23">
        <v>101.72</v>
      </c>
      <c r="G1393" s="5" t="s">
        <v>2</v>
      </c>
      <c r="H1393" s="5" t="s">
        <v>28</v>
      </c>
      <c r="I1393" s="5" t="s">
        <v>4</v>
      </c>
      <c r="J1393" s="6">
        <f>Table1[[#This Row],[Profit]]/Table1[[#This Row],[Sales]]</f>
        <v>0.52046663937781412</v>
      </c>
      <c r="K1393" s="5" t="str">
        <f t="shared" si="21"/>
        <v>Low</v>
      </c>
      <c r="L1393" s="5" t="str">
        <f>TEXT(Table1[[#This Row],[Order_Date]],"MMM")</f>
        <v>Jul</v>
      </c>
      <c r="M1393" s="5" t="str">
        <f>IF(Table1[[#This Row],[Profit]]&gt;=1000,"Excellent",IF(Table1[[#This Row],[Profit]]&gt;=500,"Good", IF(Table1[[#This Row],[Profit]]&lt;500,"Low")))</f>
        <v>Low</v>
      </c>
      <c r="N1393" s="7" t="str">
        <f>TEXT(Table1[[#This Row],[Order_Date]],"YYY")</f>
        <v>2025</v>
      </c>
    </row>
    <row r="1394" spans="1:14" x14ac:dyDescent="0.3">
      <c r="A1394" s="4">
        <v>45867</v>
      </c>
      <c r="B1394" s="5" t="s">
        <v>16</v>
      </c>
      <c r="C1394" s="5" t="s">
        <v>19</v>
      </c>
      <c r="D1394" s="23">
        <v>112.08</v>
      </c>
      <c r="E1394" s="23">
        <v>45.37</v>
      </c>
      <c r="F1394" s="23">
        <v>66.709999999999994</v>
      </c>
      <c r="G1394" s="5" t="s">
        <v>9</v>
      </c>
      <c r="H1394" s="5" t="s">
        <v>12</v>
      </c>
      <c r="I1394" s="5" t="s">
        <v>17</v>
      </c>
      <c r="J1394" s="6">
        <f>Table1[[#This Row],[Profit]]/Table1[[#This Row],[Sales]]</f>
        <v>0.59519985724482505</v>
      </c>
      <c r="K1394" s="5" t="str">
        <f t="shared" si="21"/>
        <v>Low</v>
      </c>
      <c r="L1394" s="5" t="str">
        <f>TEXT(Table1[[#This Row],[Order_Date]],"MMM")</f>
        <v>Jul</v>
      </c>
      <c r="M1394" s="5" t="str">
        <f>IF(Table1[[#This Row],[Profit]]&gt;=1000,"Excellent",IF(Table1[[#This Row],[Profit]]&gt;=500,"Good", IF(Table1[[#This Row],[Profit]]&lt;500,"Low")))</f>
        <v>Low</v>
      </c>
      <c r="N1394" s="7" t="str">
        <f>TEXT(Table1[[#This Row],[Order_Date]],"YYY")</f>
        <v>2025</v>
      </c>
    </row>
    <row r="1395" spans="1:14" x14ac:dyDescent="0.3">
      <c r="A1395" s="4">
        <v>45867</v>
      </c>
      <c r="B1395" s="5" t="s">
        <v>8</v>
      </c>
      <c r="C1395" s="5" t="s">
        <v>14</v>
      </c>
      <c r="D1395" s="23">
        <v>326.07</v>
      </c>
      <c r="E1395" s="23">
        <v>167.6</v>
      </c>
      <c r="F1395" s="23">
        <v>158.47</v>
      </c>
      <c r="G1395" s="5" t="s">
        <v>2</v>
      </c>
      <c r="H1395" s="5" t="s">
        <v>21</v>
      </c>
      <c r="I1395" s="5" t="s">
        <v>11</v>
      </c>
      <c r="J1395" s="6">
        <f>Table1[[#This Row],[Profit]]/Table1[[#This Row],[Sales]]</f>
        <v>0.48599993866347718</v>
      </c>
      <c r="K1395" s="5" t="str">
        <f t="shared" si="21"/>
        <v>Low</v>
      </c>
      <c r="L1395" s="5" t="str">
        <f>TEXT(Table1[[#This Row],[Order_Date]],"MMM")</f>
        <v>Jul</v>
      </c>
      <c r="M1395" s="5" t="str">
        <f>IF(Table1[[#This Row],[Profit]]&gt;=1000,"Excellent",IF(Table1[[#This Row],[Profit]]&gt;=500,"Good", IF(Table1[[#This Row],[Profit]]&lt;500,"Low")))</f>
        <v>Low</v>
      </c>
      <c r="N1395" s="7" t="str">
        <f>TEXT(Table1[[#This Row],[Order_Date]],"YYY")</f>
        <v>2025</v>
      </c>
    </row>
    <row r="1396" spans="1:14" x14ac:dyDescent="0.3">
      <c r="A1396" s="4">
        <v>45868</v>
      </c>
      <c r="B1396" s="5" t="s">
        <v>13</v>
      </c>
      <c r="C1396" s="5" t="s">
        <v>1</v>
      </c>
      <c r="D1396" s="23">
        <v>208.93</v>
      </c>
      <c r="E1396" s="23">
        <v>124.49</v>
      </c>
      <c r="F1396" s="23">
        <v>84.44</v>
      </c>
      <c r="G1396" s="5" t="s">
        <v>6</v>
      </c>
      <c r="H1396" s="5" t="s">
        <v>36</v>
      </c>
      <c r="I1396" s="5" t="s">
        <v>11</v>
      </c>
      <c r="J1396" s="6">
        <f>Table1[[#This Row],[Profit]]/Table1[[#This Row],[Sales]]</f>
        <v>0.40415450150768195</v>
      </c>
      <c r="K1396" s="5" t="str">
        <f t="shared" si="21"/>
        <v>Low</v>
      </c>
      <c r="L1396" s="5" t="str">
        <f>TEXT(Table1[[#This Row],[Order_Date]],"MMM")</f>
        <v>Jul</v>
      </c>
      <c r="M1396" s="5" t="str">
        <f>IF(Table1[[#This Row],[Profit]]&gt;=1000,"Excellent",IF(Table1[[#This Row],[Profit]]&gt;=500,"Good", IF(Table1[[#This Row],[Profit]]&lt;500,"Low")))</f>
        <v>Low</v>
      </c>
      <c r="N1396" s="7" t="str">
        <f>TEXT(Table1[[#This Row],[Order_Date]],"YYY")</f>
        <v>2025</v>
      </c>
    </row>
    <row r="1397" spans="1:14" x14ac:dyDescent="0.3">
      <c r="A1397" s="4">
        <v>45868</v>
      </c>
      <c r="B1397" s="5" t="s">
        <v>8</v>
      </c>
      <c r="C1397" s="5" t="s">
        <v>19</v>
      </c>
      <c r="D1397" s="23">
        <v>74.819999999999993</v>
      </c>
      <c r="E1397" s="23">
        <v>21.79</v>
      </c>
      <c r="F1397" s="23">
        <v>53.03</v>
      </c>
      <c r="G1397" s="5" t="s">
        <v>9</v>
      </c>
      <c r="H1397" s="5" t="s">
        <v>33</v>
      </c>
      <c r="I1397" s="5" t="s">
        <v>11</v>
      </c>
      <c r="J1397" s="6">
        <f>Table1[[#This Row],[Profit]]/Table1[[#This Row],[Sales]]</f>
        <v>0.7087677091686716</v>
      </c>
      <c r="K1397" s="5" t="str">
        <f t="shared" si="21"/>
        <v>Low</v>
      </c>
      <c r="L1397" s="5" t="str">
        <f>TEXT(Table1[[#This Row],[Order_Date]],"MMM")</f>
        <v>Jul</v>
      </c>
      <c r="M1397" s="5" t="str">
        <f>IF(Table1[[#This Row],[Profit]]&gt;=1000,"Excellent",IF(Table1[[#This Row],[Profit]]&gt;=500,"Good", IF(Table1[[#This Row],[Profit]]&lt;500,"Low")))</f>
        <v>Low</v>
      </c>
      <c r="N1397" s="7" t="str">
        <f>TEXT(Table1[[#This Row],[Order_Date]],"YYY")</f>
        <v>2025</v>
      </c>
    </row>
    <row r="1398" spans="1:14" x14ac:dyDescent="0.3">
      <c r="A1398" s="4">
        <v>45870</v>
      </c>
      <c r="B1398" s="5" t="s">
        <v>16</v>
      </c>
      <c r="C1398" s="5" t="s">
        <v>5</v>
      </c>
      <c r="D1398" s="23">
        <v>196.68</v>
      </c>
      <c r="E1398" s="23">
        <v>92.31</v>
      </c>
      <c r="F1398" s="23">
        <v>104.37</v>
      </c>
      <c r="G1398" s="5" t="s">
        <v>6</v>
      </c>
      <c r="H1398" s="5" t="s">
        <v>12</v>
      </c>
      <c r="I1398" s="5" t="s">
        <v>27</v>
      </c>
      <c r="J1398" s="6">
        <f>Table1[[#This Row],[Profit]]/Table1[[#This Row],[Sales]]</f>
        <v>0.53065893837705924</v>
      </c>
      <c r="K1398" s="5" t="str">
        <f t="shared" si="21"/>
        <v>Low</v>
      </c>
      <c r="L1398" s="5" t="str">
        <f>TEXT(Table1[[#This Row],[Order_Date]],"MMM")</f>
        <v>Aug</v>
      </c>
      <c r="M1398" s="5" t="str">
        <f>IF(Table1[[#This Row],[Profit]]&gt;=1000,"Excellent",IF(Table1[[#This Row],[Profit]]&gt;=500,"Good", IF(Table1[[#This Row],[Profit]]&lt;500,"Low")))</f>
        <v>Low</v>
      </c>
      <c r="N1398" s="7" t="str">
        <f>TEXT(Table1[[#This Row],[Order_Date]],"YYY")</f>
        <v>2025</v>
      </c>
    </row>
    <row r="1399" spans="1:14" x14ac:dyDescent="0.3">
      <c r="A1399" s="4">
        <v>45870</v>
      </c>
      <c r="B1399" s="5" t="s">
        <v>13</v>
      </c>
      <c r="C1399" s="5" t="s">
        <v>14</v>
      </c>
      <c r="D1399" s="23">
        <v>148.24</v>
      </c>
      <c r="E1399" s="23">
        <v>70.56</v>
      </c>
      <c r="F1399" s="23">
        <v>77.680000000000007</v>
      </c>
      <c r="G1399" s="5" t="s">
        <v>32</v>
      </c>
      <c r="H1399" s="5" t="s">
        <v>28</v>
      </c>
      <c r="I1399" s="5" t="s">
        <v>27</v>
      </c>
      <c r="J1399" s="6">
        <f>Table1[[#This Row],[Profit]]/Table1[[#This Row],[Sales]]</f>
        <v>0.52401511063140849</v>
      </c>
      <c r="K1399" s="5" t="str">
        <f t="shared" si="21"/>
        <v>Low</v>
      </c>
      <c r="L1399" s="5" t="str">
        <f>TEXT(Table1[[#This Row],[Order_Date]],"MMM")</f>
        <v>Aug</v>
      </c>
      <c r="M1399" s="5" t="str">
        <f>IF(Table1[[#This Row],[Profit]]&gt;=1000,"Excellent",IF(Table1[[#This Row],[Profit]]&gt;=500,"Good", IF(Table1[[#This Row],[Profit]]&lt;500,"Low")))</f>
        <v>Low</v>
      </c>
      <c r="N1399" s="7" t="str">
        <f>TEXT(Table1[[#This Row],[Order_Date]],"YYY")</f>
        <v>2025</v>
      </c>
    </row>
    <row r="1400" spans="1:14" x14ac:dyDescent="0.3">
      <c r="A1400" s="4">
        <v>45871</v>
      </c>
      <c r="B1400" s="5" t="s">
        <v>16</v>
      </c>
      <c r="C1400" s="5" t="s">
        <v>1</v>
      </c>
      <c r="D1400" s="23">
        <v>988.49</v>
      </c>
      <c r="E1400" s="23">
        <v>670.76</v>
      </c>
      <c r="F1400" s="23">
        <v>317.73</v>
      </c>
      <c r="G1400" s="5" t="s">
        <v>2</v>
      </c>
      <c r="H1400" s="5" t="s">
        <v>37</v>
      </c>
      <c r="I1400" s="5" t="s">
        <v>27</v>
      </c>
      <c r="J1400" s="6">
        <f>Table1[[#This Row],[Profit]]/Table1[[#This Row],[Sales]]</f>
        <v>0.32142965533288148</v>
      </c>
      <c r="K1400" s="5" t="str">
        <f t="shared" si="21"/>
        <v>Low</v>
      </c>
      <c r="L1400" s="5" t="str">
        <f>TEXT(Table1[[#This Row],[Order_Date]],"MMM")</f>
        <v>Aug</v>
      </c>
      <c r="M1400" s="5" t="str">
        <f>IF(Table1[[#This Row],[Profit]]&gt;=1000,"Excellent",IF(Table1[[#This Row],[Profit]]&gt;=500,"Good", IF(Table1[[#This Row],[Profit]]&lt;500,"Low")))</f>
        <v>Low</v>
      </c>
      <c r="N1400" s="7" t="str">
        <f>TEXT(Table1[[#This Row],[Order_Date]],"YYY")</f>
        <v>2025</v>
      </c>
    </row>
    <row r="1401" spans="1:14" x14ac:dyDescent="0.3">
      <c r="A1401" s="4">
        <v>45872</v>
      </c>
      <c r="B1401" s="5" t="s">
        <v>16</v>
      </c>
      <c r="C1401" s="5" t="s">
        <v>19</v>
      </c>
      <c r="D1401" s="23">
        <v>20.399999999999999</v>
      </c>
      <c r="E1401" s="23">
        <v>8.0500000000000007</v>
      </c>
      <c r="F1401" s="23">
        <v>12.35</v>
      </c>
      <c r="G1401" s="5" t="s">
        <v>32</v>
      </c>
      <c r="H1401" s="5" t="s">
        <v>12</v>
      </c>
      <c r="I1401" s="5" t="s">
        <v>17</v>
      </c>
      <c r="J1401" s="6">
        <f>Table1[[#This Row],[Profit]]/Table1[[#This Row],[Sales]]</f>
        <v>0.60539215686274517</v>
      </c>
      <c r="K1401" s="5" t="str">
        <f t="shared" si="21"/>
        <v>Low</v>
      </c>
      <c r="L1401" s="5" t="str">
        <f>TEXT(Table1[[#This Row],[Order_Date]],"MMM")</f>
        <v>Aug</v>
      </c>
      <c r="M1401" s="5" t="str">
        <f>IF(Table1[[#This Row],[Profit]]&gt;=1000,"Excellent",IF(Table1[[#This Row],[Profit]]&gt;=500,"Good", IF(Table1[[#This Row],[Profit]]&lt;500,"Low")))</f>
        <v>Low</v>
      </c>
      <c r="N1401" s="7" t="str">
        <f>TEXT(Table1[[#This Row],[Order_Date]],"YYY")</f>
        <v>2025</v>
      </c>
    </row>
    <row r="1402" spans="1:14" x14ac:dyDescent="0.3">
      <c r="A1402" s="4">
        <v>45872</v>
      </c>
      <c r="B1402" s="5" t="s">
        <v>0</v>
      </c>
      <c r="C1402" s="5" t="s">
        <v>14</v>
      </c>
      <c r="D1402" s="23">
        <v>23.56</v>
      </c>
      <c r="E1402" s="23">
        <v>8.58</v>
      </c>
      <c r="F1402" s="23">
        <v>14.98</v>
      </c>
      <c r="G1402" s="5" t="s">
        <v>6</v>
      </c>
      <c r="H1402" s="5" t="s">
        <v>7</v>
      </c>
      <c r="I1402" s="5" t="s">
        <v>11</v>
      </c>
      <c r="J1402" s="6">
        <f>Table1[[#This Row],[Profit]]/Table1[[#This Row],[Sales]]</f>
        <v>0.63582342954159599</v>
      </c>
      <c r="K1402" s="5" t="str">
        <f t="shared" si="21"/>
        <v>Low</v>
      </c>
      <c r="L1402" s="5" t="str">
        <f>TEXT(Table1[[#This Row],[Order_Date]],"MMM")</f>
        <v>Aug</v>
      </c>
      <c r="M1402" s="5" t="str">
        <f>IF(Table1[[#This Row],[Profit]]&gt;=1000,"Excellent",IF(Table1[[#This Row],[Profit]]&gt;=500,"Good", IF(Table1[[#This Row],[Profit]]&lt;500,"Low")))</f>
        <v>Low</v>
      </c>
      <c r="N1402" s="7" t="str">
        <f>TEXT(Table1[[#This Row],[Order_Date]],"YYY")</f>
        <v>2025</v>
      </c>
    </row>
    <row r="1403" spans="1:14" x14ac:dyDescent="0.3">
      <c r="A1403" s="4">
        <v>45872</v>
      </c>
      <c r="B1403" s="5" t="s">
        <v>8</v>
      </c>
      <c r="C1403" s="5" t="s">
        <v>1</v>
      </c>
      <c r="D1403" s="23">
        <v>921.95</v>
      </c>
      <c r="E1403" s="23">
        <v>463.31</v>
      </c>
      <c r="F1403" s="23">
        <v>458.64</v>
      </c>
      <c r="G1403" s="5" t="s">
        <v>2</v>
      </c>
      <c r="H1403" s="5" t="s">
        <v>28</v>
      </c>
      <c r="I1403" s="5" t="s">
        <v>4</v>
      </c>
      <c r="J1403" s="6">
        <f>Table1[[#This Row],[Profit]]/Table1[[#This Row],[Sales]]</f>
        <v>0.49746732469222837</v>
      </c>
      <c r="K1403" s="5" t="str">
        <f t="shared" si="21"/>
        <v>Low</v>
      </c>
      <c r="L1403" s="5" t="str">
        <f>TEXT(Table1[[#This Row],[Order_Date]],"MMM")</f>
        <v>Aug</v>
      </c>
      <c r="M1403" s="5" t="str">
        <f>IF(Table1[[#This Row],[Profit]]&gt;=1000,"Excellent",IF(Table1[[#This Row],[Profit]]&gt;=500,"Good", IF(Table1[[#This Row],[Profit]]&lt;500,"Low")))</f>
        <v>Low</v>
      </c>
      <c r="N1403" s="7" t="str">
        <f>TEXT(Table1[[#This Row],[Order_Date]],"YYY")</f>
        <v>2025</v>
      </c>
    </row>
    <row r="1404" spans="1:14" x14ac:dyDescent="0.3">
      <c r="A1404" s="4">
        <v>45872</v>
      </c>
      <c r="B1404" s="5" t="s">
        <v>8</v>
      </c>
      <c r="C1404" s="5" t="s">
        <v>31</v>
      </c>
      <c r="D1404" s="23">
        <v>271.44</v>
      </c>
      <c r="E1404" s="23">
        <v>71.430000000000007</v>
      </c>
      <c r="F1404" s="23">
        <v>200.01</v>
      </c>
      <c r="G1404" s="5" t="s">
        <v>32</v>
      </c>
      <c r="H1404" s="5" t="s">
        <v>21</v>
      </c>
      <c r="I1404" s="5" t="s">
        <v>25</v>
      </c>
      <c r="J1404" s="6">
        <f>Table1[[#This Row],[Profit]]/Table1[[#This Row],[Sales]]</f>
        <v>0.73684792219274975</v>
      </c>
      <c r="K1404" s="5" t="str">
        <f t="shared" si="21"/>
        <v>Low</v>
      </c>
      <c r="L1404" s="5" t="str">
        <f>TEXT(Table1[[#This Row],[Order_Date]],"MMM")</f>
        <v>Aug</v>
      </c>
      <c r="M1404" s="5" t="str">
        <f>IF(Table1[[#This Row],[Profit]]&gt;=1000,"Excellent",IF(Table1[[#This Row],[Profit]]&gt;=500,"Good", IF(Table1[[#This Row],[Profit]]&lt;500,"Low")))</f>
        <v>Low</v>
      </c>
      <c r="N1404" s="7" t="str">
        <f>TEXT(Table1[[#This Row],[Order_Date]],"YYY")</f>
        <v>2025</v>
      </c>
    </row>
    <row r="1405" spans="1:14" x14ac:dyDescent="0.3">
      <c r="A1405" s="4">
        <v>45873</v>
      </c>
      <c r="B1405" s="5" t="s">
        <v>16</v>
      </c>
      <c r="C1405" s="5" t="s">
        <v>14</v>
      </c>
      <c r="D1405" s="23">
        <v>243.19</v>
      </c>
      <c r="E1405" s="23">
        <v>89.58</v>
      </c>
      <c r="F1405" s="23">
        <v>153.61000000000001</v>
      </c>
      <c r="G1405" s="5" t="s">
        <v>2</v>
      </c>
      <c r="H1405" s="5" t="s">
        <v>7</v>
      </c>
      <c r="I1405" s="5" t="s">
        <v>25</v>
      </c>
      <c r="J1405" s="6">
        <f>Table1[[#This Row],[Profit]]/Table1[[#This Row],[Sales]]</f>
        <v>0.63164603807722364</v>
      </c>
      <c r="K1405" s="5" t="str">
        <f t="shared" si="21"/>
        <v>Low</v>
      </c>
      <c r="L1405" s="5" t="str">
        <f>TEXT(Table1[[#This Row],[Order_Date]],"MMM")</f>
        <v>Aug</v>
      </c>
      <c r="M1405" s="5" t="str">
        <f>IF(Table1[[#This Row],[Profit]]&gt;=1000,"Excellent",IF(Table1[[#This Row],[Profit]]&gt;=500,"Good", IF(Table1[[#This Row],[Profit]]&lt;500,"Low")))</f>
        <v>Low</v>
      </c>
      <c r="N1405" s="7" t="str">
        <f>TEXT(Table1[[#This Row],[Order_Date]],"YYY")</f>
        <v>2025</v>
      </c>
    </row>
    <row r="1406" spans="1:14" x14ac:dyDescent="0.3">
      <c r="A1406" s="4">
        <v>45873</v>
      </c>
      <c r="B1406" s="5" t="s">
        <v>16</v>
      </c>
      <c r="C1406" s="5" t="s">
        <v>5</v>
      </c>
      <c r="D1406" s="23">
        <v>1813.13</v>
      </c>
      <c r="E1406" s="23">
        <v>795.36</v>
      </c>
      <c r="F1406" s="23">
        <v>1017.77</v>
      </c>
      <c r="G1406" s="5" t="s">
        <v>9</v>
      </c>
      <c r="H1406" s="5" t="s">
        <v>3</v>
      </c>
      <c r="I1406" s="5" t="s">
        <v>11</v>
      </c>
      <c r="J1406" s="6">
        <f>Table1[[#This Row],[Profit]]/Table1[[#This Row],[Sales]]</f>
        <v>0.56133316419672052</v>
      </c>
      <c r="K1406" s="5" t="str">
        <f t="shared" si="21"/>
        <v>Medium</v>
      </c>
      <c r="L1406" s="5" t="str">
        <f>TEXT(Table1[[#This Row],[Order_Date]],"MMM")</f>
        <v>Aug</v>
      </c>
      <c r="M1406" s="5" t="str">
        <f>IF(Table1[[#This Row],[Profit]]&gt;=1000,"Excellent",IF(Table1[[#This Row],[Profit]]&gt;=500,"Good", IF(Table1[[#This Row],[Profit]]&lt;500,"Low")))</f>
        <v>Excellent</v>
      </c>
      <c r="N1406" s="7" t="str">
        <f>TEXT(Table1[[#This Row],[Order_Date]],"YYY")</f>
        <v>2025</v>
      </c>
    </row>
    <row r="1407" spans="1:14" x14ac:dyDescent="0.3">
      <c r="A1407" s="4">
        <v>45874</v>
      </c>
      <c r="B1407" s="5" t="s">
        <v>16</v>
      </c>
      <c r="C1407" s="5" t="s">
        <v>5</v>
      </c>
      <c r="D1407" s="23">
        <v>1281.6199999999999</v>
      </c>
      <c r="E1407" s="23">
        <v>388.24</v>
      </c>
      <c r="F1407" s="23">
        <v>893.38</v>
      </c>
      <c r="G1407" s="5" t="s">
        <v>20</v>
      </c>
      <c r="H1407" s="5" t="s">
        <v>35</v>
      </c>
      <c r="I1407" s="5" t="s">
        <v>27</v>
      </c>
      <c r="J1407" s="6">
        <f>Table1[[#This Row],[Profit]]/Table1[[#This Row],[Sales]]</f>
        <v>0.69707089464895999</v>
      </c>
      <c r="K1407" s="5" t="str">
        <f t="shared" si="21"/>
        <v>Low</v>
      </c>
      <c r="L1407" s="5" t="str">
        <f>TEXT(Table1[[#This Row],[Order_Date]],"MMM")</f>
        <v>Aug</v>
      </c>
      <c r="M1407" s="5" t="str">
        <f>IF(Table1[[#This Row],[Profit]]&gt;=1000,"Excellent",IF(Table1[[#This Row],[Profit]]&gt;=500,"Good", IF(Table1[[#This Row],[Profit]]&lt;500,"Low")))</f>
        <v>Good</v>
      </c>
      <c r="N1407" s="7" t="str">
        <f>TEXT(Table1[[#This Row],[Order_Date]],"YYY")</f>
        <v>2025</v>
      </c>
    </row>
    <row r="1408" spans="1:14" x14ac:dyDescent="0.3">
      <c r="A1408" s="4">
        <v>45874</v>
      </c>
      <c r="B1408" s="5" t="s">
        <v>18</v>
      </c>
      <c r="C1408" s="5" t="s">
        <v>31</v>
      </c>
      <c r="D1408" s="23">
        <v>88.28</v>
      </c>
      <c r="E1408" s="23">
        <v>33.47</v>
      </c>
      <c r="F1408" s="23">
        <v>54.81</v>
      </c>
      <c r="G1408" s="5" t="s">
        <v>6</v>
      </c>
      <c r="H1408" s="5" t="s">
        <v>3</v>
      </c>
      <c r="I1408" s="5" t="s">
        <v>27</v>
      </c>
      <c r="J1408" s="6">
        <f>Table1[[#This Row],[Profit]]/Table1[[#This Row],[Sales]]</f>
        <v>0.6208654281830539</v>
      </c>
      <c r="K1408" s="5" t="str">
        <f t="shared" si="21"/>
        <v>Low</v>
      </c>
      <c r="L1408" s="5" t="str">
        <f>TEXT(Table1[[#This Row],[Order_Date]],"MMM")</f>
        <v>Aug</v>
      </c>
      <c r="M1408" s="5" t="str">
        <f>IF(Table1[[#This Row],[Profit]]&gt;=1000,"Excellent",IF(Table1[[#This Row],[Profit]]&gt;=500,"Good", IF(Table1[[#This Row],[Profit]]&lt;500,"Low")))</f>
        <v>Low</v>
      </c>
      <c r="N1408" s="7" t="str">
        <f>TEXT(Table1[[#This Row],[Order_Date]],"YYY")</f>
        <v>2025</v>
      </c>
    </row>
    <row r="1409" spans="1:14" x14ac:dyDescent="0.3">
      <c r="A1409" s="4">
        <v>45874</v>
      </c>
      <c r="B1409" s="5" t="s">
        <v>16</v>
      </c>
      <c r="C1409" s="5" t="s">
        <v>19</v>
      </c>
      <c r="D1409" s="23">
        <v>41.43</v>
      </c>
      <c r="E1409" s="23">
        <v>14.23</v>
      </c>
      <c r="F1409" s="23">
        <v>27.2</v>
      </c>
      <c r="G1409" s="5" t="s">
        <v>6</v>
      </c>
      <c r="H1409" s="5" t="s">
        <v>10</v>
      </c>
      <c r="I1409" s="5" t="s">
        <v>11</v>
      </c>
      <c r="J1409" s="6">
        <f>Table1[[#This Row],[Profit]]/Table1[[#This Row],[Sales]]</f>
        <v>0.65652908520395847</v>
      </c>
      <c r="K1409" s="5" t="str">
        <f t="shared" si="21"/>
        <v>Low</v>
      </c>
      <c r="L1409" s="5" t="str">
        <f>TEXT(Table1[[#This Row],[Order_Date]],"MMM")</f>
        <v>Aug</v>
      </c>
      <c r="M1409" s="5" t="str">
        <f>IF(Table1[[#This Row],[Profit]]&gt;=1000,"Excellent",IF(Table1[[#This Row],[Profit]]&gt;=500,"Good", IF(Table1[[#This Row],[Profit]]&lt;500,"Low")))</f>
        <v>Low</v>
      </c>
      <c r="N1409" s="7" t="str">
        <f>TEXT(Table1[[#This Row],[Order_Date]],"YYY")</f>
        <v>2025</v>
      </c>
    </row>
    <row r="1410" spans="1:14" x14ac:dyDescent="0.3">
      <c r="A1410" s="4">
        <v>45875</v>
      </c>
      <c r="B1410" s="5" t="s">
        <v>0</v>
      </c>
      <c r="C1410" s="5" t="s">
        <v>26</v>
      </c>
      <c r="D1410" s="23">
        <v>566.16</v>
      </c>
      <c r="E1410" s="23">
        <v>220.18</v>
      </c>
      <c r="F1410" s="23">
        <v>345.98</v>
      </c>
      <c r="G1410" s="5" t="s">
        <v>9</v>
      </c>
      <c r="H1410" s="5" t="s">
        <v>21</v>
      </c>
      <c r="I1410" s="5" t="s">
        <v>11</v>
      </c>
      <c r="J1410" s="6">
        <f>Table1[[#This Row],[Profit]]/Table1[[#This Row],[Sales]]</f>
        <v>0.611099335876784</v>
      </c>
      <c r="K1410" s="5" t="str">
        <f t="shared" ref="K1410:K1473" si="22">IF(D1410&gt;=2000,"High",IF(D1410&gt;=1500,"Medium","Low"))</f>
        <v>Low</v>
      </c>
      <c r="L1410" s="5" t="str">
        <f>TEXT(Table1[[#This Row],[Order_Date]],"MMM")</f>
        <v>Aug</v>
      </c>
      <c r="M1410" s="5" t="str">
        <f>IF(Table1[[#This Row],[Profit]]&gt;=1000,"Excellent",IF(Table1[[#This Row],[Profit]]&gt;=500,"Good", IF(Table1[[#This Row],[Profit]]&lt;500,"Low")))</f>
        <v>Low</v>
      </c>
      <c r="N1410" s="7" t="str">
        <f>TEXT(Table1[[#This Row],[Order_Date]],"YYY")</f>
        <v>2025</v>
      </c>
    </row>
    <row r="1411" spans="1:14" x14ac:dyDescent="0.3">
      <c r="A1411" s="4">
        <v>45875</v>
      </c>
      <c r="B1411" s="5" t="s">
        <v>13</v>
      </c>
      <c r="C1411" s="5" t="s">
        <v>19</v>
      </c>
      <c r="D1411" s="23">
        <v>47.64</v>
      </c>
      <c r="E1411" s="23">
        <v>12.11</v>
      </c>
      <c r="F1411" s="23">
        <v>35.53</v>
      </c>
      <c r="G1411" s="5" t="s">
        <v>2</v>
      </c>
      <c r="H1411" s="5" t="s">
        <v>24</v>
      </c>
      <c r="I1411" s="5" t="s">
        <v>11</v>
      </c>
      <c r="J1411" s="6">
        <f>Table1[[#This Row],[Profit]]/Table1[[#This Row],[Sales]]</f>
        <v>0.74580184718723763</v>
      </c>
      <c r="K1411" s="5" t="str">
        <f t="shared" si="22"/>
        <v>Low</v>
      </c>
      <c r="L1411" s="5" t="str">
        <f>TEXT(Table1[[#This Row],[Order_Date]],"MMM")</f>
        <v>Aug</v>
      </c>
      <c r="M1411" s="5" t="str">
        <f>IF(Table1[[#This Row],[Profit]]&gt;=1000,"Excellent",IF(Table1[[#This Row],[Profit]]&gt;=500,"Good", IF(Table1[[#This Row],[Profit]]&lt;500,"Low")))</f>
        <v>Low</v>
      </c>
      <c r="N1411" s="7" t="str">
        <f>TEXT(Table1[[#This Row],[Order_Date]],"YYY")</f>
        <v>2025</v>
      </c>
    </row>
    <row r="1412" spans="1:14" x14ac:dyDescent="0.3">
      <c r="A1412" s="4">
        <v>45875</v>
      </c>
      <c r="B1412" s="5" t="s">
        <v>16</v>
      </c>
      <c r="C1412" s="5" t="s">
        <v>1</v>
      </c>
      <c r="D1412" s="23">
        <v>290.62</v>
      </c>
      <c r="E1412" s="23">
        <v>182.35</v>
      </c>
      <c r="F1412" s="23">
        <v>108.27</v>
      </c>
      <c r="G1412" s="5" t="s">
        <v>9</v>
      </c>
      <c r="H1412" s="5" t="s">
        <v>36</v>
      </c>
      <c r="I1412" s="5" t="s">
        <v>4</v>
      </c>
      <c r="J1412" s="6">
        <f>Table1[[#This Row],[Profit]]/Table1[[#This Row],[Sales]]</f>
        <v>0.37254834491776201</v>
      </c>
      <c r="K1412" s="5" t="str">
        <f t="shared" si="22"/>
        <v>Low</v>
      </c>
      <c r="L1412" s="5" t="str">
        <f>TEXT(Table1[[#This Row],[Order_Date]],"MMM")</f>
        <v>Aug</v>
      </c>
      <c r="M1412" s="5" t="str">
        <f>IF(Table1[[#This Row],[Profit]]&gt;=1000,"Excellent",IF(Table1[[#This Row],[Profit]]&gt;=500,"Good", IF(Table1[[#This Row],[Profit]]&lt;500,"Low")))</f>
        <v>Low</v>
      </c>
      <c r="N1412" s="7" t="str">
        <f>TEXT(Table1[[#This Row],[Order_Date]],"YYY")</f>
        <v>2025</v>
      </c>
    </row>
    <row r="1413" spans="1:14" x14ac:dyDescent="0.3">
      <c r="A1413" s="4">
        <v>45876</v>
      </c>
      <c r="B1413" s="5" t="s">
        <v>13</v>
      </c>
      <c r="C1413" s="5" t="s">
        <v>23</v>
      </c>
      <c r="D1413" s="23">
        <v>378.52</v>
      </c>
      <c r="E1413" s="23">
        <v>151.72999999999999</v>
      </c>
      <c r="F1413" s="23">
        <v>226.79</v>
      </c>
      <c r="G1413" s="5" t="s">
        <v>20</v>
      </c>
      <c r="H1413" s="5" t="s">
        <v>37</v>
      </c>
      <c r="I1413" s="5" t="s">
        <v>4</v>
      </c>
      <c r="J1413" s="6">
        <f>Table1[[#This Row],[Profit]]/Table1[[#This Row],[Sales]]</f>
        <v>0.59914931839797103</v>
      </c>
      <c r="K1413" s="5" t="str">
        <f t="shared" si="22"/>
        <v>Low</v>
      </c>
      <c r="L1413" s="5" t="str">
        <f>TEXT(Table1[[#This Row],[Order_Date]],"MMM")</f>
        <v>Aug</v>
      </c>
      <c r="M1413" s="5" t="str">
        <f>IF(Table1[[#This Row],[Profit]]&gt;=1000,"Excellent",IF(Table1[[#This Row],[Profit]]&gt;=500,"Good", IF(Table1[[#This Row],[Profit]]&lt;500,"Low")))</f>
        <v>Low</v>
      </c>
      <c r="N1413" s="7" t="str">
        <f>TEXT(Table1[[#This Row],[Order_Date]],"YYY")</f>
        <v>2025</v>
      </c>
    </row>
    <row r="1414" spans="1:14" x14ac:dyDescent="0.3">
      <c r="A1414" s="4">
        <v>45877</v>
      </c>
      <c r="B1414" s="5" t="s">
        <v>8</v>
      </c>
      <c r="C1414" s="5" t="s">
        <v>19</v>
      </c>
      <c r="D1414" s="23">
        <v>102.63</v>
      </c>
      <c r="E1414" s="23">
        <v>44.94</v>
      </c>
      <c r="F1414" s="23">
        <v>57.69</v>
      </c>
      <c r="G1414" s="5" t="s">
        <v>9</v>
      </c>
      <c r="H1414" s="5" t="s">
        <v>36</v>
      </c>
      <c r="I1414" s="5" t="s">
        <v>4</v>
      </c>
      <c r="J1414" s="6">
        <f>Table1[[#This Row],[Profit]]/Table1[[#This Row],[Sales]]</f>
        <v>0.56211634025138846</v>
      </c>
      <c r="K1414" s="5" t="str">
        <f t="shared" si="22"/>
        <v>Low</v>
      </c>
      <c r="L1414" s="5" t="str">
        <f>TEXT(Table1[[#This Row],[Order_Date]],"MMM")</f>
        <v>Aug</v>
      </c>
      <c r="M1414" s="5" t="str">
        <f>IF(Table1[[#This Row],[Profit]]&gt;=1000,"Excellent",IF(Table1[[#This Row],[Profit]]&gt;=500,"Good", IF(Table1[[#This Row],[Profit]]&lt;500,"Low")))</f>
        <v>Low</v>
      </c>
      <c r="N1414" s="7" t="str">
        <f>TEXT(Table1[[#This Row],[Order_Date]],"YYY")</f>
        <v>2025</v>
      </c>
    </row>
    <row r="1415" spans="1:14" x14ac:dyDescent="0.3">
      <c r="A1415" s="4">
        <v>45878</v>
      </c>
      <c r="B1415" s="5" t="s">
        <v>18</v>
      </c>
      <c r="C1415" s="5" t="s">
        <v>19</v>
      </c>
      <c r="D1415" s="23">
        <v>70.47</v>
      </c>
      <c r="E1415" s="23">
        <v>27.69</v>
      </c>
      <c r="F1415" s="23">
        <v>42.78</v>
      </c>
      <c r="G1415" s="5" t="s">
        <v>32</v>
      </c>
      <c r="H1415" s="5" t="s">
        <v>15</v>
      </c>
      <c r="I1415" s="5" t="s">
        <v>25</v>
      </c>
      <c r="J1415" s="6">
        <f>Table1[[#This Row],[Profit]]/Table1[[#This Row],[Sales]]</f>
        <v>0.60706683695189445</v>
      </c>
      <c r="K1415" s="5" t="str">
        <f t="shared" si="22"/>
        <v>Low</v>
      </c>
      <c r="L1415" s="5" t="str">
        <f>TEXT(Table1[[#This Row],[Order_Date]],"MMM")</f>
        <v>Aug</v>
      </c>
      <c r="M1415" s="5" t="str">
        <f>IF(Table1[[#This Row],[Profit]]&gt;=1000,"Excellent",IF(Table1[[#This Row],[Profit]]&gt;=500,"Good", IF(Table1[[#This Row],[Profit]]&lt;500,"Low")))</f>
        <v>Low</v>
      </c>
      <c r="N1415" s="7" t="str">
        <f>TEXT(Table1[[#This Row],[Order_Date]],"YYY")</f>
        <v>2025</v>
      </c>
    </row>
    <row r="1416" spans="1:14" x14ac:dyDescent="0.3">
      <c r="A1416" s="4">
        <v>45878</v>
      </c>
      <c r="B1416" s="5" t="s">
        <v>8</v>
      </c>
      <c r="C1416" s="5" t="s">
        <v>5</v>
      </c>
      <c r="D1416" s="23">
        <v>1916.43</v>
      </c>
      <c r="E1416" s="23">
        <v>754.68</v>
      </c>
      <c r="F1416" s="23">
        <v>1161.75</v>
      </c>
      <c r="G1416" s="5" t="s">
        <v>32</v>
      </c>
      <c r="H1416" s="5" t="s">
        <v>7</v>
      </c>
      <c r="I1416" s="5" t="s">
        <v>25</v>
      </c>
      <c r="J1416" s="6">
        <f>Table1[[#This Row],[Profit]]/Table1[[#This Row],[Sales]]</f>
        <v>0.60620528795729556</v>
      </c>
      <c r="K1416" s="5" t="str">
        <f t="shared" si="22"/>
        <v>Medium</v>
      </c>
      <c r="L1416" s="5" t="str">
        <f>TEXT(Table1[[#This Row],[Order_Date]],"MMM")</f>
        <v>Aug</v>
      </c>
      <c r="M1416" s="5" t="str">
        <f>IF(Table1[[#This Row],[Profit]]&gt;=1000,"Excellent",IF(Table1[[#This Row],[Profit]]&gt;=500,"Good", IF(Table1[[#This Row],[Profit]]&lt;500,"Low")))</f>
        <v>Excellent</v>
      </c>
      <c r="N1416" s="7" t="str">
        <f>TEXT(Table1[[#This Row],[Order_Date]],"YYY")</f>
        <v>2025</v>
      </c>
    </row>
    <row r="1417" spans="1:14" x14ac:dyDescent="0.3">
      <c r="A1417" s="4">
        <v>45878</v>
      </c>
      <c r="B1417" s="5" t="s">
        <v>16</v>
      </c>
      <c r="C1417" s="5" t="s">
        <v>1</v>
      </c>
      <c r="D1417" s="23">
        <v>884.13</v>
      </c>
      <c r="E1417" s="23">
        <v>432.06</v>
      </c>
      <c r="F1417" s="23">
        <v>452.07</v>
      </c>
      <c r="G1417" s="5" t="s">
        <v>9</v>
      </c>
      <c r="H1417" s="5" t="s">
        <v>3</v>
      </c>
      <c r="I1417" s="5" t="s">
        <v>25</v>
      </c>
      <c r="J1417" s="6">
        <f>Table1[[#This Row],[Profit]]/Table1[[#This Row],[Sales]]</f>
        <v>0.51131620915476228</v>
      </c>
      <c r="K1417" s="5" t="str">
        <f t="shared" si="22"/>
        <v>Low</v>
      </c>
      <c r="L1417" s="5" t="str">
        <f>TEXT(Table1[[#This Row],[Order_Date]],"MMM")</f>
        <v>Aug</v>
      </c>
      <c r="M1417" s="5" t="str">
        <f>IF(Table1[[#This Row],[Profit]]&gt;=1000,"Excellent",IF(Table1[[#This Row],[Profit]]&gt;=500,"Good", IF(Table1[[#This Row],[Profit]]&lt;500,"Low")))</f>
        <v>Low</v>
      </c>
      <c r="N1417" s="7" t="str">
        <f>TEXT(Table1[[#This Row],[Order_Date]],"YYY")</f>
        <v>2025</v>
      </c>
    </row>
    <row r="1418" spans="1:14" x14ac:dyDescent="0.3">
      <c r="A1418" s="4">
        <v>45878</v>
      </c>
      <c r="B1418" s="5" t="s">
        <v>13</v>
      </c>
      <c r="C1418" s="5" t="s">
        <v>19</v>
      </c>
      <c r="D1418" s="23">
        <v>51.56</v>
      </c>
      <c r="E1418" s="23">
        <v>13.91</v>
      </c>
      <c r="F1418" s="23">
        <v>37.65</v>
      </c>
      <c r="G1418" s="5" t="s">
        <v>6</v>
      </c>
      <c r="H1418" s="5" t="s">
        <v>24</v>
      </c>
      <c r="I1418" s="5" t="s">
        <v>17</v>
      </c>
      <c r="J1418" s="6">
        <f>Table1[[#This Row],[Profit]]/Table1[[#This Row],[Sales]]</f>
        <v>0.73021722265321953</v>
      </c>
      <c r="K1418" s="5" t="str">
        <f t="shared" si="22"/>
        <v>Low</v>
      </c>
      <c r="L1418" s="5" t="str">
        <f>TEXT(Table1[[#This Row],[Order_Date]],"MMM")</f>
        <v>Aug</v>
      </c>
      <c r="M1418" s="5" t="str">
        <f>IF(Table1[[#This Row],[Profit]]&gt;=1000,"Excellent",IF(Table1[[#This Row],[Profit]]&gt;=500,"Good", IF(Table1[[#This Row],[Profit]]&lt;500,"Low")))</f>
        <v>Low</v>
      </c>
      <c r="N1418" s="7" t="str">
        <f>TEXT(Table1[[#This Row],[Order_Date]],"YYY")</f>
        <v>2025</v>
      </c>
    </row>
    <row r="1419" spans="1:14" x14ac:dyDescent="0.3">
      <c r="A1419" s="4">
        <v>45878</v>
      </c>
      <c r="B1419" s="5" t="s">
        <v>8</v>
      </c>
      <c r="C1419" s="5" t="s">
        <v>31</v>
      </c>
      <c r="D1419" s="23">
        <v>10.5</v>
      </c>
      <c r="E1419" s="23">
        <v>2.13</v>
      </c>
      <c r="F1419" s="23">
        <v>8.3699999999999992</v>
      </c>
      <c r="G1419" s="5" t="s">
        <v>32</v>
      </c>
      <c r="H1419" s="5" t="s">
        <v>24</v>
      </c>
      <c r="I1419" s="5" t="s">
        <v>27</v>
      </c>
      <c r="J1419" s="6">
        <f>Table1[[#This Row],[Profit]]/Table1[[#This Row],[Sales]]</f>
        <v>0.79714285714285704</v>
      </c>
      <c r="K1419" s="5" t="str">
        <f t="shared" si="22"/>
        <v>Low</v>
      </c>
      <c r="L1419" s="5" t="str">
        <f>TEXT(Table1[[#This Row],[Order_Date]],"MMM")</f>
        <v>Aug</v>
      </c>
      <c r="M1419" s="5" t="str">
        <f>IF(Table1[[#This Row],[Profit]]&gt;=1000,"Excellent",IF(Table1[[#This Row],[Profit]]&gt;=500,"Good", IF(Table1[[#This Row],[Profit]]&lt;500,"Low")))</f>
        <v>Low</v>
      </c>
      <c r="N1419" s="7" t="str">
        <f>TEXT(Table1[[#This Row],[Order_Date]],"YYY")</f>
        <v>2025</v>
      </c>
    </row>
    <row r="1420" spans="1:14" x14ac:dyDescent="0.3">
      <c r="A1420" s="4">
        <v>45879</v>
      </c>
      <c r="B1420" s="5" t="s">
        <v>8</v>
      </c>
      <c r="C1420" s="5" t="s">
        <v>19</v>
      </c>
      <c r="D1420" s="23">
        <v>119.77</v>
      </c>
      <c r="E1420" s="23">
        <v>52.09</v>
      </c>
      <c r="F1420" s="23">
        <v>67.680000000000007</v>
      </c>
      <c r="G1420" s="5" t="s">
        <v>20</v>
      </c>
      <c r="H1420" s="5" t="s">
        <v>21</v>
      </c>
      <c r="I1420" s="5" t="s">
        <v>22</v>
      </c>
      <c r="J1420" s="6">
        <f>Table1[[#This Row],[Profit]]/Table1[[#This Row],[Sales]]</f>
        <v>0.56508307589546636</v>
      </c>
      <c r="K1420" s="5" t="str">
        <f t="shared" si="22"/>
        <v>Low</v>
      </c>
      <c r="L1420" s="5" t="str">
        <f>TEXT(Table1[[#This Row],[Order_Date]],"MMM")</f>
        <v>Aug</v>
      </c>
      <c r="M1420" s="5" t="str">
        <f>IF(Table1[[#This Row],[Profit]]&gt;=1000,"Excellent",IF(Table1[[#This Row],[Profit]]&gt;=500,"Good", IF(Table1[[#This Row],[Profit]]&lt;500,"Low")))</f>
        <v>Low</v>
      </c>
      <c r="N1420" s="7" t="str">
        <f>TEXT(Table1[[#This Row],[Order_Date]],"YYY")</f>
        <v>2025</v>
      </c>
    </row>
    <row r="1421" spans="1:14" x14ac:dyDescent="0.3">
      <c r="A1421" s="4">
        <v>45879</v>
      </c>
      <c r="B1421" s="5" t="s">
        <v>0</v>
      </c>
      <c r="C1421" s="5" t="s">
        <v>14</v>
      </c>
      <c r="D1421" s="23">
        <v>355.22</v>
      </c>
      <c r="E1421" s="23">
        <v>156.55000000000001</v>
      </c>
      <c r="F1421" s="23">
        <v>198.67</v>
      </c>
      <c r="G1421" s="5" t="s">
        <v>9</v>
      </c>
      <c r="H1421" s="5" t="s">
        <v>37</v>
      </c>
      <c r="I1421" s="5" t="s">
        <v>11</v>
      </c>
      <c r="J1421" s="6">
        <f>Table1[[#This Row],[Profit]]/Table1[[#This Row],[Sales]]</f>
        <v>0.55928720229716788</v>
      </c>
      <c r="K1421" s="5" t="str">
        <f t="shared" si="22"/>
        <v>Low</v>
      </c>
      <c r="L1421" s="5" t="str">
        <f>TEXT(Table1[[#This Row],[Order_Date]],"MMM")</f>
        <v>Aug</v>
      </c>
      <c r="M1421" s="5" t="str">
        <f>IF(Table1[[#This Row],[Profit]]&gt;=1000,"Excellent",IF(Table1[[#This Row],[Profit]]&gt;=500,"Good", IF(Table1[[#This Row],[Profit]]&lt;500,"Low")))</f>
        <v>Low</v>
      </c>
      <c r="N1421" s="7" t="str">
        <f>TEXT(Table1[[#This Row],[Order_Date]],"YYY")</f>
        <v>2025</v>
      </c>
    </row>
    <row r="1422" spans="1:14" x14ac:dyDescent="0.3">
      <c r="A1422" s="4">
        <v>45879</v>
      </c>
      <c r="B1422" s="5" t="s">
        <v>0</v>
      </c>
      <c r="C1422" s="5" t="s">
        <v>23</v>
      </c>
      <c r="D1422" s="23">
        <v>367.09</v>
      </c>
      <c r="E1422" s="23">
        <v>145.28</v>
      </c>
      <c r="F1422" s="23">
        <v>221.81</v>
      </c>
      <c r="G1422" s="5" t="s">
        <v>9</v>
      </c>
      <c r="H1422" s="5" t="s">
        <v>34</v>
      </c>
      <c r="I1422" s="5" t="s">
        <v>22</v>
      </c>
      <c r="J1422" s="6">
        <f>Table1[[#This Row],[Profit]]/Table1[[#This Row],[Sales]]</f>
        <v>0.60423874254270071</v>
      </c>
      <c r="K1422" s="5" t="str">
        <f t="shared" si="22"/>
        <v>Low</v>
      </c>
      <c r="L1422" s="5" t="str">
        <f>TEXT(Table1[[#This Row],[Order_Date]],"MMM")</f>
        <v>Aug</v>
      </c>
      <c r="M1422" s="5" t="str">
        <f>IF(Table1[[#This Row],[Profit]]&gt;=1000,"Excellent",IF(Table1[[#This Row],[Profit]]&gt;=500,"Good", IF(Table1[[#This Row],[Profit]]&lt;500,"Low")))</f>
        <v>Low</v>
      </c>
      <c r="N1422" s="7" t="str">
        <f>TEXT(Table1[[#This Row],[Order_Date]],"YYY")</f>
        <v>2025</v>
      </c>
    </row>
    <row r="1423" spans="1:14" x14ac:dyDescent="0.3">
      <c r="A1423" s="4">
        <v>45880</v>
      </c>
      <c r="B1423" s="5" t="s">
        <v>0</v>
      </c>
      <c r="C1423" s="5" t="s">
        <v>1</v>
      </c>
      <c r="D1423" s="23">
        <v>1388.33</v>
      </c>
      <c r="E1423" s="23">
        <v>948.53</v>
      </c>
      <c r="F1423" s="23">
        <v>439.8</v>
      </c>
      <c r="G1423" s="5" t="s">
        <v>32</v>
      </c>
      <c r="H1423" s="5" t="s">
        <v>30</v>
      </c>
      <c r="I1423" s="5" t="s">
        <v>17</v>
      </c>
      <c r="J1423" s="6">
        <f>Table1[[#This Row],[Profit]]/Table1[[#This Row],[Sales]]</f>
        <v>0.31678347366980475</v>
      </c>
      <c r="K1423" s="5" t="str">
        <f t="shared" si="22"/>
        <v>Low</v>
      </c>
      <c r="L1423" s="5" t="str">
        <f>TEXT(Table1[[#This Row],[Order_Date]],"MMM")</f>
        <v>Aug</v>
      </c>
      <c r="M1423" s="5" t="str">
        <f>IF(Table1[[#This Row],[Profit]]&gt;=1000,"Excellent",IF(Table1[[#This Row],[Profit]]&gt;=500,"Good", IF(Table1[[#This Row],[Profit]]&lt;500,"Low")))</f>
        <v>Low</v>
      </c>
      <c r="N1423" s="7" t="str">
        <f>TEXT(Table1[[#This Row],[Order_Date]],"YYY")</f>
        <v>2025</v>
      </c>
    </row>
    <row r="1424" spans="1:14" x14ac:dyDescent="0.3">
      <c r="A1424" s="4">
        <v>45881</v>
      </c>
      <c r="B1424" s="5" t="s">
        <v>18</v>
      </c>
      <c r="C1424" s="5" t="s">
        <v>5</v>
      </c>
      <c r="D1424" s="23">
        <v>584.83000000000004</v>
      </c>
      <c r="E1424" s="23">
        <v>248.47</v>
      </c>
      <c r="F1424" s="23">
        <v>336.36</v>
      </c>
      <c r="G1424" s="5" t="s">
        <v>32</v>
      </c>
      <c r="H1424" s="5" t="s">
        <v>34</v>
      </c>
      <c r="I1424" s="5" t="s">
        <v>11</v>
      </c>
      <c r="J1424" s="6">
        <f>Table1[[#This Row],[Profit]]/Table1[[#This Row],[Sales]]</f>
        <v>0.5751414941093993</v>
      </c>
      <c r="K1424" s="5" t="str">
        <f t="shared" si="22"/>
        <v>Low</v>
      </c>
      <c r="L1424" s="5" t="str">
        <f>TEXT(Table1[[#This Row],[Order_Date]],"MMM")</f>
        <v>Aug</v>
      </c>
      <c r="M1424" s="5" t="str">
        <f>IF(Table1[[#This Row],[Profit]]&gt;=1000,"Excellent",IF(Table1[[#This Row],[Profit]]&gt;=500,"Good", IF(Table1[[#This Row],[Profit]]&lt;500,"Low")))</f>
        <v>Low</v>
      </c>
      <c r="N1424" s="7" t="str">
        <f>TEXT(Table1[[#This Row],[Order_Date]],"YYY")</f>
        <v>2025</v>
      </c>
    </row>
    <row r="1425" spans="1:14" x14ac:dyDescent="0.3">
      <c r="A1425" s="4">
        <v>45881</v>
      </c>
      <c r="B1425" s="5" t="s">
        <v>0</v>
      </c>
      <c r="C1425" s="5" t="s">
        <v>1</v>
      </c>
      <c r="D1425" s="23">
        <v>244.78</v>
      </c>
      <c r="E1425" s="23">
        <v>141.58000000000001</v>
      </c>
      <c r="F1425" s="23">
        <v>103.2</v>
      </c>
      <c r="G1425" s="5" t="s">
        <v>20</v>
      </c>
      <c r="H1425" s="5" t="s">
        <v>30</v>
      </c>
      <c r="I1425" s="5" t="s">
        <v>17</v>
      </c>
      <c r="J1425" s="6">
        <f>Table1[[#This Row],[Profit]]/Table1[[#This Row],[Sales]]</f>
        <v>0.42160307214641718</v>
      </c>
      <c r="K1425" s="5" t="str">
        <f t="shared" si="22"/>
        <v>Low</v>
      </c>
      <c r="L1425" s="5" t="str">
        <f>TEXT(Table1[[#This Row],[Order_Date]],"MMM")</f>
        <v>Aug</v>
      </c>
      <c r="M1425" s="5" t="str">
        <f>IF(Table1[[#This Row],[Profit]]&gt;=1000,"Excellent",IF(Table1[[#This Row],[Profit]]&gt;=500,"Good", IF(Table1[[#This Row],[Profit]]&lt;500,"Low")))</f>
        <v>Low</v>
      </c>
      <c r="N1425" s="7" t="str">
        <f>TEXT(Table1[[#This Row],[Order_Date]],"YYY")</f>
        <v>2025</v>
      </c>
    </row>
    <row r="1426" spans="1:14" x14ac:dyDescent="0.3">
      <c r="A1426" s="4">
        <v>45881</v>
      </c>
      <c r="B1426" s="5" t="s">
        <v>18</v>
      </c>
      <c r="C1426" s="5" t="s">
        <v>5</v>
      </c>
      <c r="D1426" s="23">
        <v>1592.6</v>
      </c>
      <c r="E1426" s="23">
        <v>745.24</v>
      </c>
      <c r="F1426" s="23">
        <v>847.36</v>
      </c>
      <c r="G1426" s="5" t="s">
        <v>32</v>
      </c>
      <c r="H1426" s="5" t="s">
        <v>12</v>
      </c>
      <c r="I1426" s="5" t="s">
        <v>22</v>
      </c>
      <c r="J1426" s="6">
        <f>Table1[[#This Row],[Profit]]/Table1[[#This Row],[Sales]]</f>
        <v>0.53206078111264599</v>
      </c>
      <c r="K1426" s="5" t="str">
        <f t="shared" si="22"/>
        <v>Medium</v>
      </c>
      <c r="L1426" s="5" t="str">
        <f>TEXT(Table1[[#This Row],[Order_Date]],"MMM")</f>
        <v>Aug</v>
      </c>
      <c r="M1426" s="5" t="str">
        <f>IF(Table1[[#This Row],[Profit]]&gt;=1000,"Excellent",IF(Table1[[#This Row],[Profit]]&gt;=500,"Good", IF(Table1[[#This Row],[Profit]]&lt;500,"Low")))</f>
        <v>Good</v>
      </c>
      <c r="N1426" s="7" t="str">
        <f>TEXT(Table1[[#This Row],[Order_Date]],"YYY")</f>
        <v>2025</v>
      </c>
    </row>
    <row r="1427" spans="1:14" x14ac:dyDescent="0.3">
      <c r="A1427" s="4">
        <v>45882</v>
      </c>
      <c r="B1427" s="5" t="s">
        <v>16</v>
      </c>
      <c r="C1427" s="5" t="s">
        <v>19</v>
      </c>
      <c r="D1427" s="23">
        <v>74.72</v>
      </c>
      <c r="E1427" s="23">
        <v>27.9</v>
      </c>
      <c r="F1427" s="23">
        <v>46.82</v>
      </c>
      <c r="G1427" s="5" t="s">
        <v>2</v>
      </c>
      <c r="H1427" s="5" t="s">
        <v>34</v>
      </c>
      <c r="I1427" s="5" t="s">
        <v>22</v>
      </c>
      <c r="J1427" s="6">
        <f>Table1[[#This Row],[Profit]]/Table1[[#This Row],[Sales]]</f>
        <v>0.62660599571734477</v>
      </c>
      <c r="K1427" s="5" t="str">
        <f t="shared" si="22"/>
        <v>Low</v>
      </c>
      <c r="L1427" s="5" t="str">
        <f>TEXT(Table1[[#This Row],[Order_Date]],"MMM")</f>
        <v>Aug</v>
      </c>
      <c r="M1427" s="5" t="str">
        <f>IF(Table1[[#This Row],[Profit]]&gt;=1000,"Excellent",IF(Table1[[#This Row],[Profit]]&gt;=500,"Good", IF(Table1[[#This Row],[Profit]]&lt;500,"Low")))</f>
        <v>Low</v>
      </c>
      <c r="N1427" s="7" t="str">
        <f>TEXT(Table1[[#This Row],[Order_Date]],"YYY")</f>
        <v>2025</v>
      </c>
    </row>
    <row r="1428" spans="1:14" x14ac:dyDescent="0.3">
      <c r="A1428" s="4">
        <v>45883</v>
      </c>
      <c r="B1428" s="5" t="s">
        <v>0</v>
      </c>
      <c r="C1428" s="5" t="s">
        <v>14</v>
      </c>
      <c r="D1428" s="23">
        <v>90.01</v>
      </c>
      <c r="E1428" s="23">
        <v>27.23</v>
      </c>
      <c r="F1428" s="23">
        <v>62.78</v>
      </c>
      <c r="G1428" s="5" t="s">
        <v>6</v>
      </c>
      <c r="H1428" s="5" t="s">
        <v>24</v>
      </c>
      <c r="I1428" s="5" t="s">
        <v>25</v>
      </c>
      <c r="J1428" s="6">
        <f>Table1[[#This Row],[Profit]]/Table1[[#This Row],[Sales]]</f>
        <v>0.69747805799355622</v>
      </c>
      <c r="K1428" s="5" t="str">
        <f t="shared" si="22"/>
        <v>Low</v>
      </c>
      <c r="L1428" s="5" t="str">
        <f>TEXT(Table1[[#This Row],[Order_Date]],"MMM")</f>
        <v>Aug</v>
      </c>
      <c r="M1428" s="5" t="str">
        <f>IF(Table1[[#This Row],[Profit]]&gt;=1000,"Excellent",IF(Table1[[#This Row],[Profit]]&gt;=500,"Good", IF(Table1[[#This Row],[Profit]]&lt;500,"Low")))</f>
        <v>Low</v>
      </c>
      <c r="N1428" s="7" t="str">
        <f>TEXT(Table1[[#This Row],[Order_Date]],"YYY")</f>
        <v>2025</v>
      </c>
    </row>
    <row r="1429" spans="1:14" x14ac:dyDescent="0.3">
      <c r="A1429" s="4">
        <v>45883</v>
      </c>
      <c r="B1429" s="5" t="s">
        <v>16</v>
      </c>
      <c r="C1429" s="5" t="s">
        <v>19</v>
      </c>
      <c r="D1429" s="23">
        <v>131.21</v>
      </c>
      <c r="E1429" s="23">
        <v>38.9</v>
      </c>
      <c r="F1429" s="23">
        <v>92.31</v>
      </c>
      <c r="G1429" s="5" t="s">
        <v>32</v>
      </c>
      <c r="H1429" s="5" t="s">
        <v>3</v>
      </c>
      <c r="I1429" s="5" t="s">
        <v>25</v>
      </c>
      <c r="J1429" s="6">
        <f>Table1[[#This Row],[Profit]]/Table1[[#This Row],[Sales]]</f>
        <v>0.7035286944592638</v>
      </c>
      <c r="K1429" s="5" t="str">
        <f t="shared" si="22"/>
        <v>Low</v>
      </c>
      <c r="L1429" s="5" t="str">
        <f>TEXT(Table1[[#This Row],[Order_Date]],"MMM")</f>
        <v>Aug</v>
      </c>
      <c r="M1429" s="5" t="str">
        <f>IF(Table1[[#This Row],[Profit]]&gt;=1000,"Excellent",IF(Table1[[#This Row],[Profit]]&gt;=500,"Good", IF(Table1[[#This Row],[Profit]]&lt;500,"Low")))</f>
        <v>Low</v>
      </c>
      <c r="N1429" s="7" t="str">
        <f>TEXT(Table1[[#This Row],[Order_Date]],"YYY")</f>
        <v>2025</v>
      </c>
    </row>
    <row r="1430" spans="1:14" x14ac:dyDescent="0.3">
      <c r="A1430" s="4">
        <v>45884</v>
      </c>
      <c r="B1430" s="5" t="s">
        <v>0</v>
      </c>
      <c r="C1430" s="5" t="s">
        <v>26</v>
      </c>
      <c r="D1430" s="23">
        <v>1073.6099999999999</v>
      </c>
      <c r="E1430" s="23">
        <v>465.79</v>
      </c>
      <c r="F1430" s="23">
        <v>607.82000000000005</v>
      </c>
      <c r="G1430" s="5" t="s">
        <v>32</v>
      </c>
      <c r="H1430" s="5" t="s">
        <v>37</v>
      </c>
      <c r="I1430" s="5" t="s">
        <v>25</v>
      </c>
      <c r="J1430" s="6">
        <f>Table1[[#This Row],[Profit]]/Table1[[#This Row],[Sales]]</f>
        <v>0.56614599342405536</v>
      </c>
      <c r="K1430" s="5" t="str">
        <f t="shared" si="22"/>
        <v>Low</v>
      </c>
      <c r="L1430" s="5" t="str">
        <f>TEXT(Table1[[#This Row],[Order_Date]],"MMM")</f>
        <v>Aug</v>
      </c>
      <c r="M1430" s="5" t="str">
        <f>IF(Table1[[#This Row],[Profit]]&gt;=1000,"Excellent",IF(Table1[[#This Row],[Profit]]&gt;=500,"Good", IF(Table1[[#This Row],[Profit]]&lt;500,"Low")))</f>
        <v>Good</v>
      </c>
      <c r="N1430" s="7" t="str">
        <f>TEXT(Table1[[#This Row],[Order_Date]],"YYY")</f>
        <v>2025</v>
      </c>
    </row>
    <row r="1431" spans="1:14" x14ac:dyDescent="0.3">
      <c r="A1431" s="4">
        <v>45884</v>
      </c>
      <c r="B1431" s="5" t="s">
        <v>18</v>
      </c>
      <c r="C1431" s="5" t="s">
        <v>1</v>
      </c>
      <c r="D1431" s="23">
        <v>401.98</v>
      </c>
      <c r="E1431" s="23">
        <v>189.24</v>
      </c>
      <c r="F1431" s="23">
        <v>212.74</v>
      </c>
      <c r="G1431" s="5" t="s">
        <v>2</v>
      </c>
      <c r="H1431" s="5" t="s">
        <v>37</v>
      </c>
      <c r="I1431" s="5" t="s">
        <v>27</v>
      </c>
      <c r="J1431" s="6">
        <f>Table1[[#This Row],[Profit]]/Table1[[#This Row],[Sales]]</f>
        <v>0.52923030996566989</v>
      </c>
      <c r="K1431" s="5" t="str">
        <f t="shared" si="22"/>
        <v>Low</v>
      </c>
      <c r="L1431" s="5" t="str">
        <f>TEXT(Table1[[#This Row],[Order_Date]],"MMM")</f>
        <v>Aug</v>
      </c>
      <c r="M1431" s="5" t="str">
        <f>IF(Table1[[#This Row],[Profit]]&gt;=1000,"Excellent",IF(Table1[[#This Row],[Profit]]&gt;=500,"Good", IF(Table1[[#This Row],[Profit]]&lt;500,"Low")))</f>
        <v>Low</v>
      </c>
      <c r="N1431" s="7" t="str">
        <f>TEXT(Table1[[#This Row],[Order_Date]],"YYY")</f>
        <v>2025</v>
      </c>
    </row>
    <row r="1432" spans="1:14" x14ac:dyDescent="0.3">
      <c r="A1432" s="4">
        <v>45886</v>
      </c>
      <c r="B1432" s="5" t="s">
        <v>16</v>
      </c>
      <c r="C1432" s="5" t="s">
        <v>19</v>
      </c>
      <c r="D1432" s="23">
        <v>10.73</v>
      </c>
      <c r="E1432" s="23">
        <v>4.6500000000000004</v>
      </c>
      <c r="F1432" s="23">
        <v>6.08</v>
      </c>
      <c r="G1432" s="5" t="s">
        <v>20</v>
      </c>
      <c r="H1432" s="5" t="s">
        <v>33</v>
      </c>
      <c r="I1432" s="5" t="s">
        <v>11</v>
      </c>
      <c r="J1432" s="6">
        <f>Table1[[#This Row],[Profit]]/Table1[[#This Row],[Sales]]</f>
        <v>0.56663560111835976</v>
      </c>
      <c r="K1432" s="5" t="str">
        <f t="shared" si="22"/>
        <v>Low</v>
      </c>
      <c r="L1432" s="5" t="str">
        <f>TEXT(Table1[[#This Row],[Order_Date]],"MMM")</f>
        <v>Aug</v>
      </c>
      <c r="M1432" s="5" t="str">
        <f>IF(Table1[[#This Row],[Profit]]&gt;=1000,"Excellent",IF(Table1[[#This Row],[Profit]]&gt;=500,"Good", IF(Table1[[#This Row],[Profit]]&lt;500,"Low")))</f>
        <v>Low</v>
      </c>
      <c r="N1432" s="7" t="str">
        <f>TEXT(Table1[[#This Row],[Order_Date]],"YYY")</f>
        <v>2025</v>
      </c>
    </row>
    <row r="1433" spans="1:14" x14ac:dyDescent="0.3">
      <c r="A1433" s="4">
        <v>45886</v>
      </c>
      <c r="B1433" s="5" t="s">
        <v>16</v>
      </c>
      <c r="C1433" s="5" t="s">
        <v>31</v>
      </c>
      <c r="D1433" s="23">
        <v>281.29000000000002</v>
      </c>
      <c r="E1433" s="23">
        <v>91.47</v>
      </c>
      <c r="F1433" s="23">
        <v>189.82</v>
      </c>
      <c r="G1433" s="5" t="s">
        <v>20</v>
      </c>
      <c r="H1433" s="5" t="s">
        <v>30</v>
      </c>
      <c r="I1433" s="5" t="s">
        <v>22</v>
      </c>
      <c r="J1433" s="6">
        <f>Table1[[#This Row],[Profit]]/Table1[[#This Row],[Sales]]</f>
        <v>0.67481958121511598</v>
      </c>
      <c r="K1433" s="5" t="str">
        <f t="shared" si="22"/>
        <v>Low</v>
      </c>
      <c r="L1433" s="5" t="str">
        <f>TEXT(Table1[[#This Row],[Order_Date]],"MMM")</f>
        <v>Aug</v>
      </c>
      <c r="M1433" s="5" t="str">
        <f>IF(Table1[[#This Row],[Profit]]&gt;=1000,"Excellent",IF(Table1[[#This Row],[Profit]]&gt;=500,"Good", IF(Table1[[#This Row],[Profit]]&lt;500,"Low")))</f>
        <v>Low</v>
      </c>
      <c r="N1433" s="7" t="str">
        <f>TEXT(Table1[[#This Row],[Order_Date]],"YYY")</f>
        <v>2025</v>
      </c>
    </row>
    <row r="1434" spans="1:14" x14ac:dyDescent="0.3">
      <c r="A1434" s="4">
        <v>45887</v>
      </c>
      <c r="B1434" s="5" t="s">
        <v>16</v>
      </c>
      <c r="C1434" s="5" t="s">
        <v>1</v>
      </c>
      <c r="D1434" s="23">
        <v>409.07</v>
      </c>
      <c r="E1434" s="23">
        <v>252.82</v>
      </c>
      <c r="F1434" s="23">
        <v>156.25</v>
      </c>
      <c r="G1434" s="5" t="s">
        <v>20</v>
      </c>
      <c r="H1434" s="5" t="s">
        <v>34</v>
      </c>
      <c r="I1434" s="5" t="s">
        <v>27</v>
      </c>
      <c r="J1434" s="6">
        <f>Table1[[#This Row],[Profit]]/Table1[[#This Row],[Sales]]</f>
        <v>0.38196396704720464</v>
      </c>
      <c r="K1434" s="5" t="str">
        <f t="shared" si="22"/>
        <v>Low</v>
      </c>
      <c r="L1434" s="5" t="str">
        <f>TEXT(Table1[[#This Row],[Order_Date]],"MMM")</f>
        <v>Aug</v>
      </c>
      <c r="M1434" s="5" t="str">
        <f>IF(Table1[[#This Row],[Profit]]&gt;=1000,"Excellent",IF(Table1[[#This Row],[Profit]]&gt;=500,"Good", IF(Table1[[#This Row],[Profit]]&lt;500,"Low")))</f>
        <v>Low</v>
      </c>
      <c r="N1434" s="7" t="str">
        <f>TEXT(Table1[[#This Row],[Order_Date]],"YYY")</f>
        <v>2025</v>
      </c>
    </row>
    <row r="1435" spans="1:14" x14ac:dyDescent="0.3">
      <c r="A1435" s="4">
        <v>45888</v>
      </c>
      <c r="B1435" s="5" t="s">
        <v>13</v>
      </c>
      <c r="C1435" s="5" t="s">
        <v>5</v>
      </c>
      <c r="D1435" s="23">
        <v>1538.92</v>
      </c>
      <c r="E1435" s="23">
        <v>468.76</v>
      </c>
      <c r="F1435" s="23">
        <v>1070.1600000000001</v>
      </c>
      <c r="G1435" s="5" t="s">
        <v>9</v>
      </c>
      <c r="H1435" s="5" t="s">
        <v>10</v>
      </c>
      <c r="I1435" s="5" t="s">
        <v>25</v>
      </c>
      <c r="J1435" s="6">
        <f>Table1[[#This Row],[Profit]]/Table1[[#This Row],[Sales]]</f>
        <v>0.69539677176201498</v>
      </c>
      <c r="K1435" s="5" t="str">
        <f t="shared" si="22"/>
        <v>Medium</v>
      </c>
      <c r="L1435" s="5" t="str">
        <f>TEXT(Table1[[#This Row],[Order_Date]],"MMM")</f>
        <v>Aug</v>
      </c>
      <c r="M1435" s="5" t="str">
        <f>IF(Table1[[#This Row],[Profit]]&gt;=1000,"Excellent",IF(Table1[[#This Row],[Profit]]&gt;=500,"Good", IF(Table1[[#This Row],[Profit]]&lt;500,"Low")))</f>
        <v>Excellent</v>
      </c>
      <c r="N1435" s="7" t="str">
        <f>TEXT(Table1[[#This Row],[Order_Date]],"YYY")</f>
        <v>2025</v>
      </c>
    </row>
    <row r="1436" spans="1:14" x14ac:dyDescent="0.3">
      <c r="A1436" s="4">
        <v>45888</v>
      </c>
      <c r="B1436" s="5" t="s">
        <v>18</v>
      </c>
      <c r="C1436" s="5" t="s">
        <v>1</v>
      </c>
      <c r="D1436" s="23">
        <v>295.23</v>
      </c>
      <c r="E1436" s="23">
        <v>167.89</v>
      </c>
      <c r="F1436" s="23">
        <v>127.34</v>
      </c>
      <c r="G1436" s="5" t="s">
        <v>9</v>
      </c>
      <c r="H1436" s="5" t="s">
        <v>29</v>
      </c>
      <c r="I1436" s="5" t="s">
        <v>17</v>
      </c>
      <c r="J1436" s="6">
        <f>Table1[[#This Row],[Profit]]/Table1[[#This Row],[Sales]]</f>
        <v>0.43132472987162551</v>
      </c>
      <c r="K1436" s="5" t="str">
        <f t="shared" si="22"/>
        <v>Low</v>
      </c>
      <c r="L1436" s="5" t="str">
        <f>TEXT(Table1[[#This Row],[Order_Date]],"MMM")</f>
        <v>Aug</v>
      </c>
      <c r="M1436" s="5" t="str">
        <f>IF(Table1[[#This Row],[Profit]]&gt;=1000,"Excellent",IF(Table1[[#This Row],[Profit]]&gt;=500,"Good", IF(Table1[[#This Row],[Profit]]&lt;500,"Low")))</f>
        <v>Low</v>
      </c>
      <c r="N1436" s="7" t="str">
        <f>TEXT(Table1[[#This Row],[Order_Date]],"YYY")</f>
        <v>2025</v>
      </c>
    </row>
    <row r="1437" spans="1:14" x14ac:dyDescent="0.3">
      <c r="A1437" s="4">
        <v>45890</v>
      </c>
      <c r="B1437" s="5" t="s">
        <v>0</v>
      </c>
      <c r="C1437" s="5" t="s">
        <v>19</v>
      </c>
      <c r="D1437" s="23">
        <v>87.52</v>
      </c>
      <c r="E1437" s="23">
        <v>31.21</v>
      </c>
      <c r="F1437" s="23">
        <v>56.31</v>
      </c>
      <c r="G1437" s="5" t="s">
        <v>32</v>
      </c>
      <c r="H1437" s="5" t="s">
        <v>12</v>
      </c>
      <c r="I1437" s="5" t="s">
        <v>27</v>
      </c>
      <c r="J1437" s="6">
        <f>Table1[[#This Row],[Profit]]/Table1[[#This Row],[Sales]]</f>
        <v>0.64339579524680079</v>
      </c>
      <c r="K1437" s="5" t="str">
        <f t="shared" si="22"/>
        <v>Low</v>
      </c>
      <c r="L1437" s="5" t="str">
        <f>TEXT(Table1[[#This Row],[Order_Date]],"MMM")</f>
        <v>Aug</v>
      </c>
      <c r="M1437" s="5" t="str">
        <f>IF(Table1[[#This Row],[Profit]]&gt;=1000,"Excellent",IF(Table1[[#This Row],[Profit]]&gt;=500,"Good", IF(Table1[[#This Row],[Profit]]&lt;500,"Low")))</f>
        <v>Low</v>
      </c>
      <c r="N1437" s="7" t="str">
        <f>TEXT(Table1[[#This Row],[Order_Date]],"YYY")</f>
        <v>2025</v>
      </c>
    </row>
    <row r="1438" spans="1:14" x14ac:dyDescent="0.3">
      <c r="A1438" s="4">
        <v>45890</v>
      </c>
      <c r="B1438" s="5" t="s">
        <v>18</v>
      </c>
      <c r="C1438" s="5" t="s">
        <v>19</v>
      </c>
      <c r="D1438" s="23">
        <v>74.02</v>
      </c>
      <c r="E1438" s="23">
        <v>22.47</v>
      </c>
      <c r="F1438" s="23">
        <v>51.55</v>
      </c>
      <c r="G1438" s="5" t="s">
        <v>9</v>
      </c>
      <c r="H1438" s="5" t="s">
        <v>30</v>
      </c>
      <c r="I1438" s="5" t="s">
        <v>17</v>
      </c>
      <c r="J1438" s="6">
        <f>Table1[[#This Row],[Profit]]/Table1[[#This Row],[Sales]]</f>
        <v>0.69643339637935697</v>
      </c>
      <c r="K1438" s="5" t="str">
        <f t="shared" si="22"/>
        <v>Low</v>
      </c>
      <c r="L1438" s="5" t="str">
        <f>TEXT(Table1[[#This Row],[Order_Date]],"MMM")</f>
        <v>Aug</v>
      </c>
      <c r="M1438" s="5" t="str">
        <f>IF(Table1[[#This Row],[Profit]]&gt;=1000,"Excellent",IF(Table1[[#This Row],[Profit]]&gt;=500,"Good", IF(Table1[[#This Row],[Profit]]&lt;500,"Low")))</f>
        <v>Low</v>
      </c>
      <c r="N1438" s="7" t="str">
        <f>TEXT(Table1[[#This Row],[Order_Date]],"YYY")</f>
        <v>2025</v>
      </c>
    </row>
    <row r="1439" spans="1:14" x14ac:dyDescent="0.3">
      <c r="A1439" s="4">
        <v>45890</v>
      </c>
      <c r="B1439" s="5" t="s">
        <v>0</v>
      </c>
      <c r="C1439" s="5" t="s">
        <v>5</v>
      </c>
      <c r="D1439" s="23">
        <v>2427.35</v>
      </c>
      <c r="E1439" s="23">
        <v>1049.6099999999999</v>
      </c>
      <c r="F1439" s="23">
        <v>1377.74</v>
      </c>
      <c r="G1439" s="5" t="s">
        <v>9</v>
      </c>
      <c r="H1439" s="5" t="s">
        <v>35</v>
      </c>
      <c r="I1439" s="5" t="s">
        <v>4</v>
      </c>
      <c r="J1439" s="6">
        <f>Table1[[#This Row],[Profit]]/Table1[[#This Row],[Sales]]</f>
        <v>0.56759017035038217</v>
      </c>
      <c r="K1439" s="5" t="str">
        <f t="shared" si="22"/>
        <v>High</v>
      </c>
      <c r="L1439" s="5" t="str">
        <f>TEXT(Table1[[#This Row],[Order_Date]],"MMM")</f>
        <v>Aug</v>
      </c>
      <c r="M1439" s="5" t="str">
        <f>IF(Table1[[#This Row],[Profit]]&gt;=1000,"Excellent",IF(Table1[[#This Row],[Profit]]&gt;=500,"Good", IF(Table1[[#This Row],[Profit]]&lt;500,"Low")))</f>
        <v>Excellent</v>
      </c>
      <c r="N1439" s="7" t="str">
        <f>TEXT(Table1[[#This Row],[Order_Date]],"YYY")</f>
        <v>2025</v>
      </c>
    </row>
    <row r="1440" spans="1:14" x14ac:dyDescent="0.3">
      <c r="A1440" s="4">
        <v>45890</v>
      </c>
      <c r="B1440" s="5" t="s">
        <v>0</v>
      </c>
      <c r="C1440" s="5" t="s">
        <v>1</v>
      </c>
      <c r="D1440" s="23">
        <v>675.07</v>
      </c>
      <c r="E1440" s="23">
        <v>463.73</v>
      </c>
      <c r="F1440" s="23">
        <v>211.34</v>
      </c>
      <c r="G1440" s="5" t="s">
        <v>6</v>
      </c>
      <c r="H1440" s="5" t="s">
        <v>24</v>
      </c>
      <c r="I1440" s="5" t="s">
        <v>4</v>
      </c>
      <c r="J1440" s="6">
        <f>Table1[[#This Row],[Profit]]/Table1[[#This Row],[Sales]]</f>
        <v>0.31306383041758629</v>
      </c>
      <c r="K1440" s="5" t="str">
        <f t="shared" si="22"/>
        <v>Low</v>
      </c>
      <c r="L1440" s="5" t="str">
        <f>TEXT(Table1[[#This Row],[Order_Date]],"MMM")</f>
        <v>Aug</v>
      </c>
      <c r="M1440" s="5" t="str">
        <f>IF(Table1[[#This Row],[Profit]]&gt;=1000,"Excellent",IF(Table1[[#This Row],[Profit]]&gt;=500,"Good", IF(Table1[[#This Row],[Profit]]&lt;500,"Low")))</f>
        <v>Low</v>
      </c>
      <c r="N1440" s="7" t="str">
        <f>TEXT(Table1[[#This Row],[Order_Date]],"YYY")</f>
        <v>2025</v>
      </c>
    </row>
    <row r="1441" spans="1:14" x14ac:dyDescent="0.3">
      <c r="A1441" s="4">
        <v>45891</v>
      </c>
      <c r="B1441" s="5" t="s">
        <v>18</v>
      </c>
      <c r="C1441" s="5" t="s">
        <v>23</v>
      </c>
      <c r="D1441" s="23">
        <v>330.27</v>
      </c>
      <c r="E1441" s="23">
        <v>108.96</v>
      </c>
      <c r="F1441" s="23">
        <v>221.31</v>
      </c>
      <c r="G1441" s="5" t="s">
        <v>9</v>
      </c>
      <c r="H1441" s="5" t="s">
        <v>12</v>
      </c>
      <c r="I1441" s="5" t="s">
        <v>25</v>
      </c>
      <c r="J1441" s="6">
        <f>Table1[[#This Row],[Profit]]/Table1[[#This Row],[Sales]]</f>
        <v>0.67008810972840405</v>
      </c>
      <c r="K1441" s="5" t="str">
        <f t="shared" si="22"/>
        <v>Low</v>
      </c>
      <c r="L1441" s="5" t="str">
        <f>TEXT(Table1[[#This Row],[Order_Date]],"MMM")</f>
        <v>Aug</v>
      </c>
      <c r="M1441" s="5" t="str">
        <f>IF(Table1[[#This Row],[Profit]]&gt;=1000,"Excellent",IF(Table1[[#This Row],[Profit]]&gt;=500,"Good", IF(Table1[[#This Row],[Profit]]&lt;500,"Low")))</f>
        <v>Low</v>
      </c>
      <c r="N1441" s="7" t="str">
        <f>TEXT(Table1[[#This Row],[Order_Date]],"YYY")</f>
        <v>2025</v>
      </c>
    </row>
    <row r="1442" spans="1:14" x14ac:dyDescent="0.3">
      <c r="A1442" s="4">
        <v>45891</v>
      </c>
      <c r="B1442" s="5" t="s">
        <v>18</v>
      </c>
      <c r="C1442" s="5" t="s">
        <v>31</v>
      </c>
      <c r="D1442" s="23">
        <v>159.13</v>
      </c>
      <c r="E1442" s="23">
        <v>50.68</v>
      </c>
      <c r="F1442" s="23">
        <v>108.45</v>
      </c>
      <c r="G1442" s="5" t="s">
        <v>6</v>
      </c>
      <c r="H1442" s="5" t="s">
        <v>30</v>
      </c>
      <c r="I1442" s="5" t="s">
        <v>17</v>
      </c>
      <c r="J1442" s="6">
        <f>Table1[[#This Row],[Profit]]/Table1[[#This Row],[Sales]]</f>
        <v>0.68151825551435941</v>
      </c>
      <c r="K1442" s="5" t="str">
        <f t="shared" si="22"/>
        <v>Low</v>
      </c>
      <c r="L1442" s="5" t="str">
        <f>TEXT(Table1[[#This Row],[Order_Date]],"MMM")</f>
        <v>Aug</v>
      </c>
      <c r="M1442" s="5" t="str">
        <f>IF(Table1[[#This Row],[Profit]]&gt;=1000,"Excellent",IF(Table1[[#This Row],[Profit]]&gt;=500,"Good", IF(Table1[[#This Row],[Profit]]&lt;500,"Low")))</f>
        <v>Low</v>
      </c>
      <c r="N1442" s="7" t="str">
        <f>TEXT(Table1[[#This Row],[Order_Date]],"YYY")</f>
        <v>2025</v>
      </c>
    </row>
    <row r="1443" spans="1:14" x14ac:dyDescent="0.3">
      <c r="A1443" s="4">
        <v>45892</v>
      </c>
      <c r="B1443" s="5" t="s">
        <v>16</v>
      </c>
      <c r="C1443" s="5" t="s">
        <v>1</v>
      </c>
      <c r="D1443" s="23">
        <v>383.66</v>
      </c>
      <c r="E1443" s="23">
        <v>214.97</v>
      </c>
      <c r="F1443" s="23">
        <v>168.69</v>
      </c>
      <c r="G1443" s="5" t="s">
        <v>6</v>
      </c>
      <c r="H1443" s="5" t="s">
        <v>30</v>
      </c>
      <c r="I1443" s="5" t="s">
        <v>17</v>
      </c>
      <c r="J1443" s="6">
        <f>Table1[[#This Row],[Profit]]/Table1[[#This Row],[Sales]]</f>
        <v>0.43968618047229313</v>
      </c>
      <c r="K1443" s="5" t="str">
        <f t="shared" si="22"/>
        <v>Low</v>
      </c>
      <c r="L1443" s="5" t="str">
        <f>TEXT(Table1[[#This Row],[Order_Date]],"MMM")</f>
        <v>Aug</v>
      </c>
      <c r="M1443" s="5" t="str">
        <f>IF(Table1[[#This Row],[Profit]]&gt;=1000,"Excellent",IF(Table1[[#This Row],[Profit]]&gt;=500,"Good", IF(Table1[[#This Row],[Profit]]&lt;500,"Low")))</f>
        <v>Low</v>
      </c>
      <c r="N1443" s="7" t="str">
        <f>TEXT(Table1[[#This Row],[Order_Date]],"YYY")</f>
        <v>2025</v>
      </c>
    </row>
    <row r="1444" spans="1:14" x14ac:dyDescent="0.3">
      <c r="A1444" s="4">
        <v>45892</v>
      </c>
      <c r="B1444" s="5" t="s">
        <v>18</v>
      </c>
      <c r="C1444" s="5" t="s">
        <v>19</v>
      </c>
      <c r="D1444" s="23">
        <v>49.43</v>
      </c>
      <c r="E1444" s="23">
        <v>15.04</v>
      </c>
      <c r="F1444" s="23">
        <v>34.39</v>
      </c>
      <c r="G1444" s="5" t="s">
        <v>9</v>
      </c>
      <c r="H1444" s="5" t="s">
        <v>34</v>
      </c>
      <c r="I1444" s="5" t="s">
        <v>27</v>
      </c>
      <c r="J1444" s="6">
        <f>Table1[[#This Row],[Profit]]/Table1[[#This Row],[Sales]]</f>
        <v>0.69573133724458835</v>
      </c>
      <c r="K1444" s="5" t="str">
        <f t="shared" si="22"/>
        <v>Low</v>
      </c>
      <c r="L1444" s="5" t="str">
        <f>TEXT(Table1[[#This Row],[Order_Date]],"MMM")</f>
        <v>Aug</v>
      </c>
      <c r="M1444" s="5" t="str">
        <f>IF(Table1[[#This Row],[Profit]]&gt;=1000,"Excellent",IF(Table1[[#This Row],[Profit]]&gt;=500,"Good", IF(Table1[[#This Row],[Profit]]&lt;500,"Low")))</f>
        <v>Low</v>
      </c>
      <c r="N1444" s="7" t="str">
        <f>TEXT(Table1[[#This Row],[Order_Date]],"YYY")</f>
        <v>2025</v>
      </c>
    </row>
    <row r="1445" spans="1:14" x14ac:dyDescent="0.3">
      <c r="A1445" s="4">
        <v>45892</v>
      </c>
      <c r="B1445" s="5" t="s">
        <v>16</v>
      </c>
      <c r="C1445" s="5" t="s">
        <v>31</v>
      </c>
      <c r="D1445" s="23">
        <v>194.94</v>
      </c>
      <c r="E1445" s="23">
        <v>59.1</v>
      </c>
      <c r="F1445" s="23">
        <v>135.84</v>
      </c>
      <c r="G1445" s="5" t="s">
        <v>9</v>
      </c>
      <c r="H1445" s="5" t="s">
        <v>10</v>
      </c>
      <c r="I1445" s="5" t="s">
        <v>27</v>
      </c>
      <c r="J1445" s="6">
        <f>Table1[[#This Row],[Profit]]/Table1[[#This Row],[Sales]]</f>
        <v>0.69682979378270238</v>
      </c>
      <c r="K1445" s="5" t="str">
        <f t="shared" si="22"/>
        <v>Low</v>
      </c>
      <c r="L1445" s="5" t="str">
        <f>TEXT(Table1[[#This Row],[Order_Date]],"MMM")</f>
        <v>Aug</v>
      </c>
      <c r="M1445" s="5" t="str">
        <f>IF(Table1[[#This Row],[Profit]]&gt;=1000,"Excellent",IF(Table1[[#This Row],[Profit]]&gt;=500,"Good", IF(Table1[[#This Row],[Profit]]&lt;500,"Low")))</f>
        <v>Low</v>
      </c>
      <c r="N1445" s="7" t="str">
        <f>TEXT(Table1[[#This Row],[Order_Date]],"YYY")</f>
        <v>2025</v>
      </c>
    </row>
    <row r="1446" spans="1:14" x14ac:dyDescent="0.3">
      <c r="A1446" s="4">
        <v>45893</v>
      </c>
      <c r="B1446" s="5" t="s">
        <v>13</v>
      </c>
      <c r="C1446" s="5" t="s">
        <v>14</v>
      </c>
      <c r="D1446" s="23">
        <v>252.37</v>
      </c>
      <c r="E1446" s="23">
        <v>91.96</v>
      </c>
      <c r="F1446" s="23">
        <v>160.41</v>
      </c>
      <c r="G1446" s="5" t="s">
        <v>20</v>
      </c>
      <c r="H1446" s="5" t="s">
        <v>28</v>
      </c>
      <c r="I1446" s="5" t="s">
        <v>4</v>
      </c>
      <c r="J1446" s="6">
        <f>Table1[[#This Row],[Profit]]/Table1[[#This Row],[Sales]]</f>
        <v>0.63561437571819157</v>
      </c>
      <c r="K1446" s="5" t="str">
        <f t="shared" si="22"/>
        <v>Low</v>
      </c>
      <c r="L1446" s="5" t="str">
        <f>TEXT(Table1[[#This Row],[Order_Date]],"MMM")</f>
        <v>Aug</v>
      </c>
      <c r="M1446" s="5" t="str">
        <f>IF(Table1[[#This Row],[Profit]]&gt;=1000,"Excellent",IF(Table1[[#This Row],[Profit]]&gt;=500,"Good", IF(Table1[[#This Row],[Profit]]&lt;500,"Low")))</f>
        <v>Low</v>
      </c>
      <c r="N1446" s="7" t="str">
        <f>TEXT(Table1[[#This Row],[Order_Date]],"YYY")</f>
        <v>2025</v>
      </c>
    </row>
    <row r="1447" spans="1:14" x14ac:dyDescent="0.3">
      <c r="A1447" s="4">
        <v>45894</v>
      </c>
      <c r="B1447" s="5" t="s">
        <v>16</v>
      </c>
      <c r="C1447" s="5" t="s">
        <v>5</v>
      </c>
      <c r="D1447" s="23">
        <v>1213</v>
      </c>
      <c r="E1447" s="23">
        <v>374.43</v>
      </c>
      <c r="F1447" s="23">
        <v>838.57</v>
      </c>
      <c r="G1447" s="5" t="s">
        <v>9</v>
      </c>
      <c r="H1447" s="5" t="s">
        <v>7</v>
      </c>
      <c r="I1447" s="5" t="s">
        <v>27</v>
      </c>
      <c r="J1447" s="6">
        <f>Table1[[#This Row],[Profit]]/Table1[[#This Row],[Sales]]</f>
        <v>0.69131904369332242</v>
      </c>
      <c r="K1447" s="5" t="str">
        <f t="shared" si="22"/>
        <v>Low</v>
      </c>
      <c r="L1447" s="5" t="str">
        <f>TEXT(Table1[[#This Row],[Order_Date]],"MMM")</f>
        <v>Aug</v>
      </c>
      <c r="M1447" s="5" t="str">
        <f>IF(Table1[[#This Row],[Profit]]&gt;=1000,"Excellent",IF(Table1[[#This Row],[Profit]]&gt;=500,"Good", IF(Table1[[#This Row],[Profit]]&lt;500,"Low")))</f>
        <v>Good</v>
      </c>
      <c r="N1447" s="7" t="str">
        <f>TEXT(Table1[[#This Row],[Order_Date]],"YYY")</f>
        <v>2025</v>
      </c>
    </row>
    <row r="1448" spans="1:14" x14ac:dyDescent="0.3">
      <c r="A1448" s="4">
        <v>45895</v>
      </c>
      <c r="B1448" s="5" t="s">
        <v>13</v>
      </c>
      <c r="C1448" s="5" t="s">
        <v>19</v>
      </c>
      <c r="D1448" s="23">
        <v>76.13</v>
      </c>
      <c r="E1448" s="23">
        <v>19.850000000000001</v>
      </c>
      <c r="F1448" s="23">
        <v>56.28</v>
      </c>
      <c r="G1448" s="5" t="s">
        <v>6</v>
      </c>
      <c r="H1448" s="5" t="s">
        <v>35</v>
      </c>
      <c r="I1448" s="5" t="s">
        <v>4</v>
      </c>
      <c r="J1448" s="6">
        <f>Table1[[#This Row],[Profit]]/Table1[[#This Row],[Sales]]</f>
        <v>0.73926178904505457</v>
      </c>
      <c r="K1448" s="5" t="str">
        <f t="shared" si="22"/>
        <v>Low</v>
      </c>
      <c r="L1448" s="5" t="str">
        <f>TEXT(Table1[[#This Row],[Order_Date]],"MMM")</f>
        <v>Aug</v>
      </c>
      <c r="M1448" s="5" t="str">
        <f>IF(Table1[[#This Row],[Profit]]&gt;=1000,"Excellent",IF(Table1[[#This Row],[Profit]]&gt;=500,"Good", IF(Table1[[#This Row],[Profit]]&lt;500,"Low")))</f>
        <v>Low</v>
      </c>
      <c r="N1448" s="7" t="str">
        <f>TEXT(Table1[[#This Row],[Order_Date]],"YYY")</f>
        <v>2025</v>
      </c>
    </row>
    <row r="1449" spans="1:14" x14ac:dyDescent="0.3">
      <c r="A1449" s="4">
        <v>45895</v>
      </c>
      <c r="B1449" s="5" t="s">
        <v>0</v>
      </c>
      <c r="C1449" s="5" t="s">
        <v>14</v>
      </c>
      <c r="D1449" s="23">
        <v>193.31</v>
      </c>
      <c r="E1449" s="23">
        <v>60.66</v>
      </c>
      <c r="F1449" s="23">
        <v>132.65</v>
      </c>
      <c r="G1449" s="5" t="s">
        <v>2</v>
      </c>
      <c r="H1449" s="5" t="s">
        <v>33</v>
      </c>
      <c r="I1449" s="5" t="s">
        <v>22</v>
      </c>
      <c r="J1449" s="6">
        <f>Table1[[#This Row],[Profit]]/Table1[[#This Row],[Sales]]</f>
        <v>0.68620350731984892</v>
      </c>
      <c r="K1449" s="5" t="str">
        <f t="shared" si="22"/>
        <v>Low</v>
      </c>
      <c r="L1449" s="5" t="str">
        <f>TEXT(Table1[[#This Row],[Order_Date]],"MMM")</f>
        <v>Aug</v>
      </c>
      <c r="M1449" s="5" t="str">
        <f>IF(Table1[[#This Row],[Profit]]&gt;=1000,"Excellent",IF(Table1[[#This Row],[Profit]]&gt;=500,"Good", IF(Table1[[#This Row],[Profit]]&lt;500,"Low")))</f>
        <v>Low</v>
      </c>
      <c r="N1449" s="7" t="str">
        <f>TEXT(Table1[[#This Row],[Order_Date]],"YYY")</f>
        <v>2025</v>
      </c>
    </row>
    <row r="1450" spans="1:14" x14ac:dyDescent="0.3">
      <c r="A1450" s="4">
        <v>45896</v>
      </c>
      <c r="B1450" s="5" t="s">
        <v>13</v>
      </c>
      <c r="C1450" s="5" t="s">
        <v>19</v>
      </c>
      <c r="D1450" s="23">
        <v>104.02</v>
      </c>
      <c r="E1450" s="23">
        <v>45.83</v>
      </c>
      <c r="F1450" s="23">
        <v>58.19</v>
      </c>
      <c r="G1450" s="5" t="s">
        <v>20</v>
      </c>
      <c r="H1450" s="5" t="s">
        <v>7</v>
      </c>
      <c r="I1450" s="5" t="s">
        <v>27</v>
      </c>
      <c r="J1450" s="6">
        <f>Table1[[#This Row],[Profit]]/Table1[[#This Row],[Sales]]</f>
        <v>0.55941165160546047</v>
      </c>
      <c r="K1450" s="5" t="str">
        <f t="shared" si="22"/>
        <v>Low</v>
      </c>
      <c r="L1450" s="5" t="str">
        <f>TEXT(Table1[[#This Row],[Order_Date]],"MMM")</f>
        <v>Aug</v>
      </c>
      <c r="M1450" s="5" t="str">
        <f>IF(Table1[[#This Row],[Profit]]&gt;=1000,"Excellent",IF(Table1[[#This Row],[Profit]]&gt;=500,"Good", IF(Table1[[#This Row],[Profit]]&lt;500,"Low")))</f>
        <v>Low</v>
      </c>
      <c r="N1450" s="7" t="str">
        <f>TEXT(Table1[[#This Row],[Order_Date]],"YYY")</f>
        <v>2025</v>
      </c>
    </row>
    <row r="1451" spans="1:14" x14ac:dyDescent="0.3">
      <c r="A1451" s="4">
        <v>45897</v>
      </c>
      <c r="B1451" s="5" t="s">
        <v>8</v>
      </c>
      <c r="C1451" s="5" t="s">
        <v>31</v>
      </c>
      <c r="D1451" s="23">
        <v>138.09</v>
      </c>
      <c r="E1451" s="23">
        <v>47.9</v>
      </c>
      <c r="F1451" s="23">
        <v>90.19</v>
      </c>
      <c r="G1451" s="5" t="s">
        <v>32</v>
      </c>
      <c r="H1451" s="5" t="s">
        <v>15</v>
      </c>
      <c r="I1451" s="5" t="s">
        <v>25</v>
      </c>
      <c r="J1451" s="6">
        <f>Table1[[#This Row],[Profit]]/Table1[[#This Row],[Sales]]</f>
        <v>0.65312477369831268</v>
      </c>
      <c r="K1451" s="5" t="str">
        <f t="shared" si="22"/>
        <v>Low</v>
      </c>
      <c r="L1451" s="5" t="str">
        <f>TEXT(Table1[[#This Row],[Order_Date]],"MMM")</f>
        <v>Aug</v>
      </c>
      <c r="M1451" s="5" t="str">
        <f>IF(Table1[[#This Row],[Profit]]&gt;=1000,"Excellent",IF(Table1[[#This Row],[Profit]]&gt;=500,"Good", IF(Table1[[#This Row],[Profit]]&lt;500,"Low")))</f>
        <v>Low</v>
      </c>
      <c r="N1451" s="7" t="str">
        <f>TEXT(Table1[[#This Row],[Order_Date]],"YYY")</f>
        <v>2025</v>
      </c>
    </row>
    <row r="1452" spans="1:14" x14ac:dyDescent="0.3">
      <c r="A1452" s="4">
        <v>45898</v>
      </c>
      <c r="B1452" s="5" t="s">
        <v>13</v>
      </c>
      <c r="C1452" s="5" t="s">
        <v>19</v>
      </c>
      <c r="D1452" s="23">
        <v>116.94</v>
      </c>
      <c r="E1452" s="23">
        <v>36.700000000000003</v>
      </c>
      <c r="F1452" s="23">
        <v>80.239999999999995</v>
      </c>
      <c r="G1452" s="5" t="s">
        <v>6</v>
      </c>
      <c r="H1452" s="5" t="s">
        <v>36</v>
      </c>
      <c r="I1452" s="5" t="s">
        <v>11</v>
      </c>
      <c r="J1452" s="6">
        <f>Table1[[#This Row],[Profit]]/Table1[[#This Row],[Sales]]</f>
        <v>0.68616384470668712</v>
      </c>
      <c r="K1452" s="5" t="str">
        <f t="shared" si="22"/>
        <v>Low</v>
      </c>
      <c r="L1452" s="5" t="str">
        <f>TEXT(Table1[[#This Row],[Order_Date]],"MMM")</f>
        <v>Aug</v>
      </c>
      <c r="M1452" s="5" t="str">
        <f>IF(Table1[[#This Row],[Profit]]&gt;=1000,"Excellent",IF(Table1[[#This Row],[Profit]]&gt;=500,"Good", IF(Table1[[#This Row],[Profit]]&lt;500,"Low")))</f>
        <v>Low</v>
      </c>
      <c r="N1452" s="7" t="str">
        <f>TEXT(Table1[[#This Row],[Order_Date]],"YYY")</f>
        <v>2025</v>
      </c>
    </row>
    <row r="1453" spans="1:14" x14ac:dyDescent="0.3">
      <c r="A1453" s="4">
        <v>45899</v>
      </c>
      <c r="B1453" s="5" t="s">
        <v>18</v>
      </c>
      <c r="C1453" s="5" t="s">
        <v>31</v>
      </c>
      <c r="D1453" s="23">
        <v>151.13</v>
      </c>
      <c r="E1453" s="23">
        <v>44.21</v>
      </c>
      <c r="F1453" s="23">
        <v>106.92</v>
      </c>
      <c r="G1453" s="5" t="s">
        <v>9</v>
      </c>
      <c r="H1453" s="5" t="s">
        <v>28</v>
      </c>
      <c r="I1453" s="5" t="s">
        <v>22</v>
      </c>
      <c r="J1453" s="6">
        <f>Table1[[#This Row],[Profit]]/Table1[[#This Row],[Sales]]</f>
        <v>0.70747038973069543</v>
      </c>
      <c r="K1453" s="5" t="str">
        <f t="shared" si="22"/>
        <v>Low</v>
      </c>
      <c r="L1453" s="5" t="str">
        <f>TEXT(Table1[[#This Row],[Order_Date]],"MMM")</f>
        <v>Aug</v>
      </c>
      <c r="M1453" s="5" t="str">
        <f>IF(Table1[[#This Row],[Profit]]&gt;=1000,"Excellent",IF(Table1[[#This Row],[Profit]]&gt;=500,"Good", IF(Table1[[#This Row],[Profit]]&lt;500,"Low")))</f>
        <v>Low</v>
      </c>
      <c r="N1453" s="7" t="str">
        <f>TEXT(Table1[[#This Row],[Order_Date]],"YYY")</f>
        <v>2025</v>
      </c>
    </row>
    <row r="1454" spans="1:14" x14ac:dyDescent="0.3">
      <c r="A1454" s="4">
        <v>45899</v>
      </c>
      <c r="B1454" s="5" t="s">
        <v>18</v>
      </c>
      <c r="C1454" s="5" t="s">
        <v>5</v>
      </c>
      <c r="D1454" s="23">
        <v>2146.9</v>
      </c>
      <c r="E1454" s="23">
        <v>883.43</v>
      </c>
      <c r="F1454" s="23">
        <v>1263.47</v>
      </c>
      <c r="G1454" s="5" t="s">
        <v>32</v>
      </c>
      <c r="H1454" s="5" t="s">
        <v>24</v>
      </c>
      <c r="I1454" s="5" t="s">
        <v>22</v>
      </c>
      <c r="J1454" s="6">
        <f>Table1[[#This Row],[Profit]]/Table1[[#This Row],[Sales]]</f>
        <v>0.58850901299548186</v>
      </c>
      <c r="K1454" s="5" t="str">
        <f t="shared" si="22"/>
        <v>High</v>
      </c>
      <c r="L1454" s="5" t="str">
        <f>TEXT(Table1[[#This Row],[Order_Date]],"MMM")</f>
        <v>Aug</v>
      </c>
      <c r="M1454" s="5" t="str">
        <f>IF(Table1[[#This Row],[Profit]]&gt;=1000,"Excellent",IF(Table1[[#This Row],[Profit]]&gt;=500,"Good", IF(Table1[[#This Row],[Profit]]&lt;500,"Low")))</f>
        <v>Excellent</v>
      </c>
      <c r="N1454" s="7" t="str">
        <f>TEXT(Table1[[#This Row],[Order_Date]],"YYY")</f>
        <v>2025</v>
      </c>
    </row>
    <row r="1455" spans="1:14" x14ac:dyDescent="0.3">
      <c r="A1455" s="4">
        <v>45900</v>
      </c>
      <c r="B1455" s="5" t="s">
        <v>16</v>
      </c>
      <c r="C1455" s="5" t="s">
        <v>19</v>
      </c>
      <c r="D1455" s="23">
        <v>142.71</v>
      </c>
      <c r="E1455" s="23">
        <v>51.79</v>
      </c>
      <c r="F1455" s="23">
        <v>90.92</v>
      </c>
      <c r="G1455" s="5" t="s">
        <v>2</v>
      </c>
      <c r="H1455" s="5" t="s">
        <v>24</v>
      </c>
      <c r="I1455" s="5" t="s">
        <v>22</v>
      </c>
      <c r="J1455" s="6">
        <f>Table1[[#This Row],[Profit]]/Table1[[#This Row],[Sales]]</f>
        <v>0.63709620909536824</v>
      </c>
      <c r="K1455" s="5" t="str">
        <f t="shared" si="22"/>
        <v>Low</v>
      </c>
      <c r="L1455" s="5" t="str">
        <f>TEXT(Table1[[#This Row],[Order_Date]],"MMM")</f>
        <v>Aug</v>
      </c>
      <c r="M1455" s="5" t="str">
        <f>IF(Table1[[#This Row],[Profit]]&gt;=1000,"Excellent",IF(Table1[[#This Row],[Profit]]&gt;=500,"Good", IF(Table1[[#This Row],[Profit]]&lt;500,"Low")))</f>
        <v>Low</v>
      </c>
      <c r="N1455" s="7" t="str">
        <f>TEXT(Table1[[#This Row],[Order_Date]],"YYY")</f>
        <v>2025</v>
      </c>
    </row>
    <row r="1456" spans="1:14" x14ac:dyDescent="0.3">
      <c r="A1456" s="4">
        <v>45900</v>
      </c>
      <c r="B1456" s="5" t="s">
        <v>8</v>
      </c>
      <c r="C1456" s="5" t="s">
        <v>26</v>
      </c>
      <c r="D1456" s="23">
        <v>287.01</v>
      </c>
      <c r="E1456" s="23">
        <v>86.53</v>
      </c>
      <c r="F1456" s="23">
        <v>200.48</v>
      </c>
      <c r="G1456" s="5" t="s">
        <v>32</v>
      </c>
      <c r="H1456" s="5" t="s">
        <v>24</v>
      </c>
      <c r="I1456" s="5" t="s">
        <v>4</v>
      </c>
      <c r="J1456" s="6">
        <f>Table1[[#This Row],[Profit]]/Table1[[#This Row],[Sales]]</f>
        <v>0.69851224696003622</v>
      </c>
      <c r="K1456" s="5" t="str">
        <f t="shared" si="22"/>
        <v>Low</v>
      </c>
      <c r="L1456" s="5" t="str">
        <f>TEXT(Table1[[#This Row],[Order_Date]],"MMM")</f>
        <v>Aug</v>
      </c>
      <c r="M1456" s="5" t="str">
        <f>IF(Table1[[#This Row],[Profit]]&gt;=1000,"Excellent",IF(Table1[[#This Row],[Profit]]&gt;=500,"Good", IF(Table1[[#This Row],[Profit]]&lt;500,"Low")))</f>
        <v>Low</v>
      </c>
      <c r="N1456" s="7" t="str">
        <f>TEXT(Table1[[#This Row],[Order_Date]],"YYY")</f>
        <v>2025</v>
      </c>
    </row>
    <row r="1457" spans="1:14" x14ac:dyDescent="0.3">
      <c r="A1457" s="4">
        <v>45900</v>
      </c>
      <c r="B1457" s="5" t="s">
        <v>18</v>
      </c>
      <c r="C1457" s="5" t="s">
        <v>26</v>
      </c>
      <c r="D1457" s="23">
        <v>215.02</v>
      </c>
      <c r="E1457" s="23">
        <v>85.99</v>
      </c>
      <c r="F1457" s="23">
        <v>129.03</v>
      </c>
      <c r="G1457" s="5" t="s">
        <v>32</v>
      </c>
      <c r="H1457" s="5" t="s">
        <v>35</v>
      </c>
      <c r="I1457" s="5" t="s">
        <v>11</v>
      </c>
      <c r="J1457" s="6">
        <f>Table1[[#This Row],[Profit]]/Table1[[#This Row],[Sales]]</f>
        <v>0.60008371314296338</v>
      </c>
      <c r="K1457" s="5" t="str">
        <f t="shared" si="22"/>
        <v>Low</v>
      </c>
      <c r="L1457" s="5" t="str">
        <f>TEXT(Table1[[#This Row],[Order_Date]],"MMM")</f>
        <v>Aug</v>
      </c>
      <c r="M1457" s="5" t="str">
        <f>IF(Table1[[#This Row],[Profit]]&gt;=1000,"Excellent",IF(Table1[[#This Row],[Profit]]&gt;=500,"Good", IF(Table1[[#This Row],[Profit]]&lt;500,"Low")))</f>
        <v>Low</v>
      </c>
      <c r="N1457" s="7" t="str">
        <f>TEXT(Table1[[#This Row],[Order_Date]],"YYY")</f>
        <v>2025</v>
      </c>
    </row>
    <row r="1458" spans="1:14" x14ac:dyDescent="0.3">
      <c r="A1458" s="4">
        <v>45900</v>
      </c>
      <c r="B1458" s="5" t="s">
        <v>18</v>
      </c>
      <c r="C1458" s="5" t="s">
        <v>26</v>
      </c>
      <c r="D1458" s="23">
        <v>1055.9100000000001</v>
      </c>
      <c r="E1458" s="23">
        <v>393.93</v>
      </c>
      <c r="F1458" s="23">
        <v>661.98</v>
      </c>
      <c r="G1458" s="5" t="s">
        <v>32</v>
      </c>
      <c r="H1458" s="5" t="s">
        <v>34</v>
      </c>
      <c r="I1458" s="5" t="s">
        <v>22</v>
      </c>
      <c r="J1458" s="6">
        <f>Table1[[#This Row],[Profit]]/Table1[[#This Row],[Sales]]</f>
        <v>0.62692843140040344</v>
      </c>
      <c r="K1458" s="5" t="str">
        <f t="shared" si="22"/>
        <v>Low</v>
      </c>
      <c r="L1458" s="5" t="str">
        <f>TEXT(Table1[[#This Row],[Order_Date]],"MMM")</f>
        <v>Aug</v>
      </c>
      <c r="M1458" s="5" t="str">
        <f>IF(Table1[[#This Row],[Profit]]&gt;=1000,"Excellent",IF(Table1[[#This Row],[Profit]]&gt;=500,"Good", IF(Table1[[#This Row],[Profit]]&lt;500,"Low")))</f>
        <v>Good</v>
      </c>
      <c r="N1458" s="7" t="str">
        <f>TEXT(Table1[[#This Row],[Order_Date]],"YYY")</f>
        <v>2025</v>
      </c>
    </row>
    <row r="1459" spans="1:14" x14ac:dyDescent="0.3">
      <c r="A1459" s="4">
        <v>45901</v>
      </c>
      <c r="B1459" s="5" t="s">
        <v>13</v>
      </c>
      <c r="C1459" s="5" t="s">
        <v>23</v>
      </c>
      <c r="D1459" s="23">
        <v>392.99</v>
      </c>
      <c r="E1459" s="23">
        <v>171.55</v>
      </c>
      <c r="F1459" s="23">
        <v>221.44</v>
      </c>
      <c r="G1459" s="5" t="s">
        <v>9</v>
      </c>
      <c r="H1459" s="5" t="s">
        <v>37</v>
      </c>
      <c r="I1459" s="5" t="s">
        <v>25</v>
      </c>
      <c r="J1459" s="6">
        <f>Table1[[#This Row],[Profit]]/Table1[[#This Row],[Sales]]</f>
        <v>0.56347489758009106</v>
      </c>
      <c r="K1459" s="5" t="str">
        <f t="shared" si="22"/>
        <v>Low</v>
      </c>
      <c r="L1459" s="5" t="str">
        <f>TEXT(Table1[[#This Row],[Order_Date]],"MMM")</f>
        <v>Sep</v>
      </c>
      <c r="M1459" s="5" t="str">
        <f>IF(Table1[[#This Row],[Profit]]&gt;=1000,"Excellent",IF(Table1[[#This Row],[Profit]]&gt;=500,"Good", IF(Table1[[#This Row],[Profit]]&lt;500,"Low")))</f>
        <v>Low</v>
      </c>
      <c r="N1459" s="7" t="str">
        <f>TEXT(Table1[[#This Row],[Order_Date]],"YYY")</f>
        <v>2025</v>
      </c>
    </row>
    <row r="1460" spans="1:14" x14ac:dyDescent="0.3">
      <c r="A1460" s="4">
        <v>45901</v>
      </c>
      <c r="B1460" s="5" t="s">
        <v>13</v>
      </c>
      <c r="C1460" s="5" t="s">
        <v>26</v>
      </c>
      <c r="D1460" s="23">
        <v>990.04</v>
      </c>
      <c r="E1460" s="23">
        <v>333.03</v>
      </c>
      <c r="F1460" s="23">
        <v>657.01</v>
      </c>
      <c r="G1460" s="5" t="s">
        <v>6</v>
      </c>
      <c r="H1460" s="5" t="s">
        <v>35</v>
      </c>
      <c r="I1460" s="5" t="s">
        <v>25</v>
      </c>
      <c r="J1460" s="6">
        <f>Table1[[#This Row],[Profit]]/Table1[[#This Row],[Sales]]</f>
        <v>0.66361965173124315</v>
      </c>
      <c r="K1460" s="5" t="str">
        <f t="shared" si="22"/>
        <v>Low</v>
      </c>
      <c r="L1460" s="5" t="str">
        <f>TEXT(Table1[[#This Row],[Order_Date]],"MMM")</f>
        <v>Sep</v>
      </c>
      <c r="M1460" s="5" t="str">
        <f>IF(Table1[[#This Row],[Profit]]&gt;=1000,"Excellent",IF(Table1[[#This Row],[Profit]]&gt;=500,"Good", IF(Table1[[#This Row],[Profit]]&lt;500,"Low")))</f>
        <v>Good</v>
      </c>
      <c r="N1460" s="7" t="str">
        <f>TEXT(Table1[[#This Row],[Order_Date]],"YYY")</f>
        <v>2025</v>
      </c>
    </row>
    <row r="1461" spans="1:14" x14ac:dyDescent="0.3">
      <c r="A1461" s="4">
        <v>45902</v>
      </c>
      <c r="B1461" s="5" t="s">
        <v>8</v>
      </c>
      <c r="C1461" s="5" t="s">
        <v>5</v>
      </c>
      <c r="D1461" s="23">
        <v>1093.1400000000001</v>
      </c>
      <c r="E1461" s="23">
        <v>376.22</v>
      </c>
      <c r="F1461" s="23">
        <v>716.92</v>
      </c>
      <c r="G1461" s="5" t="s">
        <v>20</v>
      </c>
      <c r="H1461" s="5" t="s">
        <v>10</v>
      </c>
      <c r="I1461" s="5" t="s">
        <v>22</v>
      </c>
      <c r="J1461" s="6">
        <f>Table1[[#This Row],[Profit]]/Table1[[#This Row],[Sales]]</f>
        <v>0.65583548310371942</v>
      </c>
      <c r="K1461" s="5" t="str">
        <f t="shared" si="22"/>
        <v>Low</v>
      </c>
      <c r="L1461" s="5" t="str">
        <f>TEXT(Table1[[#This Row],[Order_Date]],"MMM")</f>
        <v>Sep</v>
      </c>
      <c r="M1461" s="5" t="str">
        <f>IF(Table1[[#This Row],[Profit]]&gt;=1000,"Excellent",IF(Table1[[#This Row],[Profit]]&gt;=500,"Good", IF(Table1[[#This Row],[Profit]]&lt;500,"Low")))</f>
        <v>Good</v>
      </c>
      <c r="N1461" s="7" t="str">
        <f>TEXT(Table1[[#This Row],[Order_Date]],"YYY")</f>
        <v>2025</v>
      </c>
    </row>
    <row r="1462" spans="1:14" x14ac:dyDescent="0.3">
      <c r="A1462" s="4">
        <v>45902</v>
      </c>
      <c r="B1462" s="5" t="s">
        <v>8</v>
      </c>
      <c r="C1462" s="5" t="s">
        <v>23</v>
      </c>
      <c r="D1462" s="23">
        <v>202.17</v>
      </c>
      <c r="E1462" s="23">
        <v>92.98</v>
      </c>
      <c r="F1462" s="23">
        <v>109.19</v>
      </c>
      <c r="G1462" s="5" t="s">
        <v>9</v>
      </c>
      <c r="H1462" s="5" t="s">
        <v>7</v>
      </c>
      <c r="I1462" s="5" t="s">
        <v>25</v>
      </c>
      <c r="J1462" s="6">
        <f>Table1[[#This Row],[Profit]]/Table1[[#This Row],[Sales]]</f>
        <v>0.54009002324776179</v>
      </c>
      <c r="K1462" s="5" t="str">
        <f t="shared" si="22"/>
        <v>Low</v>
      </c>
      <c r="L1462" s="5" t="str">
        <f>TEXT(Table1[[#This Row],[Order_Date]],"MMM")</f>
        <v>Sep</v>
      </c>
      <c r="M1462" s="5" t="str">
        <f>IF(Table1[[#This Row],[Profit]]&gt;=1000,"Excellent",IF(Table1[[#This Row],[Profit]]&gt;=500,"Good", IF(Table1[[#This Row],[Profit]]&lt;500,"Low")))</f>
        <v>Low</v>
      </c>
      <c r="N1462" s="7" t="str">
        <f>TEXT(Table1[[#This Row],[Order_Date]],"YYY")</f>
        <v>2025</v>
      </c>
    </row>
    <row r="1463" spans="1:14" x14ac:dyDescent="0.3">
      <c r="A1463" s="4">
        <v>45903</v>
      </c>
      <c r="B1463" s="5" t="s">
        <v>18</v>
      </c>
      <c r="C1463" s="5" t="s">
        <v>23</v>
      </c>
      <c r="D1463" s="23">
        <v>396.91</v>
      </c>
      <c r="E1463" s="23">
        <v>121.08</v>
      </c>
      <c r="F1463" s="23">
        <v>275.83</v>
      </c>
      <c r="G1463" s="5" t="s">
        <v>9</v>
      </c>
      <c r="H1463" s="5" t="s">
        <v>30</v>
      </c>
      <c r="I1463" s="5" t="s">
        <v>22</v>
      </c>
      <c r="J1463" s="6">
        <f>Table1[[#This Row],[Profit]]/Table1[[#This Row],[Sales]]</f>
        <v>0.69494343805900571</v>
      </c>
      <c r="K1463" s="5" t="str">
        <f t="shared" si="22"/>
        <v>Low</v>
      </c>
      <c r="L1463" s="5" t="str">
        <f>TEXT(Table1[[#This Row],[Order_Date]],"MMM")</f>
        <v>Sep</v>
      </c>
      <c r="M1463" s="5" t="str">
        <f>IF(Table1[[#This Row],[Profit]]&gt;=1000,"Excellent",IF(Table1[[#This Row],[Profit]]&gt;=500,"Good", IF(Table1[[#This Row],[Profit]]&lt;500,"Low")))</f>
        <v>Low</v>
      </c>
      <c r="N1463" s="7" t="str">
        <f>TEXT(Table1[[#This Row],[Order_Date]],"YYY")</f>
        <v>2025</v>
      </c>
    </row>
    <row r="1464" spans="1:14" x14ac:dyDescent="0.3">
      <c r="A1464" s="4">
        <v>45903</v>
      </c>
      <c r="B1464" s="5" t="s">
        <v>18</v>
      </c>
      <c r="C1464" s="5" t="s">
        <v>23</v>
      </c>
      <c r="D1464" s="23">
        <v>569.82000000000005</v>
      </c>
      <c r="E1464" s="23">
        <v>259.45999999999998</v>
      </c>
      <c r="F1464" s="23">
        <v>310.36</v>
      </c>
      <c r="G1464" s="5" t="s">
        <v>2</v>
      </c>
      <c r="H1464" s="5" t="s">
        <v>34</v>
      </c>
      <c r="I1464" s="5" t="s">
        <v>25</v>
      </c>
      <c r="J1464" s="6">
        <f>Table1[[#This Row],[Profit]]/Table1[[#This Row],[Sales]]</f>
        <v>0.54466322698395986</v>
      </c>
      <c r="K1464" s="5" t="str">
        <f t="shared" si="22"/>
        <v>Low</v>
      </c>
      <c r="L1464" s="5" t="str">
        <f>TEXT(Table1[[#This Row],[Order_Date]],"MMM")</f>
        <v>Sep</v>
      </c>
      <c r="M1464" s="5" t="str">
        <f>IF(Table1[[#This Row],[Profit]]&gt;=1000,"Excellent",IF(Table1[[#This Row],[Profit]]&gt;=500,"Good", IF(Table1[[#This Row],[Profit]]&lt;500,"Low")))</f>
        <v>Low</v>
      </c>
      <c r="N1464" s="7" t="str">
        <f>TEXT(Table1[[#This Row],[Order_Date]],"YYY")</f>
        <v>2025</v>
      </c>
    </row>
    <row r="1465" spans="1:14" x14ac:dyDescent="0.3">
      <c r="A1465" s="4">
        <v>45903</v>
      </c>
      <c r="B1465" s="5" t="s">
        <v>0</v>
      </c>
      <c r="C1465" s="5" t="s">
        <v>19</v>
      </c>
      <c r="D1465" s="23">
        <v>87.46</v>
      </c>
      <c r="E1465" s="23">
        <v>19.37</v>
      </c>
      <c r="F1465" s="23">
        <v>68.09</v>
      </c>
      <c r="G1465" s="5" t="s">
        <v>2</v>
      </c>
      <c r="H1465" s="5" t="s">
        <v>15</v>
      </c>
      <c r="I1465" s="5" t="s">
        <v>11</v>
      </c>
      <c r="J1465" s="6">
        <f>Table1[[#This Row],[Profit]]/Table1[[#This Row],[Sales]]</f>
        <v>0.77852732677795577</v>
      </c>
      <c r="K1465" s="5" t="str">
        <f t="shared" si="22"/>
        <v>Low</v>
      </c>
      <c r="L1465" s="5" t="str">
        <f>TEXT(Table1[[#This Row],[Order_Date]],"MMM")</f>
        <v>Sep</v>
      </c>
      <c r="M1465" s="5" t="str">
        <f>IF(Table1[[#This Row],[Profit]]&gt;=1000,"Excellent",IF(Table1[[#This Row],[Profit]]&gt;=500,"Good", IF(Table1[[#This Row],[Profit]]&lt;500,"Low")))</f>
        <v>Low</v>
      </c>
      <c r="N1465" s="7" t="str">
        <f>TEXT(Table1[[#This Row],[Order_Date]],"YYY")</f>
        <v>2025</v>
      </c>
    </row>
    <row r="1466" spans="1:14" x14ac:dyDescent="0.3">
      <c r="A1466" s="4">
        <v>45905</v>
      </c>
      <c r="B1466" s="5" t="s">
        <v>13</v>
      </c>
      <c r="C1466" s="5" t="s">
        <v>31</v>
      </c>
      <c r="D1466" s="23">
        <v>153.9</v>
      </c>
      <c r="E1466" s="23">
        <v>46.25</v>
      </c>
      <c r="F1466" s="23">
        <v>107.65</v>
      </c>
      <c r="G1466" s="5" t="s">
        <v>20</v>
      </c>
      <c r="H1466" s="5" t="s">
        <v>12</v>
      </c>
      <c r="I1466" s="5" t="s">
        <v>25</v>
      </c>
      <c r="J1466" s="6">
        <f>Table1[[#This Row],[Profit]]/Table1[[#This Row],[Sales]]</f>
        <v>0.69948018193632233</v>
      </c>
      <c r="K1466" s="5" t="str">
        <f t="shared" si="22"/>
        <v>Low</v>
      </c>
      <c r="L1466" s="5" t="str">
        <f>TEXT(Table1[[#This Row],[Order_Date]],"MMM")</f>
        <v>Sep</v>
      </c>
      <c r="M1466" s="5" t="str">
        <f>IF(Table1[[#This Row],[Profit]]&gt;=1000,"Excellent",IF(Table1[[#This Row],[Profit]]&gt;=500,"Good", IF(Table1[[#This Row],[Profit]]&lt;500,"Low")))</f>
        <v>Low</v>
      </c>
      <c r="N1466" s="7" t="str">
        <f>TEXT(Table1[[#This Row],[Order_Date]],"YYY")</f>
        <v>2025</v>
      </c>
    </row>
    <row r="1467" spans="1:14" x14ac:dyDescent="0.3">
      <c r="A1467" s="4">
        <v>45905</v>
      </c>
      <c r="B1467" s="5" t="s">
        <v>8</v>
      </c>
      <c r="C1467" s="5" t="s">
        <v>31</v>
      </c>
      <c r="D1467" s="23">
        <v>257.61</v>
      </c>
      <c r="E1467" s="23">
        <v>62.87</v>
      </c>
      <c r="F1467" s="23">
        <v>194.74</v>
      </c>
      <c r="G1467" s="5" t="s">
        <v>9</v>
      </c>
      <c r="H1467" s="5" t="s">
        <v>35</v>
      </c>
      <c r="I1467" s="5" t="s">
        <v>22</v>
      </c>
      <c r="J1467" s="6">
        <f>Table1[[#This Row],[Profit]]/Table1[[#This Row],[Sales]]</f>
        <v>0.75594891502659056</v>
      </c>
      <c r="K1467" s="5" t="str">
        <f t="shared" si="22"/>
        <v>Low</v>
      </c>
      <c r="L1467" s="5" t="str">
        <f>TEXT(Table1[[#This Row],[Order_Date]],"MMM")</f>
        <v>Sep</v>
      </c>
      <c r="M1467" s="5" t="str">
        <f>IF(Table1[[#This Row],[Profit]]&gt;=1000,"Excellent",IF(Table1[[#This Row],[Profit]]&gt;=500,"Good", IF(Table1[[#This Row],[Profit]]&lt;500,"Low")))</f>
        <v>Low</v>
      </c>
      <c r="N1467" s="7" t="str">
        <f>TEXT(Table1[[#This Row],[Order_Date]],"YYY")</f>
        <v>2025</v>
      </c>
    </row>
    <row r="1468" spans="1:14" x14ac:dyDescent="0.3">
      <c r="A1468" s="4">
        <v>45905</v>
      </c>
      <c r="B1468" s="5" t="s">
        <v>18</v>
      </c>
      <c r="C1468" s="5" t="s">
        <v>14</v>
      </c>
      <c r="D1468" s="23">
        <v>387.42</v>
      </c>
      <c r="E1468" s="23">
        <v>203.58</v>
      </c>
      <c r="F1468" s="23">
        <v>183.84</v>
      </c>
      <c r="G1468" s="5" t="s">
        <v>6</v>
      </c>
      <c r="H1468" s="5" t="s">
        <v>10</v>
      </c>
      <c r="I1468" s="5" t="s">
        <v>27</v>
      </c>
      <c r="J1468" s="6">
        <f>Table1[[#This Row],[Profit]]/Table1[[#This Row],[Sales]]</f>
        <v>0.47452377264983736</v>
      </c>
      <c r="K1468" s="5" t="str">
        <f t="shared" si="22"/>
        <v>Low</v>
      </c>
      <c r="L1468" s="5" t="str">
        <f>TEXT(Table1[[#This Row],[Order_Date]],"MMM")</f>
        <v>Sep</v>
      </c>
      <c r="M1468" s="5" t="str">
        <f>IF(Table1[[#This Row],[Profit]]&gt;=1000,"Excellent",IF(Table1[[#This Row],[Profit]]&gt;=500,"Good", IF(Table1[[#This Row],[Profit]]&lt;500,"Low")))</f>
        <v>Low</v>
      </c>
      <c r="N1468" s="7" t="str">
        <f>TEXT(Table1[[#This Row],[Order_Date]],"YYY")</f>
        <v>2025</v>
      </c>
    </row>
    <row r="1469" spans="1:14" x14ac:dyDescent="0.3">
      <c r="A1469" s="4">
        <v>45906</v>
      </c>
      <c r="B1469" s="5" t="s">
        <v>18</v>
      </c>
      <c r="C1469" s="5" t="s">
        <v>26</v>
      </c>
      <c r="D1469" s="23">
        <v>424.07</v>
      </c>
      <c r="E1469" s="23">
        <v>109.83</v>
      </c>
      <c r="F1469" s="23">
        <v>314.24</v>
      </c>
      <c r="G1469" s="5" t="s">
        <v>9</v>
      </c>
      <c r="H1469" s="5" t="s">
        <v>37</v>
      </c>
      <c r="I1469" s="5" t="s">
        <v>17</v>
      </c>
      <c r="J1469" s="6">
        <f>Table1[[#This Row],[Profit]]/Table1[[#This Row],[Sales]]</f>
        <v>0.74100973895819089</v>
      </c>
      <c r="K1469" s="5" t="str">
        <f t="shared" si="22"/>
        <v>Low</v>
      </c>
      <c r="L1469" s="5" t="str">
        <f>TEXT(Table1[[#This Row],[Order_Date]],"MMM")</f>
        <v>Sep</v>
      </c>
      <c r="M1469" s="5" t="str">
        <f>IF(Table1[[#This Row],[Profit]]&gt;=1000,"Excellent",IF(Table1[[#This Row],[Profit]]&gt;=500,"Good", IF(Table1[[#This Row],[Profit]]&lt;500,"Low")))</f>
        <v>Low</v>
      </c>
      <c r="N1469" s="7" t="str">
        <f>TEXT(Table1[[#This Row],[Order_Date]],"YYY")</f>
        <v>2025</v>
      </c>
    </row>
    <row r="1470" spans="1:14" x14ac:dyDescent="0.3">
      <c r="A1470" s="4">
        <v>45907</v>
      </c>
      <c r="B1470" s="5" t="s">
        <v>0</v>
      </c>
      <c r="C1470" s="5" t="s">
        <v>5</v>
      </c>
      <c r="D1470" s="23">
        <v>2225.1799999999998</v>
      </c>
      <c r="E1470" s="23">
        <v>948.19</v>
      </c>
      <c r="F1470" s="23">
        <v>1276.99</v>
      </c>
      <c r="G1470" s="5" t="s">
        <v>2</v>
      </c>
      <c r="H1470" s="5" t="s">
        <v>24</v>
      </c>
      <c r="I1470" s="5" t="s">
        <v>27</v>
      </c>
      <c r="J1470" s="6">
        <f>Table1[[#This Row],[Profit]]/Table1[[#This Row],[Sales]]</f>
        <v>0.57388166350587377</v>
      </c>
      <c r="K1470" s="5" t="str">
        <f t="shared" si="22"/>
        <v>High</v>
      </c>
      <c r="L1470" s="5" t="str">
        <f>TEXT(Table1[[#This Row],[Order_Date]],"MMM")</f>
        <v>Sep</v>
      </c>
      <c r="M1470" s="5" t="str">
        <f>IF(Table1[[#This Row],[Profit]]&gt;=1000,"Excellent",IF(Table1[[#This Row],[Profit]]&gt;=500,"Good", IF(Table1[[#This Row],[Profit]]&lt;500,"Low")))</f>
        <v>Excellent</v>
      </c>
      <c r="N1470" s="7" t="str">
        <f>TEXT(Table1[[#This Row],[Order_Date]],"YYY")</f>
        <v>2025</v>
      </c>
    </row>
    <row r="1471" spans="1:14" x14ac:dyDescent="0.3">
      <c r="A1471" s="4">
        <v>45907</v>
      </c>
      <c r="B1471" s="5" t="s">
        <v>0</v>
      </c>
      <c r="C1471" s="5" t="s">
        <v>31</v>
      </c>
      <c r="D1471" s="23">
        <v>299.13</v>
      </c>
      <c r="E1471" s="23">
        <v>83.34</v>
      </c>
      <c r="F1471" s="23">
        <v>215.79</v>
      </c>
      <c r="G1471" s="5" t="s">
        <v>9</v>
      </c>
      <c r="H1471" s="5" t="s">
        <v>3</v>
      </c>
      <c r="I1471" s="5" t="s">
        <v>11</v>
      </c>
      <c r="J1471" s="6">
        <f>Table1[[#This Row],[Profit]]/Table1[[#This Row],[Sales]]</f>
        <v>0.72139203690703035</v>
      </c>
      <c r="K1471" s="5" t="str">
        <f t="shared" si="22"/>
        <v>Low</v>
      </c>
      <c r="L1471" s="5" t="str">
        <f>TEXT(Table1[[#This Row],[Order_Date]],"MMM")</f>
        <v>Sep</v>
      </c>
      <c r="M1471" s="5" t="str">
        <f>IF(Table1[[#This Row],[Profit]]&gt;=1000,"Excellent",IF(Table1[[#This Row],[Profit]]&gt;=500,"Good", IF(Table1[[#This Row],[Profit]]&lt;500,"Low")))</f>
        <v>Low</v>
      </c>
      <c r="N1471" s="7" t="str">
        <f>TEXT(Table1[[#This Row],[Order_Date]],"YYY")</f>
        <v>2025</v>
      </c>
    </row>
    <row r="1472" spans="1:14" x14ac:dyDescent="0.3">
      <c r="A1472" s="4">
        <v>45907</v>
      </c>
      <c r="B1472" s="5" t="s">
        <v>18</v>
      </c>
      <c r="C1472" s="5" t="s">
        <v>14</v>
      </c>
      <c r="D1472" s="23">
        <v>284.64</v>
      </c>
      <c r="E1472" s="23">
        <v>146.69999999999999</v>
      </c>
      <c r="F1472" s="23">
        <v>137.94</v>
      </c>
      <c r="G1472" s="5" t="s">
        <v>6</v>
      </c>
      <c r="H1472" s="5" t="s">
        <v>37</v>
      </c>
      <c r="I1472" s="5" t="s">
        <v>25</v>
      </c>
      <c r="J1472" s="6">
        <f>Table1[[#This Row],[Profit]]/Table1[[#This Row],[Sales]]</f>
        <v>0.48461214165261385</v>
      </c>
      <c r="K1472" s="5" t="str">
        <f t="shared" si="22"/>
        <v>Low</v>
      </c>
      <c r="L1472" s="5" t="str">
        <f>TEXT(Table1[[#This Row],[Order_Date]],"MMM")</f>
        <v>Sep</v>
      </c>
      <c r="M1472" s="5" t="str">
        <f>IF(Table1[[#This Row],[Profit]]&gt;=1000,"Excellent",IF(Table1[[#This Row],[Profit]]&gt;=500,"Good", IF(Table1[[#This Row],[Profit]]&lt;500,"Low")))</f>
        <v>Low</v>
      </c>
      <c r="N1472" s="7" t="str">
        <f>TEXT(Table1[[#This Row],[Order_Date]],"YYY")</f>
        <v>2025</v>
      </c>
    </row>
    <row r="1473" spans="1:14" x14ac:dyDescent="0.3">
      <c r="A1473" s="4">
        <v>45908</v>
      </c>
      <c r="B1473" s="5" t="s">
        <v>18</v>
      </c>
      <c r="C1473" s="5" t="s">
        <v>5</v>
      </c>
      <c r="D1473" s="23">
        <v>1451.34</v>
      </c>
      <c r="E1473" s="23">
        <v>602.87</v>
      </c>
      <c r="F1473" s="23">
        <v>848.47</v>
      </c>
      <c r="G1473" s="5" t="s">
        <v>2</v>
      </c>
      <c r="H1473" s="5" t="s">
        <v>36</v>
      </c>
      <c r="I1473" s="5" t="s">
        <v>27</v>
      </c>
      <c r="J1473" s="6">
        <f>Table1[[#This Row],[Profit]]/Table1[[#This Row],[Sales]]</f>
        <v>0.58461146251050755</v>
      </c>
      <c r="K1473" s="5" t="str">
        <f t="shared" si="22"/>
        <v>Low</v>
      </c>
      <c r="L1473" s="5" t="str">
        <f>TEXT(Table1[[#This Row],[Order_Date]],"MMM")</f>
        <v>Sep</v>
      </c>
      <c r="M1473" s="5" t="str">
        <f>IF(Table1[[#This Row],[Profit]]&gt;=1000,"Excellent",IF(Table1[[#This Row],[Profit]]&gt;=500,"Good", IF(Table1[[#This Row],[Profit]]&lt;500,"Low")))</f>
        <v>Good</v>
      </c>
      <c r="N1473" s="7" t="str">
        <f>TEXT(Table1[[#This Row],[Order_Date]],"YYY")</f>
        <v>2025</v>
      </c>
    </row>
    <row r="1474" spans="1:14" x14ac:dyDescent="0.3">
      <c r="A1474" s="4">
        <v>45909</v>
      </c>
      <c r="B1474" s="5" t="s">
        <v>13</v>
      </c>
      <c r="C1474" s="5" t="s">
        <v>23</v>
      </c>
      <c r="D1474" s="23">
        <v>892.64</v>
      </c>
      <c r="E1474" s="23">
        <v>412.21</v>
      </c>
      <c r="F1474" s="23">
        <v>480.43</v>
      </c>
      <c r="G1474" s="5" t="s">
        <v>9</v>
      </c>
      <c r="H1474" s="5" t="s">
        <v>3</v>
      </c>
      <c r="I1474" s="5" t="s">
        <v>27</v>
      </c>
      <c r="J1474" s="6">
        <f>Table1[[#This Row],[Profit]]/Table1[[#This Row],[Sales]]</f>
        <v>0.53821249327836529</v>
      </c>
      <c r="K1474" s="5" t="str">
        <f t="shared" ref="K1474:K1537" si="23">IF(D1474&gt;=2000,"High",IF(D1474&gt;=1500,"Medium","Low"))</f>
        <v>Low</v>
      </c>
      <c r="L1474" s="5" t="str">
        <f>TEXT(Table1[[#This Row],[Order_Date]],"MMM")</f>
        <v>Sep</v>
      </c>
      <c r="M1474" s="5" t="str">
        <f>IF(Table1[[#This Row],[Profit]]&gt;=1000,"Excellent",IF(Table1[[#This Row],[Profit]]&gt;=500,"Good", IF(Table1[[#This Row],[Profit]]&lt;500,"Low")))</f>
        <v>Low</v>
      </c>
      <c r="N1474" s="7" t="str">
        <f>TEXT(Table1[[#This Row],[Order_Date]],"YYY")</f>
        <v>2025</v>
      </c>
    </row>
    <row r="1475" spans="1:14" x14ac:dyDescent="0.3">
      <c r="A1475" s="4">
        <v>45909</v>
      </c>
      <c r="B1475" s="5" t="s">
        <v>18</v>
      </c>
      <c r="C1475" s="5" t="s">
        <v>19</v>
      </c>
      <c r="D1475" s="23">
        <v>95.48</v>
      </c>
      <c r="E1475" s="23">
        <v>30</v>
      </c>
      <c r="F1475" s="23">
        <v>65.48</v>
      </c>
      <c r="G1475" s="5" t="s">
        <v>32</v>
      </c>
      <c r="H1475" s="5" t="s">
        <v>15</v>
      </c>
      <c r="I1475" s="5" t="s">
        <v>22</v>
      </c>
      <c r="J1475" s="6">
        <f>Table1[[#This Row],[Profit]]/Table1[[#This Row],[Sales]]</f>
        <v>0.68579807289484707</v>
      </c>
      <c r="K1475" s="5" t="str">
        <f t="shared" si="23"/>
        <v>Low</v>
      </c>
      <c r="L1475" s="5" t="str">
        <f>TEXT(Table1[[#This Row],[Order_Date]],"MMM")</f>
        <v>Sep</v>
      </c>
      <c r="M1475" s="5" t="str">
        <f>IF(Table1[[#This Row],[Profit]]&gt;=1000,"Excellent",IF(Table1[[#This Row],[Profit]]&gt;=500,"Good", IF(Table1[[#This Row],[Profit]]&lt;500,"Low")))</f>
        <v>Low</v>
      </c>
      <c r="N1475" s="7" t="str">
        <f>TEXT(Table1[[#This Row],[Order_Date]],"YYY")</f>
        <v>2025</v>
      </c>
    </row>
    <row r="1476" spans="1:14" x14ac:dyDescent="0.3">
      <c r="A1476" s="4">
        <v>45910</v>
      </c>
      <c r="B1476" s="5" t="s">
        <v>0</v>
      </c>
      <c r="C1476" s="5" t="s">
        <v>19</v>
      </c>
      <c r="D1476" s="23">
        <v>118.72</v>
      </c>
      <c r="E1476" s="23">
        <v>31.61</v>
      </c>
      <c r="F1476" s="23">
        <v>87.11</v>
      </c>
      <c r="G1476" s="5" t="s">
        <v>6</v>
      </c>
      <c r="H1476" s="5" t="s">
        <v>33</v>
      </c>
      <c r="I1476" s="5" t="s">
        <v>11</v>
      </c>
      <c r="J1476" s="6">
        <f>Table1[[#This Row],[Profit]]/Table1[[#This Row],[Sales]]</f>
        <v>0.7337432614555256</v>
      </c>
      <c r="K1476" s="5" t="str">
        <f t="shared" si="23"/>
        <v>Low</v>
      </c>
      <c r="L1476" s="5" t="str">
        <f>TEXT(Table1[[#This Row],[Order_Date]],"MMM")</f>
        <v>Sep</v>
      </c>
      <c r="M1476" s="5" t="str">
        <f>IF(Table1[[#This Row],[Profit]]&gt;=1000,"Excellent",IF(Table1[[#This Row],[Profit]]&gt;=500,"Good", IF(Table1[[#This Row],[Profit]]&lt;500,"Low")))</f>
        <v>Low</v>
      </c>
      <c r="N1476" s="7" t="str">
        <f>TEXT(Table1[[#This Row],[Order_Date]],"YYY")</f>
        <v>2025</v>
      </c>
    </row>
    <row r="1477" spans="1:14" x14ac:dyDescent="0.3">
      <c r="A1477" s="4">
        <v>45910</v>
      </c>
      <c r="B1477" s="5" t="s">
        <v>8</v>
      </c>
      <c r="C1477" s="5" t="s">
        <v>19</v>
      </c>
      <c r="D1477" s="23">
        <v>118.55</v>
      </c>
      <c r="E1477" s="23">
        <v>37.07</v>
      </c>
      <c r="F1477" s="23">
        <v>81.48</v>
      </c>
      <c r="G1477" s="5" t="s">
        <v>32</v>
      </c>
      <c r="H1477" s="5" t="s">
        <v>33</v>
      </c>
      <c r="I1477" s="5" t="s">
        <v>11</v>
      </c>
      <c r="J1477" s="6">
        <f>Table1[[#This Row],[Profit]]/Table1[[#This Row],[Sales]]</f>
        <v>0.68730493462673981</v>
      </c>
      <c r="K1477" s="5" t="str">
        <f t="shared" si="23"/>
        <v>Low</v>
      </c>
      <c r="L1477" s="5" t="str">
        <f>TEXT(Table1[[#This Row],[Order_Date]],"MMM")</f>
        <v>Sep</v>
      </c>
      <c r="M1477" s="5" t="str">
        <f>IF(Table1[[#This Row],[Profit]]&gt;=1000,"Excellent",IF(Table1[[#This Row],[Profit]]&gt;=500,"Good", IF(Table1[[#This Row],[Profit]]&lt;500,"Low")))</f>
        <v>Low</v>
      </c>
      <c r="N1477" s="7" t="str">
        <f>TEXT(Table1[[#This Row],[Order_Date]],"YYY")</f>
        <v>2025</v>
      </c>
    </row>
    <row r="1478" spans="1:14" x14ac:dyDescent="0.3">
      <c r="A1478" s="4">
        <v>45910</v>
      </c>
      <c r="B1478" s="5" t="s">
        <v>18</v>
      </c>
      <c r="C1478" s="5" t="s">
        <v>19</v>
      </c>
      <c r="D1478" s="23">
        <v>6.82</v>
      </c>
      <c r="E1478" s="23">
        <v>2.5299999999999998</v>
      </c>
      <c r="F1478" s="23">
        <v>4.29</v>
      </c>
      <c r="G1478" s="5" t="s">
        <v>6</v>
      </c>
      <c r="H1478" s="5" t="s">
        <v>35</v>
      </c>
      <c r="I1478" s="5" t="s">
        <v>17</v>
      </c>
      <c r="J1478" s="6">
        <f>Table1[[#This Row],[Profit]]/Table1[[#This Row],[Sales]]</f>
        <v>0.62903225806451613</v>
      </c>
      <c r="K1478" s="5" t="str">
        <f t="shared" si="23"/>
        <v>Low</v>
      </c>
      <c r="L1478" s="5" t="str">
        <f>TEXT(Table1[[#This Row],[Order_Date]],"MMM")</f>
        <v>Sep</v>
      </c>
      <c r="M1478" s="5" t="str">
        <f>IF(Table1[[#This Row],[Profit]]&gt;=1000,"Excellent",IF(Table1[[#This Row],[Profit]]&gt;=500,"Good", IF(Table1[[#This Row],[Profit]]&lt;500,"Low")))</f>
        <v>Low</v>
      </c>
      <c r="N1478" s="7" t="str">
        <f>TEXT(Table1[[#This Row],[Order_Date]],"YYY")</f>
        <v>2025</v>
      </c>
    </row>
    <row r="1479" spans="1:14" x14ac:dyDescent="0.3">
      <c r="A1479" s="4">
        <v>45910</v>
      </c>
      <c r="B1479" s="5" t="s">
        <v>18</v>
      </c>
      <c r="C1479" s="5" t="s">
        <v>26</v>
      </c>
      <c r="D1479" s="23">
        <v>852.14</v>
      </c>
      <c r="E1479" s="23">
        <v>372.31</v>
      </c>
      <c r="F1479" s="23">
        <v>479.83</v>
      </c>
      <c r="G1479" s="5" t="s">
        <v>9</v>
      </c>
      <c r="H1479" s="5" t="s">
        <v>15</v>
      </c>
      <c r="I1479" s="5" t="s">
        <v>22</v>
      </c>
      <c r="J1479" s="6">
        <f>Table1[[#This Row],[Profit]]/Table1[[#This Row],[Sales]]</f>
        <v>0.5630882249395639</v>
      </c>
      <c r="K1479" s="5" t="str">
        <f t="shared" si="23"/>
        <v>Low</v>
      </c>
      <c r="L1479" s="5" t="str">
        <f>TEXT(Table1[[#This Row],[Order_Date]],"MMM")</f>
        <v>Sep</v>
      </c>
      <c r="M1479" s="5" t="str">
        <f>IF(Table1[[#This Row],[Profit]]&gt;=1000,"Excellent",IF(Table1[[#This Row],[Profit]]&gt;=500,"Good", IF(Table1[[#This Row],[Profit]]&lt;500,"Low")))</f>
        <v>Low</v>
      </c>
      <c r="N1479" s="7" t="str">
        <f>TEXT(Table1[[#This Row],[Order_Date]],"YYY")</f>
        <v>2025</v>
      </c>
    </row>
    <row r="1480" spans="1:14" x14ac:dyDescent="0.3">
      <c r="A1480" s="4">
        <v>45911</v>
      </c>
      <c r="B1480" s="5" t="s">
        <v>16</v>
      </c>
      <c r="C1480" s="5" t="s">
        <v>1</v>
      </c>
      <c r="D1480" s="23">
        <v>78.319999999999993</v>
      </c>
      <c r="E1480" s="23">
        <v>37.58</v>
      </c>
      <c r="F1480" s="23">
        <v>40.74</v>
      </c>
      <c r="G1480" s="5" t="s">
        <v>20</v>
      </c>
      <c r="H1480" s="5" t="s">
        <v>21</v>
      </c>
      <c r="I1480" s="5" t="s">
        <v>17</v>
      </c>
      <c r="J1480" s="6">
        <f>Table1[[#This Row],[Profit]]/Table1[[#This Row],[Sales]]</f>
        <v>0.52017364657814102</v>
      </c>
      <c r="K1480" s="5" t="str">
        <f t="shared" si="23"/>
        <v>Low</v>
      </c>
      <c r="L1480" s="5" t="str">
        <f>TEXT(Table1[[#This Row],[Order_Date]],"MMM")</f>
        <v>Sep</v>
      </c>
      <c r="M1480" s="5" t="str">
        <f>IF(Table1[[#This Row],[Profit]]&gt;=1000,"Excellent",IF(Table1[[#This Row],[Profit]]&gt;=500,"Good", IF(Table1[[#This Row],[Profit]]&lt;500,"Low")))</f>
        <v>Low</v>
      </c>
      <c r="N1480" s="7" t="str">
        <f>TEXT(Table1[[#This Row],[Order_Date]],"YYY")</f>
        <v>2025</v>
      </c>
    </row>
    <row r="1481" spans="1:14" x14ac:dyDescent="0.3">
      <c r="A1481" s="4">
        <v>45912</v>
      </c>
      <c r="B1481" s="5" t="s">
        <v>18</v>
      </c>
      <c r="C1481" s="5" t="s">
        <v>31</v>
      </c>
      <c r="D1481" s="23">
        <v>86.26</v>
      </c>
      <c r="E1481" s="23">
        <v>27.22</v>
      </c>
      <c r="F1481" s="23">
        <v>59.04</v>
      </c>
      <c r="G1481" s="5" t="s">
        <v>9</v>
      </c>
      <c r="H1481" s="5" t="s">
        <v>28</v>
      </c>
      <c r="I1481" s="5" t="s">
        <v>4</v>
      </c>
      <c r="J1481" s="6">
        <f>Table1[[#This Row],[Profit]]/Table1[[#This Row],[Sales]]</f>
        <v>0.684442383491769</v>
      </c>
      <c r="K1481" s="5" t="str">
        <f t="shared" si="23"/>
        <v>Low</v>
      </c>
      <c r="L1481" s="5" t="str">
        <f>TEXT(Table1[[#This Row],[Order_Date]],"MMM")</f>
        <v>Sep</v>
      </c>
      <c r="M1481" s="5" t="str">
        <f>IF(Table1[[#This Row],[Profit]]&gt;=1000,"Excellent",IF(Table1[[#This Row],[Profit]]&gt;=500,"Good", IF(Table1[[#This Row],[Profit]]&lt;500,"Low")))</f>
        <v>Low</v>
      </c>
      <c r="N1481" s="7" t="str">
        <f>TEXT(Table1[[#This Row],[Order_Date]],"YYY")</f>
        <v>2025</v>
      </c>
    </row>
    <row r="1482" spans="1:14" x14ac:dyDescent="0.3">
      <c r="A1482" s="4">
        <v>45912</v>
      </c>
      <c r="B1482" s="5" t="s">
        <v>18</v>
      </c>
      <c r="C1482" s="5" t="s">
        <v>5</v>
      </c>
      <c r="D1482" s="23">
        <v>448.36</v>
      </c>
      <c r="E1482" s="23">
        <v>146.13999999999999</v>
      </c>
      <c r="F1482" s="23">
        <v>302.22000000000003</v>
      </c>
      <c r="G1482" s="5" t="s">
        <v>32</v>
      </c>
      <c r="H1482" s="5" t="s">
        <v>12</v>
      </c>
      <c r="I1482" s="5" t="s">
        <v>17</v>
      </c>
      <c r="J1482" s="6">
        <f>Table1[[#This Row],[Profit]]/Table1[[#This Row],[Sales]]</f>
        <v>0.67405656169149797</v>
      </c>
      <c r="K1482" s="5" t="str">
        <f t="shared" si="23"/>
        <v>Low</v>
      </c>
      <c r="L1482" s="5" t="str">
        <f>TEXT(Table1[[#This Row],[Order_Date]],"MMM")</f>
        <v>Sep</v>
      </c>
      <c r="M1482" s="5" t="str">
        <f>IF(Table1[[#This Row],[Profit]]&gt;=1000,"Excellent",IF(Table1[[#This Row],[Profit]]&gt;=500,"Good", IF(Table1[[#This Row],[Profit]]&lt;500,"Low")))</f>
        <v>Low</v>
      </c>
      <c r="N1482" s="7" t="str">
        <f>TEXT(Table1[[#This Row],[Order_Date]],"YYY")</f>
        <v>2025</v>
      </c>
    </row>
    <row r="1483" spans="1:14" x14ac:dyDescent="0.3">
      <c r="A1483" s="4">
        <v>45912</v>
      </c>
      <c r="B1483" s="5" t="s">
        <v>0</v>
      </c>
      <c r="C1483" s="5" t="s">
        <v>14</v>
      </c>
      <c r="D1483" s="23">
        <v>102.84</v>
      </c>
      <c r="E1483" s="23">
        <v>53.82</v>
      </c>
      <c r="F1483" s="23">
        <v>49.02</v>
      </c>
      <c r="G1483" s="5" t="s">
        <v>9</v>
      </c>
      <c r="H1483" s="5" t="s">
        <v>12</v>
      </c>
      <c r="I1483" s="5" t="s">
        <v>17</v>
      </c>
      <c r="J1483" s="6">
        <f>Table1[[#This Row],[Profit]]/Table1[[#This Row],[Sales]]</f>
        <v>0.4766627771295216</v>
      </c>
      <c r="K1483" s="5" t="str">
        <f t="shared" si="23"/>
        <v>Low</v>
      </c>
      <c r="L1483" s="5" t="str">
        <f>TEXT(Table1[[#This Row],[Order_Date]],"MMM")</f>
        <v>Sep</v>
      </c>
      <c r="M1483" s="5" t="str">
        <f>IF(Table1[[#This Row],[Profit]]&gt;=1000,"Excellent",IF(Table1[[#This Row],[Profit]]&gt;=500,"Good", IF(Table1[[#This Row],[Profit]]&lt;500,"Low")))</f>
        <v>Low</v>
      </c>
      <c r="N1483" s="7" t="str">
        <f>TEXT(Table1[[#This Row],[Order_Date]],"YYY")</f>
        <v>2025</v>
      </c>
    </row>
    <row r="1484" spans="1:14" x14ac:dyDescent="0.3">
      <c r="A1484" s="4">
        <v>45912</v>
      </c>
      <c r="B1484" s="5" t="s">
        <v>18</v>
      </c>
      <c r="C1484" s="5" t="s">
        <v>31</v>
      </c>
      <c r="D1484" s="23">
        <v>91.24</v>
      </c>
      <c r="E1484" s="23">
        <v>25.42</v>
      </c>
      <c r="F1484" s="23">
        <v>65.819999999999993</v>
      </c>
      <c r="G1484" s="5" t="s">
        <v>2</v>
      </c>
      <c r="H1484" s="5" t="s">
        <v>24</v>
      </c>
      <c r="I1484" s="5" t="s">
        <v>25</v>
      </c>
      <c r="J1484" s="6">
        <f>Table1[[#This Row],[Profit]]/Table1[[#This Row],[Sales]]</f>
        <v>0.7213941253836037</v>
      </c>
      <c r="K1484" s="5" t="str">
        <f t="shared" si="23"/>
        <v>Low</v>
      </c>
      <c r="L1484" s="5" t="str">
        <f>TEXT(Table1[[#This Row],[Order_Date]],"MMM")</f>
        <v>Sep</v>
      </c>
      <c r="M1484" s="5" t="str">
        <f>IF(Table1[[#This Row],[Profit]]&gt;=1000,"Excellent",IF(Table1[[#This Row],[Profit]]&gt;=500,"Good", IF(Table1[[#This Row],[Profit]]&lt;500,"Low")))</f>
        <v>Low</v>
      </c>
      <c r="N1484" s="7" t="str">
        <f>TEXT(Table1[[#This Row],[Order_Date]],"YYY")</f>
        <v>2025</v>
      </c>
    </row>
    <row r="1485" spans="1:14" x14ac:dyDescent="0.3">
      <c r="A1485" s="4">
        <v>45912</v>
      </c>
      <c r="B1485" s="5" t="s">
        <v>16</v>
      </c>
      <c r="C1485" s="5" t="s">
        <v>14</v>
      </c>
      <c r="D1485" s="23">
        <v>359.62</v>
      </c>
      <c r="E1485" s="23">
        <v>155.72</v>
      </c>
      <c r="F1485" s="23">
        <v>203.9</v>
      </c>
      <c r="G1485" s="5" t="s">
        <v>9</v>
      </c>
      <c r="H1485" s="5" t="s">
        <v>33</v>
      </c>
      <c r="I1485" s="5" t="s">
        <v>27</v>
      </c>
      <c r="J1485" s="6">
        <f>Table1[[#This Row],[Profit]]/Table1[[#This Row],[Sales]]</f>
        <v>0.56698737556309442</v>
      </c>
      <c r="K1485" s="5" t="str">
        <f t="shared" si="23"/>
        <v>Low</v>
      </c>
      <c r="L1485" s="5" t="str">
        <f>TEXT(Table1[[#This Row],[Order_Date]],"MMM")</f>
        <v>Sep</v>
      </c>
      <c r="M1485" s="5" t="str">
        <f>IF(Table1[[#This Row],[Profit]]&gt;=1000,"Excellent",IF(Table1[[#This Row],[Profit]]&gt;=500,"Good", IF(Table1[[#This Row],[Profit]]&lt;500,"Low")))</f>
        <v>Low</v>
      </c>
      <c r="N1485" s="7" t="str">
        <f>TEXT(Table1[[#This Row],[Order_Date]],"YYY")</f>
        <v>2025</v>
      </c>
    </row>
    <row r="1486" spans="1:14" x14ac:dyDescent="0.3">
      <c r="A1486" s="4">
        <v>45913</v>
      </c>
      <c r="B1486" s="5" t="s">
        <v>13</v>
      </c>
      <c r="C1486" s="5" t="s">
        <v>19</v>
      </c>
      <c r="D1486" s="23">
        <v>19.170000000000002</v>
      </c>
      <c r="E1486" s="23">
        <v>6.47</v>
      </c>
      <c r="F1486" s="23">
        <v>12.7</v>
      </c>
      <c r="G1486" s="5" t="s">
        <v>9</v>
      </c>
      <c r="H1486" s="5" t="s">
        <v>15</v>
      </c>
      <c r="I1486" s="5" t="s">
        <v>17</v>
      </c>
      <c r="J1486" s="6">
        <f>Table1[[#This Row],[Profit]]/Table1[[#This Row],[Sales]]</f>
        <v>0.66249347939488779</v>
      </c>
      <c r="K1486" s="5" t="str">
        <f t="shared" si="23"/>
        <v>Low</v>
      </c>
      <c r="L1486" s="5" t="str">
        <f>TEXT(Table1[[#This Row],[Order_Date]],"MMM")</f>
        <v>Sep</v>
      </c>
      <c r="M1486" s="5" t="str">
        <f>IF(Table1[[#This Row],[Profit]]&gt;=1000,"Excellent",IF(Table1[[#This Row],[Profit]]&gt;=500,"Good", IF(Table1[[#This Row],[Profit]]&lt;500,"Low")))</f>
        <v>Low</v>
      </c>
      <c r="N1486" s="7" t="str">
        <f>TEXT(Table1[[#This Row],[Order_Date]],"YYY")</f>
        <v>2025</v>
      </c>
    </row>
    <row r="1487" spans="1:14" x14ac:dyDescent="0.3">
      <c r="A1487" s="4">
        <v>45913</v>
      </c>
      <c r="B1487" s="5" t="s">
        <v>18</v>
      </c>
      <c r="C1487" s="5" t="s">
        <v>1</v>
      </c>
      <c r="D1487" s="23">
        <v>1205.43</v>
      </c>
      <c r="E1487" s="23">
        <v>549.57000000000005</v>
      </c>
      <c r="F1487" s="23">
        <v>655.86</v>
      </c>
      <c r="G1487" s="5" t="s">
        <v>32</v>
      </c>
      <c r="H1487" s="5" t="s">
        <v>30</v>
      </c>
      <c r="I1487" s="5" t="s">
        <v>4</v>
      </c>
      <c r="J1487" s="6">
        <f>Table1[[#This Row],[Profit]]/Table1[[#This Row],[Sales]]</f>
        <v>0.54408800179189165</v>
      </c>
      <c r="K1487" s="5" t="str">
        <f t="shared" si="23"/>
        <v>Low</v>
      </c>
      <c r="L1487" s="5" t="str">
        <f>TEXT(Table1[[#This Row],[Order_Date]],"MMM")</f>
        <v>Sep</v>
      </c>
      <c r="M1487" s="5" t="str">
        <f>IF(Table1[[#This Row],[Profit]]&gt;=1000,"Excellent",IF(Table1[[#This Row],[Profit]]&gt;=500,"Good", IF(Table1[[#This Row],[Profit]]&lt;500,"Low")))</f>
        <v>Good</v>
      </c>
      <c r="N1487" s="7" t="str">
        <f>TEXT(Table1[[#This Row],[Order_Date]],"YYY")</f>
        <v>2025</v>
      </c>
    </row>
    <row r="1488" spans="1:14" x14ac:dyDescent="0.3">
      <c r="A1488" s="4">
        <v>45913</v>
      </c>
      <c r="B1488" s="5" t="s">
        <v>0</v>
      </c>
      <c r="C1488" s="5" t="s">
        <v>14</v>
      </c>
      <c r="D1488" s="23">
        <v>363.59</v>
      </c>
      <c r="E1488" s="23">
        <v>152.96</v>
      </c>
      <c r="F1488" s="23">
        <v>210.63</v>
      </c>
      <c r="G1488" s="5" t="s">
        <v>2</v>
      </c>
      <c r="H1488" s="5" t="s">
        <v>34</v>
      </c>
      <c r="I1488" s="5" t="s">
        <v>25</v>
      </c>
      <c r="J1488" s="6">
        <f>Table1[[#This Row],[Profit]]/Table1[[#This Row],[Sales]]</f>
        <v>0.57930636156109905</v>
      </c>
      <c r="K1488" s="5" t="str">
        <f t="shared" si="23"/>
        <v>Low</v>
      </c>
      <c r="L1488" s="5" t="str">
        <f>TEXT(Table1[[#This Row],[Order_Date]],"MMM")</f>
        <v>Sep</v>
      </c>
      <c r="M1488" s="5" t="str">
        <f>IF(Table1[[#This Row],[Profit]]&gt;=1000,"Excellent",IF(Table1[[#This Row],[Profit]]&gt;=500,"Good", IF(Table1[[#This Row],[Profit]]&lt;500,"Low")))</f>
        <v>Low</v>
      </c>
      <c r="N1488" s="7" t="str">
        <f>TEXT(Table1[[#This Row],[Order_Date]],"YYY")</f>
        <v>2025</v>
      </c>
    </row>
    <row r="1489" spans="1:14" x14ac:dyDescent="0.3">
      <c r="A1489" s="4">
        <v>45914</v>
      </c>
      <c r="B1489" s="5" t="s">
        <v>18</v>
      </c>
      <c r="C1489" s="5" t="s">
        <v>31</v>
      </c>
      <c r="D1489" s="23">
        <v>285.12</v>
      </c>
      <c r="E1489" s="23">
        <v>110.42</v>
      </c>
      <c r="F1489" s="23">
        <v>174.7</v>
      </c>
      <c r="G1489" s="5" t="s">
        <v>2</v>
      </c>
      <c r="H1489" s="5" t="s">
        <v>34</v>
      </c>
      <c r="I1489" s="5" t="s">
        <v>17</v>
      </c>
      <c r="J1489" s="6">
        <f>Table1[[#This Row],[Profit]]/Table1[[#This Row],[Sales]]</f>
        <v>0.61272446689113347</v>
      </c>
      <c r="K1489" s="5" t="str">
        <f t="shared" si="23"/>
        <v>Low</v>
      </c>
      <c r="L1489" s="5" t="str">
        <f>TEXT(Table1[[#This Row],[Order_Date]],"MMM")</f>
        <v>Sep</v>
      </c>
      <c r="M1489" s="5" t="str">
        <f>IF(Table1[[#This Row],[Profit]]&gt;=1000,"Excellent",IF(Table1[[#This Row],[Profit]]&gt;=500,"Good", IF(Table1[[#This Row],[Profit]]&lt;500,"Low")))</f>
        <v>Low</v>
      </c>
      <c r="N1489" s="7" t="str">
        <f>TEXT(Table1[[#This Row],[Order_Date]],"YYY")</f>
        <v>2025</v>
      </c>
    </row>
    <row r="1490" spans="1:14" x14ac:dyDescent="0.3">
      <c r="A1490" s="4">
        <v>45915</v>
      </c>
      <c r="B1490" s="5" t="s">
        <v>0</v>
      </c>
      <c r="C1490" s="5" t="s">
        <v>1</v>
      </c>
      <c r="D1490" s="23">
        <v>657.56</v>
      </c>
      <c r="E1490" s="23">
        <v>363.07</v>
      </c>
      <c r="F1490" s="23">
        <v>294.49</v>
      </c>
      <c r="G1490" s="5" t="s">
        <v>9</v>
      </c>
      <c r="H1490" s="5" t="s">
        <v>35</v>
      </c>
      <c r="I1490" s="5" t="s">
        <v>27</v>
      </c>
      <c r="J1490" s="6">
        <f>Table1[[#This Row],[Profit]]/Table1[[#This Row],[Sales]]</f>
        <v>0.4478526674371921</v>
      </c>
      <c r="K1490" s="5" t="str">
        <f t="shared" si="23"/>
        <v>Low</v>
      </c>
      <c r="L1490" s="5" t="str">
        <f>TEXT(Table1[[#This Row],[Order_Date]],"MMM")</f>
        <v>Sep</v>
      </c>
      <c r="M1490" s="5" t="str">
        <f>IF(Table1[[#This Row],[Profit]]&gt;=1000,"Excellent",IF(Table1[[#This Row],[Profit]]&gt;=500,"Good", IF(Table1[[#This Row],[Profit]]&lt;500,"Low")))</f>
        <v>Low</v>
      </c>
      <c r="N1490" s="7" t="str">
        <f>TEXT(Table1[[#This Row],[Order_Date]],"YYY")</f>
        <v>2025</v>
      </c>
    </row>
    <row r="1491" spans="1:14" x14ac:dyDescent="0.3">
      <c r="A1491" s="4">
        <v>45916</v>
      </c>
      <c r="B1491" s="5" t="s">
        <v>0</v>
      </c>
      <c r="C1491" s="5" t="s">
        <v>19</v>
      </c>
      <c r="D1491" s="23">
        <v>107.78</v>
      </c>
      <c r="E1491" s="23">
        <v>46.4</v>
      </c>
      <c r="F1491" s="23">
        <v>61.38</v>
      </c>
      <c r="G1491" s="5" t="s">
        <v>20</v>
      </c>
      <c r="H1491" s="5" t="s">
        <v>21</v>
      </c>
      <c r="I1491" s="5" t="s">
        <v>11</v>
      </c>
      <c r="J1491" s="6">
        <f>Table1[[#This Row],[Profit]]/Table1[[#This Row],[Sales]]</f>
        <v>0.56949341250695862</v>
      </c>
      <c r="K1491" s="5" t="str">
        <f t="shared" si="23"/>
        <v>Low</v>
      </c>
      <c r="L1491" s="5" t="str">
        <f>TEXT(Table1[[#This Row],[Order_Date]],"MMM")</f>
        <v>Sep</v>
      </c>
      <c r="M1491" s="5" t="str">
        <f>IF(Table1[[#This Row],[Profit]]&gt;=1000,"Excellent",IF(Table1[[#This Row],[Profit]]&gt;=500,"Good", IF(Table1[[#This Row],[Profit]]&lt;500,"Low")))</f>
        <v>Low</v>
      </c>
      <c r="N1491" s="7" t="str">
        <f>TEXT(Table1[[#This Row],[Order_Date]],"YYY")</f>
        <v>2025</v>
      </c>
    </row>
    <row r="1492" spans="1:14" x14ac:dyDescent="0.3">
      <c r="A1492" s="4">
        <v>45916</v>
      </c>
      <c r="B1492" s="5" t="s">
        <v>0</v>
      </c>
      <c r="C1492" s="5" t="s">
        <v>1</v>
      </c>
      <c r="D1492" s="23">
        <v>1380.03</v>
      </c>
      <c r="E1492" s="23">
        <v>852.06</v>
      </c>
      <c r="F1492" s="23">
        <v>527.97</v>
      </c>
      <c r="G1492" s="5" t="s">
        <v>6</v>
      </c>
      <c r="H1492" s="5" t="s">
        <v>29</v>
      </c>
      <c r="I1492" s="5" t="s">
        <v>17</v>
      </c>
      <c r="J1492" s="6">
        <f>Table1[[#This Row],[Profit]]/Table1[[#This Row],[Sales]]</f>
        <v>0.38257863959479144</v>
      </c>
      <c r="K1492" s="5" t="str">
        <f t="shared" si="23"/>
        <v>Low</v>
      </c>
      <c r="L1492" s="5" t="str">
        <f>TEXT(Table1[[#This Row],[Order_Date]],"MMM")</f>
        <v>Sep</v>
      </c>
      <c r="M1492" s="5" t="str">
        <f>IF(Table1[[#This Row],[Profit]]&gt;=1000,"Excellent",IF(Table1[[#This Row],[Profit]]&gt;=500,"Good", IF(Table1[[#This Row],[Profit]]&lt;500,"Low")))</f>
        <v>Good</v>
      </c>
      <c r="N1492" s="7" t="str">
        <f>TEXT(Table1[[#This Row],[Order_Date]],"YYY")</f>
        <v>2025</v>
      </c>
    </row>
    <row r="1493" spans="1:14" x14ac:dyDescent="0.3">
      <c r="A1493" s="4">
        <v>45916</v>
      </c>
      <c r="B1493" s="5" t="s">
        <v>13</v>
      </c>
      <c r="C1493" s="5" t="s">
        <v>23</v>
      </c>
      <c r="D1493" s="23">
        <v>603.54999999999995</v>
      </c>
      <c r="E1493" s="23">
        <v>189.11</v>
      </c>
      <c r="F1493" s="23">
        <v>414.44</v>
      </c>
      <c r="G1493" s="5" t="s">
        <v>32</v>
      </c>
      <c r="H1493" s="5" t="s">
        <v>28</v>
      </c>
      <c r="I1493" s="5" t="s">
        <v>17</v>
      </c>
      <c r="J1493" s="6">
        <f>Table1[[#This Row],[Profit]]/Table1[[#This Row],[Sales]]</f>
        <v>0.68667053268163369</v>
      </c>
      <c r="K1493" s="5" t="str">
        <f t="shared" si="23"/>
        <v>Low</v>
      </c>
      <c r="L1493" s="5" t="str">
        <f>TEXT(Table1[[#This Row],[Order_Date]],"MMM")</f>
        <v>Sep</v>
      </c>
      <c r="M1493" s="5" t="str">
        <f>IF(Table1[[#This Row],[Profit]]&gt;=1000,"Excellent",IF(Table1[[#This Row],[Profit]]&gt;=500,"Good", IF(Table1[[#This Row],[Profit]]&lt;500,"Low")))</f>
        <v>Low</v>
      </c>
      <c r="N1493" s="7" t="str">
        <f>TEXT(Table1[[#This Row],[Order_Date]],"YYY")</f>
        <v>2025</v>
      </c>
    </row>
    <row r="1494" spans="1:14" x14ac:dyDescent="0.3">
      <c r="A1494" s="4">
        <v>45917</v>
      </c>
      <c r="B1494" s="5" t="s">
        <v>16</v>
      </c>
      <c r="C1494" s="5" t="s">
        <v>26</v>
      </c>
      <c r="D1494" s="23">
        <v>515.32000000000005</v>
      </c>
      <c r="E1494" s="23">
        <v>144.75</v>
      </c>
      <c r="F1494" s="23">
        <v>370.57</v>
      </c>
      <c r="G1494" s="5" t="s">
        <v>20</v>
      </c>
      <c r="H1494" s="5" t="s">
        <v>37</v>
      </c>
      <c r="I1494" s="5" t="s">
        <v>11</v>
      </c>
      <c r="J1494" s="6">
        <f>Table1[[#This Row],[Profit]]/Table1[[#This Row],[Sales]]</f>
        <v>0.71910657455561589</v>
      </c>
      <c r="K1494" s="5" t="str">
        <f t="shared" si="23"/>
        <v>Low</v>
      </c>
      <c r="L1494" s="5" t="str">
        <f>TEXT(Table1[[#This Row],[Order_Date]],"MMM")</f>
        <v>Sep</v>
      </c>
      <c r="M1494" s="5" t="str">
        <f>IF(Table1[[#This Row],[Profit]]&gt;=1000,"Excellent",IF(Table1[[#This Row],[Profit]]&gt;=500,"Good", IF(Table1[[#This Row],[Profit]]&lt;500,"Low")))</f>
        <v>Low</v>
      </c>
      <c r="N1494" s="7" t="str">
        <f>TEXT(Table1[[#This Row],[Order_Date]],"YYY")</f>
        <v>2025</v>
      </c>
    </row>
    <row r="1495" spans="1:14" x14ac:dyDescent="0.3">
      <c r="A1495" s="4">
        <v>45918</v>
      </c>
      <c r="B1495" s="5" t="s">
        <v>18</v>
      </c>
      <c r="C1495" s="5" t="s">
        <v>31</v>
      </c>
      <c r="D1495" s="23">
        <v>177.45</v>
      </c>
      <c r="E1495" s="23">
        <v>61.44</v>
      </c>
      <c r="F1495" s="23">
        <v>116.01</v>
      </c>
      <c r="G1495" s="5" t="s">
        <v>2</v>
      </c>
      <c r="H1495" s="5" t="s">
        <v>21</v>
      </c>
      <c r="I1495" s="5" t="s">
        <v>17</v>
      </c>
      <c r="J1495" s="6">
        <f>Table1[[#This Row],[Profit]]/Table1[[#This Row],[Sales]]</f>
        <v>0.65376162299239227</v>
      </c>
      <c r="K1495" s="5" t="str">
        <f t="shared" si="23"/>
        <v>Low</v>
      </c>
      <c r="L1495" s="5" t="str">
        <f>TEXT(Table1[[#This Row],[Order_Date]],"MMM")</f>
        <v>Sep</v>
      </c>
      <c r="M1495" s="5" t="str">
        <f>IF(Table1[[#This Row],[Profit]]&gt;=1000,"Excellent",IF(Table1[[#This Row],[Profit]]&gt;=500,"Good", IF(Table1[[#This Row],[Profit]]&lt;500,"Low")))</f>
        <v>Low</v>
      </c>
      <c r="N1495" s="7" t="str">
        <f>TEXT(Table1[[#This Row],[Order_Date]],"YYY")</f>
        <v>2025</v>
      </c>
    </row>
    <row r="1496" spans="1:14" x14ac:dyDescent="0.3">
      <c r="A1496" s="4">
        <v>45918</v>
      </c>
      <c r="B1496" s="5" t="s">
        <v>13</v>
      </c>
      <c r="C1496" s="5" t="s">
        <v>5</v>
      </c>
      <c r="D1496" s="23">
        <v>1186.6199999999999</v>
      </c>
      <c r="E1496" s="23">
        <v>537.87</v>
      </c>
      <c r="F1496" s="23">
        <v>648.75</v>
      </c>
      <c r="G1496" s="5" t="s">
        <v>9</v>
      </c>
      <c r="H1496" s="5" t="s">
        <v>37</v>
      </c>
      <c r="I1496" s="5" t="s">
        <v>4</v>
      </c>
      <c r="J1496" s="6">
        <f>Table1[[#This Row],[Profit]]/Table1[[#This Row],[Sales]]</f>
        <v>0.54672093846387226</v>
      </c>
      <c r="K1496" s="5" t="str">
        <f t="shared" si="23"/>
        <v>Low</v>
      </c>
      <c r="L1496" s="5" t="str">
        <f>TEXT(Table1[[#This Row],[Order_Date]],"MMM")</f>
        <v>Sep</v>
      </c>
      <c r="M1496" s="5" t="str">
        <f>IF(Table1[[#This Row],[Profit]]&gt;=1000,"Excellent",IF(Table1[[#This Row],[Profit]]&gt;=500,"Good", IF(Table1[[#This Row],[Profit]]&lt;500,"Low")))</f>
        <v>Good</v>
      </c>
      <c r="N1496" s="7" t="str">
        <f>TEXT(Table1[[#This Row],[Order_Date]],"YYY")</f>
        <v>2025</v>
      </c>
    </row>
    <row r="1497" spans="1:14" x14ac:dyDescent="0.3">
      <c r="A1497" s="4">
        <v>45919</v>
      </c>
      <c r="B1497" s="5" t="s">
        <v>18</v>
      </c>
      <c r="C1497" s="5" t="s">
        <v>26</v>
      </c>
      <c r="D1497" s="23">
        <v>950.33</v>
      </c>
      <c r="E1497" s="23">
        <v>350.85</v>
      </c>
      <c r="F1497" s="23">
        <v>599.48</v>
      </c>
      <c r="G1497" s="5" t="s">
        <v>2</v>
      </c>
      <c r="H1497" s="5" t="s">
        <v>15</v>
      </c>
      <c r="I1497" s="5" t="s">
        <v>11</v>
      </c>
      <c r="J1497" s="6">
        <f>Table1[[#This Row],[Profit]]/Table1[[#This Row],[Sales]]</f>
        <v>0.63081245462102642</v>
      </c>
      <c r="K1497" s="5" t="str">
        <f t="shared" si="23"/>
        <v>Low</v>
      </c>
      <c r="L1497" s="5" t="str">
        <f>TEXT(Table1[[#This Row],[Order_Date]],"MMM")</f>
        <v>Sep</v>
      </c>
      <c r="M1497" s="5" t="str">
        <f>IF(Table1[[#This Row],[Profit]]&gt;=1000,"Excellent",IF(Table1[[#This Row],[Profit]]&gt;=500,"Good", IF(Table1[[#This Row],[Profit]]&lt;500,"Low")))</f>
        <v>Good</v>
      </c>
      <c r="N1497" s="7" t="str">
        <f>TEXT(Table1[[#This Row],[Order_Date]],"YYY")</f>
        <v>2025</v>
      </c>
    </row>
    <row r="1498" spans="1:14" x14ac:dyDescent="0.3">
      <c r="A1498" s="4">
        <v>45920</v>
      </c>
      <c r="B1498" s="5" t="s">
        <v>16</v>
      </c>
      <c r="C1498" s="5" t="s">
        <v>19</v>
      </c>
      <c r="D1498" s="23">
        <v>101.13</v>
      </c>
      <c r="E1498" s="23">
        <v>43.56</v>
      </c>
      <c r="F1498" s="23">
        <v>57.57</v>
      </c>
      <c r="G1498" s="5" t="s">
        <v>2</v>
      </c>
      <c r="H1498" s="5" t="s">
        <v>37</v>
      </c>
      <c r="I1498" s="5" t="s">
        <v>17</v>
      </c>
      <c r="J1498" s="6">
        <f>Table1[[#This Row],[Profit]]/Table1[[#This Row],[Sales]]</f>
        <v>0.56926727973894986</v>
      </c>
      <c r="K1498" s="5" t="str">
        <f t="shared" si="23"/>
        <v>Low</v>
      </c>
      <c r="L1498" s="5" t="str">
        <f>TEXT(Table1[[#This Row],[Order_Date]],"MMM")</f>
        <v>Sep</v>
      </c>
      <c r="M1498" s="5" t="str">
        <f>IF(Table1[[#This Row],[Profit]]&gt;=1000,"Excellent",IF(Table1[[#This Row],[Profit]]&gt;=500,"Good", IF(Table1[[#This Row],[Profit]]&lt;500,"Low")))</f>
        <v>Low</v>
      </c>
      <c r="N1498" s="7" t="str">
        <f>TEXT(Table1[[#This Row],[Order_Date]],"YYY")</f>
        <v>2025</v>
      </c>
    </row>
    <row r="1499" spans="1:14" x14ac:dyDescent="0.3">
      <c r="A1499" s="4">
        <v>45920</v>
      </c>
      <c r="B1499" s="5" t="s">
        <v>0</v>
      </c>
      <c r="C1499" s="5" t="s">
        <v>5</v>
      </c>
      <c r="D1499" s="23">
        <v>2329.86</v>
      </c>
      <c r="E1499" s="23">
        <v>718</v>
      </c>
      <c r="F1499" s="23">
        <v>1611.86</v>
      </c>
      <c r="G1499" s="5" t="s">
        <v>20</v>
      </c>
      <c r="H1499" s="5" t="s">
        <v>35</v>
      </c>
      <c r="I1499" s="5" t="s">
        <v>25</v>
      </c>
      <c r="J1499" s="6">
        <f>Table1[[#This Row],[Profit]]/Table1[[#This Row],[Sales]]</f>
        <v>0.69182697672821536</v>
      </c>
      <c r="K1499" s="5" t="str">
        <f t="shared" si="23"/>
        <v>High</v>
      </c>
      <c r="L1499" s="5" t="str">
        <f>TEXT(Table1[[#This Row],[Order_Date]],"MMM")</f>
        <v>Sep</v>
      </c>
      <c r="M1499" s="5" t="str">
        <f>IF(Table1[[#This Row],[Profit]]&gt;=1000,"Excellent",IF(Table1[[#This Row],[Profit]]&gt;=500,"Good", IF(Table1[[#This Row],[Profit]]&lt;500,"Low")))</f>
        <v>Excellent</v>
      </c>
      <c r="N1499" s="7" t="str">
        <f>TEXT(Table1[[#This Row],[Order_Date]],"YYY")</f>
        <v>2025</v>
      </c>
    </row>
    <row r="1500" spans="1:14" x14ac:dyDescent="0.3">
      <c r="A1500" s="4">
        <v>45922</v>
      </c>
      <c r="B1500" s="5" t="s">
        <v>18</v>
      </c>
      <c r="C1500" s="5" t="s">
        <v>26</v>
      </c>
      <c r="D1500" s="23">
        <v>551.87</v>
      </c>
      <c r="E1500" s="23">
        <v>201.25</v>
      </c>
      <c r="F1500" s="23">
        <v>350.62</v>
      </c>
      <c r="G1500" s="5" t="s">
        <v>6</v>
      </c>
      <c r="H1500" s="5" t="s">
        <v>34</v>
      </c>
      <c r="I1500" s="5" t="s">
        <v>22</v>
      </c>
      <c r="J1500" s="6">
        <f>Table1[[#This Row],[Profit]]/Table1[[#This Row],[Sales]]</f>
        <v>0.63533078442386792</v>
      </c>
      <c r="K1500" s="5" t="str">
        <f t="shared" si="23"/>
        <v>Low</v>
      </c>
      <c r="L1500" s="5" t="str">
        <f>TEXT(Table1[[#This Row],[Order_Date]],"MMM")</f>
        <v>Sep</v>
      </c>
      <c r="M1500" s="5" t="str">
        <f>IF(Table1[[#This Row],[Profit]]&gt;=1000,"Excellent",IF(Table1[[#This Row],[Profit]]&gt;=500,"Good", IF(Table1[[#This Row],[Profit]]&lt;500,"Low")))</f>
        <v>Low</v>
      </c>
      <c r="N1500" s="7" t="str">
        <f>TEXT(Table1[[#This Row],[Order_Date]],"YYY")</f>
        <v>2025</v>
      </c>
    </row>
    <row r="1501" spans="1:14" x14ac:dyDescent="0.3">
      <c r="A1501" s="4">
        <v>45922</v>
      </c>
      <c r="B1501" s="5" t="s">
        <v>18</v>
      </c>
      <c r="C1501" s="5" t="s">
        <v>1</v>
      </c>
      <c r="D1501" s="23">
        <v>530.26</v>
      </c>
      <c r="E1501" s="23">
        <v>366.99</v>
      </c>
      <c r="F1501" s="23">
        <v>163.27000000000001</v>
      </c>
      <c r="G1501" s="5" t="s">
        <v>9</v>
      </c>
      <c r="H1501" s="5" t="s">
        <v>29</v>
      </c>
      <c r="I1501" s="5" t="s">
        <v>11</v>
      </c>
      <c r="J1501" s="6">
        <f>Table1[[#This Row],[Profit]]/Table1[[#This Row],[Sales]]</f>
        <v>0.30790555576509637</v>
      </c>
      <c r="K1501" s="5" t="str">
        <f t="shared" si="23"/>
        <v>Low</v>
      </c>
      <c r="L1501" s="5" t="str">
        <f>TEXT(Table1[[#This Row],[Order_Date]],"MMM")</f>
        <v>Sep</v>
      </c>
      <c r="M1501" s="5" t="str">
        <f>IF(Table1[[#This Row],[Profit]]&gt;=1000,"Excellent",IF(Table1[[#This Row],[Profit]]&gt;=500,"Good", IF(Table1[[#This Row],[Profit]]&lt;500,"Low")))</f>
        <v>Low</v>
      </c>
      <c r="N1501" s="7" t="str">
        <f>TEXT(Table1[[#This Row],[Order_Date]],"YYY")</f>
        <v>2025</v>
      </c>
    </row>
    <row r="1502" spans="1:14" x14ac:dyDescent="0.3">
      <c r="A1502" s="4">
        <v>45923</v>
      </c>
      <c r="B1502" s="5" t="s">
        <v>13</v>
      </c>
      <c r="C1502" s="5" t="s">
        <v>5</v>
      </c>
      <c r="D1502" s="23">
        <v>974.79</v>
      </c>
      <c r="E1502" s="23">
        <v>313.45</v>
      </c>
      <c r="F1502" s="23">
        <v>661.34</v>
      </c>
      <c r="G1502" s="5" t="s">
        <v>20</v>
      </c>
      <c r="H1502" s="5" t="s">
        <v>36</v>
      </c>
      <c r="I1502" s="5" t="s">
        <v>27</v>
      </c>
      <c r="J1502" s="6">
        <f>Table1[[#This Row],[Profit]]/Table1[[#This Row],[Sales]]</f>
        <v>0.67844356220314128</v>
      </c>
      <c r="K1502" s="5" t="str">
        <f t="shared" si="23"/>
        <v>Low</v>
      </c>
      <c r="L1502" s="5" t="str">
        <f>TEXT(Table1[[#This Row],[Order_Date]],"MMM")</f>
        <v>Sep</v>
      </c>
      <c r="M1502" s="5" t="str">
        <f>IF(Table1[[#This Row],[Profit]]&gt;=1000,"Excellent",IF(Table1[[#This Row],[Profit]]&gt;=500,"Good", IF(Table1[[#This Row],[Profit]]&lt;500,"Low")))</f>
        <v>Good</v>
      </c>
      <c r="N1502" s="7" t="str">
        <f>TEXT(Table1[[#This Row],[Order_Date]],"YYY")</f>
        <v>2025</v>
      </c>
    </row>
    <row r="1503" spans="1:14" x14ac:dyDescent="0.3">
      <c r="A1503" s="4">
        <v>45924</v>
      </c>
      <c r="B1503" s="5" t="s">
        <v>13</v>
      </c>
      <c r="C1503" s="5" t="s">
        <v>26</v>
      </c>
      <c r="D1503" s="23">
        <v>744.23</v>
      </c>
      <c r="E1503" s="23">
        <v>232.82</v>
      </c>
      <c r="F1503" s="23">
        <v>511.41</v>
      </c>
      <c r="G1503" s="5" t="s">
        <v>32</v>
      </c>
      <c r="H1503" s="5" t="s">
        <v>10</v>
      </c>
      <c r="I1503" s="5" t="s">
        <v>4</v>
      </c>
      <c r="J1503" s="6">
        <f>Table1[[#This Row],[Profit]]/Table1[[#This Row],[Sales]]</f>
        <v>0.68716660172258581</v>
      </c>
      <c r="K1503" s="5" t="str">
        <f t="shared" si="23"/>
        <v>Low</v>
      </c>
      <c r="L1503" s="5" t="str">
        <f>TEXT(Table1[[#This Row],[Order_Date]],"MMM")</f>
        <v>Sep</v>
      </c>
      <c r="M1503" s="5" t="str">
        <f>IF(Table1[[#This Row],[Profit]]&gt;=1000,"Excellent",IF(Table1[[#This Row],[Profit]]&gt;=500,"Good", IF(Table1[[#This Row],[Profit]]&lt;500,"Low")))</f>
        <v>Good</v>
      </c>
      <c r="N1503" s="7" t="str">
        <f>TEXT(Table1[[#This Row],[Order_Date]],"YYY")</f>
        <v>2025</v>
      </c>
    </row>
    <row r="1504" spans="1:14" x14ac:dyDescent="0.3">
      <c r="A1504" s="4">
        <v>45924</v>
      </c>
      <c r="B1504" s="5" t="s">
        <v>13</v>
      </c>
      <c r="C1504" s="5" t="s">
        <v>23</v>
      </c>
      <c r="D1504" s="23">
        <v>32.619999999999997</v>
      </c>
      <c r="E1504" s="23">
        <v>14.75</v>
      </c>
      <c r="F1504" s="23">
        <v>17.87</v>
      </c>
      <c r="G1504" s="5" t="s">
        <v>32</v>
      </c>
      <c r="H1504" s="5" t="s">
        <v>24</v>
      </c>
      <c r="I1504" s="5" t="s">
        <v>17</v>
      </c>
      <c r="J1504" s="6">
        <f>Table1[[#This Row],[Profit]]/Table1[[#This Row],[Sales]]</f>
        <v>0.5478234212139792</v>
      </c>
      <c r="K1504" s="5" t="str">
        <f t="shared" si="23"/>
        <v>Low</v>
      </c>
      <c r="L1504" s="5" t="str">
        <f>TEXT(Table1[[#This Row],[Order_Date]],"MMM")</f>
        <v>Sep</v>
      </c>
      <c r="M1504" s="5" t="str">
        <f>IF(Table1[[#This Row],[Profit]]&gt;=1000,"Excellent",IF(Table1[[#This Row],[Profit]]&gt;=500,"Good", IF(Table1[[#This Row],[Profit]]&lt;500,"Low")))</f>
        <v>Low</v>
      </c>
      <c r="N1504" s="7" t="str">
        <f>TEXT(Table1[[#This Row],[Order_Date]],"YYY")</f>
        <v>2025</v>
      </c>
    </row>
    <row r="1505" spans="1:14" x14ac:dyDescent="0.3">
      <c r="A1505" s="4">
        <v>45924</v>
      </c>
      <c r="B1505" s="5" t="s">
        <v>16</v>
      </c>
      <c r="C1505" s="5" t="s">
        <v>26</v>
      </c>
      <c r="D1505" s="23">
        <v>503.39</v>
      </c>
      <c r="E1505" s="23">
        <v>194.05</v>
      </c>
      <c r="F1505" s="23">
        <v>309.33999999999997</v>
      </c>
      <c r="G1505" s="5" t="s">
        <v>9</v>
      </c>
      <c r="H1505" s="5" t="s">
        <v>33</v>
      </c>
      <c r="I1505" s="5" t="s">
        <v>17</v>
      </c>
      <c r="J1505" s="6">
        <f>Table1[[#This Row],[Profit]]/Table1[[#This Row],[Sales]]</f>
        <v>0.61451359780686943</v>
      </c>
      <c r="K1505" s="5" t="str">
        <f t="shared" si="23"/>
        <v>Low</v>
      </c>
      <c r="L1505" s="5" t="str">
        <f>TEXT(Table1[[#This Row],[Order_Date]],"MMM")</f>
        <v>Sep</v>
      </c>
      <c r="M1505" s="5" t="str">
        <f>IF(Table1[[#This Row],[Profit]]&gt;=1000,"Excellent",IF(Table1[[#This Row],[Profit]]&gt;=500,"Good", IF(Table1[[#This Row],[Profit]]&lt;500,"Low")))</f>
        <v>Low</v>
      </c>
      <c r="N1505" s="7" t="str">
        <f>TEXT(Table1[[#This Row],[Order_Date]],"YYY")</f>
        <v>2025</v>
      </c>
    </row>
    <row r="1506" spans="1:14" x14ac:dyDescent="0.3">
      <c r="A1506" s="4">
        <v>45925</v>
      </c>
      <c r="B1506" s="5" t="s">
        <v>16</v>
      </c>
      <c r="C1506" s="5" t="s">
        <v>5</v>
      </c>
      <c r="D1506" s="23">
        <v>665.87</v>
      </c>
      <c r="E1506" s="23">
        <v>200.49</v>
      </c>
      <c r="F1506" s="23">
        <v>465.38</v>
      </c>
      <c r="G1506" s="5" t="s">
        <v>6</v>
      </c>
      <c r="H1506" s="5" t="s">
        <v>34</v>
      </c>
      <c r="I1506" s="5" t="s">
        <v>25</v>
      </c>
      <c r="J1506" s="6">
        <f>Table1[[#This Row],[Profit]]/Table1[[#This Row],[Sales]]</f>
        <v>0.69890519170408638</v>
      </c>
      <c r="K1506" s="5" t="str">
        <f t="shared" si="23"/>
        <v>Low</v>
      </c>
      <c r="L1506" s="5" t="str">
        <f>TEXT(Table1[[#This Row],[Order_Date]],"MMM")</f>
        <v>Sep</v>
      </c>
      <c r="M1506" s="5" t="str">
        <f>IF(Table1[[#This Row],[Profit]]&gt;=1000,"Excellent",IF(Table1[[#This Row],[Profit]]&gt;=500,"Good", IF(Table1[[#This Row],[Profit]]&lt;500,"Low")))</f>
        <v>Low</v>
      </c>
      <c r="N1506" s="7" t="str">
        <f>TEXT(Table1[[#This Row],[Order_Date]],"YYY")</f>
        <v>2025</v>
      </c>
    </row>
    <row r="1507" spans="1:14" x14ac:dyDescent="0.3">
      <c r="A1507" s="4">
        <v>45926</v>
      </c>
      <c r="B1507" s="5" t="s">
        <v>13</v>
      </c>
      <c r="C1507" s="5" t="s">
        <v>26</v>
      </c>
      <c r="D1507" s="23">
        <v>815.83</v>
      </c>
      <c r="E1507" s="23">
        <v>239.28</v>
      </c>
      <c r="F1507" s="23">
        <v>576.54999999999995</v>
      </c>
      <c r="G1507" s="5" t="s">
        <v>2</v>
      </c>
      <c r="H1507" s="5" t="s">
        <v>29</v>
      </c>
      <c r="I1507" s="5" t="s">
        <v>22</v>
      </c>
      <c r="J1507" s="6">
        <f>Table1[[#This Row],[Profit]]/Table1[[#This Row],[Sales]]</f>
        <v>0.70670360246620001</v>
      </c>
      <c r="K1507" s="5" t="str">
        <f t="shared" si="23"/>
        <v>Low</v>
      </c>
      <c r="L1507" s="5" t="str">
        <f>TEXT(Table1[[#This Row],[Order_Date]],"MMM")</f>
        <v>Sep</v>
      </c>
      <c r="M1507" s="5" t="str">
        <f>IF(Table1[[#This Row],[Profit]]&gt;=1000,"Excellent",IF(Table1[[#This Row],[Profit]]&gt;=500,"Good", IF(Table1[[#This Row],[Profit]]&lt;500,"Low")))</f>
        <v>Good</v>
      </c>
      <c r="N1507" s="7" t="str">
        <f>TEXT(Table1[[#This Row],[Order_Date]],"YYY")</f>
        <v>2025</v>
      </c>
    </row>
    <row r="1508" spans="1:14" x14ac:dyDescent="0.3">
      <c r="A1508" s="4">
        <v>45927</v>
      </c>
      <c r="B1508" s="5" t="s">
        <v>16</v>
      </c>
      <c r="C1508" s="5" t="s">
        <v>5</v>
      </c>
      <c r="D1508" s="23">
        <v>2155.9</v>
      </c>
      <c r="E1508" s="23">
        <v>853.87</v>
      </c>
      <c r="F1508" s="23">
        <v>1302.03</v>
      </c>
      <c r="G1508" s="5" t="s">
        <v>32</v>
      </c>
      <c r="H1508" s="5" t="s">
        <v>36</v>
      </c>
      <c r="I1508" s="5" t="s">
        <v>11</v>
      </c>
      <c r="J1508" s="6">
        <f>Table1[[#This Row],[Profit]]/Table1[[#This Row],[Sales]]</f>
        <v>0.60393803052089612</v>
      </c>
      <c r="K1508" s="5" t="str">
        <f t="shared" si="23"/>
        <v>High</v>
      </c>
      <c r="L1508" s="5" t="str">
        <f>TEXT(Table1[[#This Row],[Order_Date]],"MMM")</f>
        <v>Sep</v>
      </c>
      <c r="M1508" s="5" t="str">
        <f>IF(Table1[[#This Row],[Profit]]&gt;=1000,"Excellent",IF(Table1[[#This Row],[Profit]]&gt;=500,"Good", IF(Table1[[#This Row],[Profit]]&lt;500,"Low")))</f>
        <v>Excellent</v>
      </c>
      <c r="N1508" s="7" t="str">
        <f>TEXT(Table1[[#This Row],[Order_Date]],"YYY")</f>
        <v>2025</v>
      </c>
    </row>
    <row r="1509" spans="1:14" x14ac:dyDescent="0.3">
      <c r="A1509" s="4">
        <v>45928</v>
      </c>
      <c r="B1509" s="5" t="s">
        <v>0</v>
      </c>
      <c r="C1509" s="5" t="s">
        <v>1</v>
      </c>
      <c r="D1509" s="23">
        <v>606.07000000000005</v>
      </c>
      <c r="E1509" s="23">
        <v>360.11</v>
      </c>
      <c r="F1509" s="23">
        <v>245.96</v>
      </c>
      <c r="G1509" s="5" t="s">
        <v>20</v>
      </c>
      <c r="H1509" s="5" t="s">
        <v>12</v>
      </c>
      <c r="I1509" s="5" t="s">
        <v>25</v>
      </c>
      <c r="J1509" s="6">
        <f>Table1[[#This Row],[Profit]]/Table1[[#This Row],[Sales]]</f>
        <v>0.40582770967050008</v>
      </c>
      <c r="K1509" s="5" t="str">
        <f t="shared" si="23"/>
        <v>Low</v>
      </c>
      <c r="L1509" s="5" t="str">
        <f>TEXT(Table1[[#This Row],[Order_Date]],"MMM")</f>
        <v>Sep</v>
      </c>
      <c r="M1509" s="5" t="str">
        <f>IF(Table1[[#This Row],[Profit]]&gt;=1000,"Excellent",IF(Table1[[#This Row],[Profit]]&gt;=500,"Good", IF(Table1[[#This Row],[Profit]]&lt;500,"Low")))</f>
        <v>Low</v>
      </c>
      <c r="N1509" s="7" t="str">
        <f>TEXT(Table1[[#This Row],[Order_Date]],"YYY")</f>
        <v>2025</v>
      </c>
    </row>
    <row r="1510" spans="1:14" x14ac:dyDescent="0.3">
      <c r="A1510" s="4">
        <v>45928</v>
      </c>
      <c r="B1510" s="5" t="s">
        <v>0</v>
      </c>
      <c r="C1510" s="5" t="s">
        <v>31</v>
      </c>
      <c r="D1510" s="23">
        <v>219.77</v>
      </c>
      <c r="E1510" s="23">
        <v>78.680000000000007</v>
      </c>
      <c r="F1510" s="23">
        <v>141.09</v>
      </c>
      <c r="G1510" s="5" t="s">
        <v>9</v>
      </c>
      <c r="H1510" s="5" t="s">
        <v>28</v>
      </c>
      <c r="I1510" s="5" t="s">
        <v>4</v>
      </c>
      <c r="J1510" s="6">
        <f>Table1[[#This Row],[Profit]]/Table1[[#This Row],[Sales]]</f>
        <v>0.64198935250489142</v>
      </c>
      <c r="K1510" s="5" t="str">
        <f t="shared" si="23"/>
        <v>Low</v>
      </c>
      <c r="L1510" s="5" t="str">
        <f>TEXT(Table1[[#This Row],[Order_Date]],"MMM")</f>
        <v>Sep</v>
      </c>
      <c r="M1510" s="5" t="str">
        <f>IF(Table1[[#This Row],[Profit]]&gt;=1000,"Excellent",IF(Table1[[#This Row],[Profit]]&gt;=500,"Good", IF(Table1[[#This Row],[Profit]]&lt;500,"Low")))</f>
        <v>Low</v>
      </c>
      <c r="N1510" s="7" t="str">
        <f>TEXT(Table1[[#This Row],[Order_Date]],"YYY")</f>
        <v>2025</v>
      </c>
    </row>
    <row r="1511" spans="1:14" x14ac:dyDescent="0.3">
      <c r="A1511" s="4">
        <v>45928</v>
      </c>
      <c r="B1511" s="5" t="s">
        <v>18</v>
      </c>
      <c r="C1511" s="5" t="s">
        <v>1</v>
      </c>
      <c r="D1511" s="23">
        <v>227.45</v>
      </c>
      <c r="E1511" s="23">
        <v>154.85</v>
      </c>
      <c r="F1511" s="23">
        <v>72.599999999999994</v>
      </c>
      <c r="G1511" s="5" t="s">
        <v>6</v>
      </c>
      <c r="H1511" s="5" t="s">
        <v>28</v>
      </c>
      <c r="I1511" s="5" t="s">
        <v>22</v>
      </c>
      <c r="J1511" s="6">
        <f>Table1[[#This Row],[Profit]]/Table1[[#This Row],[Sales]]</f>
        <v>0.31919103099582324</v>
      </c>
      <c r="K1511" s="5" t="str">
        <f t="shared" si="23"/>
        <v>Low</v>
      </c>
      <c r="L1511" s="5" t="str">
        <f>TEXT(Table1[[#This Row],[Order_Date]],"MMM")</f>
        <v>Sep</v>
      </c>
      <c r="M1511" s="5" t="str">
        <f>IF(Table1[[#This Row],[Profit]]&gt;=1000,"Excellent",IF(Table1[[#This Row],[Profit]]&gt;=500,"Good", IF(Table1[[#This Row],[Profit]]&lt;500,"Low")))</f>
        <v>Low</v>
      </c>
      <c r="N1511" s="7" t="str">
        <f>TEXT(Table1[[#This Row],[Order_Date]],"YYY")</f>
        <v>2025</v>
      </c>
    </row>
    <row r="1512" spans="1:14" x14ac:dyDescent="0.3">
      <c r="A1512" s="4">
        <v>45928</v>
      </c>
      <c r="B1512" s="5" t="s">
        <v>18</v>
      </c>
      <c r="C1512" s="5" t="s">
        <v>26</v>
      </c>
      <c r="D1512" s="23">
        <v>314.79000000000002</v>
      </c>
      <c r="E1512" s="23">
        <v>122.68</v>
      </c>
      <c r="F1512" s="23">
        <v>192.11</v>
      </c>
      <c r="G1512" s="5" t="s">
        <v>9</v>
      </c>
      <c r="H1512" s="5" t="s">
        <v>7</v>
      </c>
      <c r="I1512" s="5" t="s">
        <v>11</v>
      </c>
      <c r="J1512" s="6">
        <f>Table1[[#This Row],[Profit]]/Table1[[#This Row],[Sales]]</f>
        <v>0.61027986911909526</v>
      </c>
      <c r="K1512" s="5" t="str">
        <f t="shared" si="23"/>
        <v>Low</v>
      </c>
      <c r="L1512" s="5" t="str">
        <f>TEXT(Table1[[#This Row],[Order_Date]],"MMM")</f>
        <v>Sep</v>
      </c>
      <c r="M1512" s="5" t="str">
        <f>IF(Table1[[#This Row],[Profit]]&gt;=1000,"Excellent",IF(Table1[[#This Row],[Profit]]&gt;=500,"Good", IF(Table1[[#This Row],[Profit]]&lt;500,"Low")))</f>
        <v>Low</v>
      </c>
      <c r="N1512" s="7" t="str">
        <f>TEXT(Table1[[#This Row],[Order_Date]],"YYY")</f>
        <v>2025</v>
      </c>
    </row>
    <row r="1513" spans="1:14" x14ac:dyDescent="0.3">
      <c r="A1513" s="4">
        <v>45929</v>
      </c>
      <c r="B1513" s="5" t="s">
        <v>16</v>
      </c>
      <c r="C1513" s="5" t="s">
        <v>5</v>
      </c>
      <c r="D1513" s="23">
        <v>1608.57</v>
      </c>
      <c r="E1513" s="23">
        <v>643.09</v>
      </c>
      <c r="F1513" s="23">
        <v>965.48</v>
      </c>
      <c r="G1513" s="5" t="s">
        <v>2</v>
      </c>
      <c r="H1513" s="5" t="s">
        <v>21</v>
      </c>
      <c r="I1513" s="5" t="s">
        <v>11</v>
      </c>
      <c r="J1513" s="6">
        <f>Table1[[#This Row],[Profit]]/Table1[[#This Row],[Sales]]</f>
        <v>0.6002101245205369</v>
      </c>
      <c r="K1513" s="5" t="str">
        <f t="shared" si="23"/>
        <v>Medium</v>
      </c>
      <c r="L1513" s="5" t="str">
        <f>TEXT(Table1[[#This Row],[Order_Date]],"MMM")</f>
        <v>Sep</v>
      </c>
      <c r="M1513" s="5" t="str">
        <f>IF(Table1[[#This Row],[Profit]]&gt;=1000,"Excellent",IF(Table1[[#This Row],[Profit]]&gt;=500,"Good", IF(Table1[[#This Row],[Profit]]&lt;500,"Low")))</f>
        <v>Good</v>
      </c>
      <c r="N1513" s="7" t="str">
        <f>TEXT(Table1[[#This Row],[Order_Date]],"YYY")</f>
        <v>2025</v>
      </c>
    </row>
    <row r="1514" spans="1:14" x14ac:dyDescent="0.3">
      <c r="A1514" s="4">
        <v>45929</v>
      </c>
      <c r="B1514" s="5" t="s">
        <v>0</v>
      </c>
      <c r="C1514" s="5" t="s">
        <v>23</v>
      </c>
      <c r="D1514" s="23">
        <v>781.53</v>
      </c>
      <c r="E1514" s="23">
        <v>370.29</v>
      </c>
      <c r="F1514" s="23">
        <v>411.24</v>
      </c>
      <c r="G1514" s="5" t="s">
        <v>9</v>
      </c>
      <c r="H1514" s="5" t="s">
        <v>29</v>
      </c>
      <c r="I1514" s="5" t="s">
        <v>11</v>
      </c>
      <c r="J1514" s="6">
        <f>Table1[[#This Row],[Profit]]/Table1[[#This Row],[Sales]]</f>
        <v>0.52619861041802618</v>
      </c>
      <c r="K1514" s="5" t="str">
        <f t="shared" si="23"/>
        <v>Low</v>
      </c>
      <c r="L1514" s="5" t="str">
        <f>TEXT(Table1[[#This Row],[Order_Date]],"MMM")</f>
        <v>Sep</v>
      </c>
      <c r="M1514" s="5" t="str">
        <f>IF(Table1[[#This Row],[Profit]]&gt;=1000,"Excellent",IF(Table1[[#This Row],[Profit]]&gt;=500,"Good", IF(Table1[[#This Row],[Profit]]&lt;500,"Low")))</f>
        <v>Low</v>
      </c>
      <c r="N1514" s="7" t="str">
        <f>TEXT(Table1[[#This Row],[Order_Date]],"YYY")</f>
        <v>2025</v>
      </c>
    </row>
    <row r="1515" spans="1:14" x14ac:dyDescent="0.3">
      <c r="A1515" s="4">
        <v>45929</v>
      </c>
      <c r="B1515" s="5" t="s">
        <v>8</v>
      </c>
      <c r="C1515" s="5" t="s">
        <v>1</v>
      </c>
      <c r="D1515" s="23">
        <v>383.61</v>
      </c>
      <c r="E1515" s="23">
        <v>220.58</v>
      </c>
      <c r="F1515" s="23">
        <v>163.03</v>
      </c>
      <c r="G1515" s="5" t="s">
        <v>32</v>
      </c>
      <c r="H1515" s="5" t="s">
        <v>34</v>
      </c>
      <c r="I1515" s="5" t="s">
        <v>27</v>
      </c>
      <c r="J1515" s="6">
        <f>Table1[[#This Row],[Profit]]/Table1[[#This Row],[Sales]]</f>
        <v>0.42498892103959751</v>
      </c>
      <c r="K1515" s="5" t="str">
        <f t="shared" si="23"/>
        <v>Low</v>
      </c>
      <c r="L1515" s="5" t="str">
        <f>TEXT(Table1[[#This Row],[Order_Date]],"MMM")</f>
        <v>Sep</v>
      </c>
      <c r="M1515" s="5" t="str">
        <f>IF(Table1[[#This Row],[Profit]]&gt;=1000,"Excellent",IF(Table1[[#This Row],[Profit]]&gt;=500,"Good", IF(Table1[[#This Row],[Profit]]&lt;500,"Low")))</f>
        <v>Low</v>
      </c>
      <c r="N1515" s="7" t="str">
        <f>TEXT(Table1[[#This Row],[Order_Date]],"YYY")</f>
        <v>2025</v>
      </c>
    </row>
    <row r="1516" spans="1:14" x14ac:dyDescent="0.3">
      <c r="A1516" s="4">
        <v>45929</v>
      </c>
      <c r="B1516" s="5" t="s">
        <v>16</v>
      </c>
      <c r="C1516" s="5" t="s">
        <v>1</v>
      </c>
      <c r="D1516" s="23">
        <v>160.11000000000001</v>
      </c>
      <c r="E1516" s="23">
        <v>108.34</v>
      </c>
      <c r="F1516" s="23">
        <v>51.77</v>
      </c>
      <c r="G1516" s="5" t="s">
        <v>20</v>
      </c>
      <c r="H1516" s="5" t="s">
        <v>10</v>
      </c>
      <c r="I1516" s="5" t="s">
        <v>11</v>
      </c>
      <c r="J1516" s="6">
        <f>Table1[[#This Row],[Profit]]/Table1[[#This Row],[Sales]]</f>
        <v>0.32334020361001808</v>
      </c>
      <c r="K1516" s="5" t="str">
        <f t="shared" si="23"/>
        <v>Low</v>
      </c>
      <c r="L1516" s="5" t="str">
        <f>TEXT(Table1[[#This Row],[Order_Date]],"MMM")</f>
        <v>Sep</v>
      </c>
      <c r="M1516" s="5" t="str">
        <f>IF(Table1[[#This Row],[Profit]]&gt;=1000,"Excellent",IF(Table1[[#This Row],[Profit]]&gt;=500,"Good", IF(Table1[[#This Row],[Profit]]&lt;500,"Low")))</f>
        <v>Low</v>
      </c>
      <c r="N1516" s="7" t="str">
        <f>TEXT(Table1[[#This Row],[Order_Date]],"YYY")</f>
        <v>2025</v>
      </c>
    </row>
    <row r="1517" spans="1:14" x14ac:dyDescent="0.3">
      <c r="A1517" s="4">
        <v>45930</v>
      </c>
      <c r="B1517" s="5" t="s">
        <v>0</v>
      </c>
      <c r="C1517" s="5" t="s">
        <v>1</v>
      </c>
      <c r="D1517" s="23">
        <v>818.41</v>
      </c>
      <c r="E1517" s="23">
        <v>522.54999999999995</v>
      </c>
      <c r="F1517" s="23">
        <v>295.86</v>
      </c>
      <c r="G1517" s="5" t="s">
        <v>9</v>
      </c>
      <c r="H1517" s="5" t="s">
        <v>3</v>
      </c>
      <c r="I1517" s="5" t="s">
        <v>22</v>
      </c>
      <c r="J1517" s="6">
        <f>Table1[[#This Row],[Profit]]/Table1[[#This Row],[Sales]]</f>
        <v>0.36150584670275293</v>
      </c>
      <c r="K1517" s="5" t="str">
        <f t="shared" si="23"/>
        <v>Low</v>
      </c>
      <c r="L1517" s="5" t="str">
        <f>TEXT(Table1[[#This Row],[Order_Date]],"MMM")</f>
        <v>Sep</v>
      </c>
      <c r="M1517" s="5" t="str">
        <f>IF(Table1[[#This Row],[Profit]]&gt;=1000,"Excellent",IF(Table1[[#This Row],[Profit]]&gt;=500,"Good", IF(Table1[[#This Row],[Profit]]&lt;500,"Low")))</f>
        <v>Low</v>
      </c>
      <c r="N1517" s="7" t="str">
        <f>TEXT(Table1[[#This Row],[Order_Date]],"YYY")</f>
        <v>2025</v>
      </c>
    </row>
    <row r="1518" spans="1:14" x14ac:dyDescent="0.3">
      <c r="A1518" s="4">
        <v>45933</v>
      </c>
      <c r="B1518" s="5" t="s">
        <v>13</v>
      </c>
      <c r="C1518" s="5" t="s">
        <v>14</v>
      </c>
      <c r="D1518" s="23">
        <v>273.33999999999997</v>
      </c>
      <c r="E1518" s="23">
        <v>85.41</v>
      </c>
      <c r="F1518" s="23">
        <v>187.93</v>
      </c>
      <c r="G1518" s="5" t="s">
        <v>2</v>
      </c>
      <c r="H1518" s="5" t="s">
        <v>28</v>
      </c>
      <c r="I1518" s="5" t="s">
        <v>27</v>
      </c>
      <c r="J1518" s="6">
        <f>Table1[[#This Row],[Profit]]/Table1[[#This Row],[Sales]]</f>
        <v>0.68753201141435583</v>
      </c>
      <c r="K1518" s="5" t="str">
        <f t="shared" si="23"/>
        <v>Low</v>
      </c>
      <c r="L1518" s="5" t="str">
        <f>TEXT(Table1[[#This Row],[Order_Date]],"MMM")</f>
        <v>Oct</v>
      </c>
      <c r="M1518" s="5" t="str">
        <f>IF(Table1[[#This Row],[Profit]]&gt;=1000,"Excellent",IF(Table1[[#This Row],[Profit]]&gt;=500,"Good", IF(Table1[[#This Row],[Profit]]&lt;500,"Low")))</f>
        <v>Low</v>
      </c>
      <c r="N1518" s="7" t="str">
        <f>TEXT(Table1[[#This Row],[Order_Date]],"YYY")</f>
        <v>2025</v>
      </c>
    </row>
    <row r="1519" spans="1:14" x14ac:dyDescent="0.3">
      <c r="A1519" s="4">
        <v>45933</v>
      </c>
      <c r="B1519" s="5" t="s">
        <v>16</v>
      </c>
      <c r="C1519" s="5" t="s">
        <v>23</v>
      </c>
      <c r="D1519" s="23">
        <v>100.79</v>
      </c>
      <c r="E1519" s="23">
        <v>40.909999999999997</v>
      </c>
      <c r="F1519" s="23">
        <v>59.88</v>
      </c>
      <c r="G1519" s="5" t="s">
        <v>2</v>
      </c>
      <c r="H1519" s="5" t="s">
        <v>7</v>
      </c>
      <c r="I1519" s="5" t="s">
        <v>11</v>
      </c>
      <c r="J1519" s="6">
        <f>Table1[[#This Row],[Profit]]/Table1[[#This Row],[Sales]]</f>
        <v>0.59410655819029667</v>
      </c>
      <c r="K1519" s="5" t="str">
        <f t="shared" si="23"/>
        <v>Low</v>
      </c>
      <c r="L1519" s="5" t="str">
        <f>TEXT(Table1[[#This Row],[Order_Date]],"MMM")</f>
        <v>Oct</v>
      </c>
      <c r="M1519" s="5" t="str">
        <f>IF(Table1[[#This Row],[Profit]]&gt;=1000,"Excellent",IF(Table1[[#This Row],[Profit]]&gt;=500,"Good", IF(Table1[[#This Row],[Profit]]&lt;500,"Low")))</f>
        <v>Low</v>
      </c>
      <c r="N1519" s="7" t="str">
        <f>TEXT(Table1[[#This Row],[Order_Date]],"YYY")</f>
        <v>2025</v>
      </c>
    </row>
    <row r="1520" spans="1:14" x14ac:dyDescent="0.3">
      <c r="A1520" s="4">
        <v>45933</v>
      </c>
      <c r="B1520" s="5" t="s">
        <v>8</v>
      </c>
      <c r="C1520" s="5" t="s">
        <v>5</v>
      </c>
      <c r="D1520" s="23">
        <v>964.94</v>
      </c>
      <c r="E1520" s="23">
        <v>422.65</v>
      </c>
      <c r="F1520" s="23">
        <v>542.29</v>
      </c>
      <c r="G1520" s="5" t="s">
        <v>32</v>
      </c>
      <c r="H1520" s="5" t="s">
        <v>21</v>
      </c>
      <c r="I1520" s="5" t="s">
        <v>11</v>
      </c>
      <c r="J1520" s="6">
        <f>Table1[[#This Row],[Profit]]/Table1[[#This Row],[Sales]]</f>
        <v>0.5619934918233257</v>
      </c>
      <c r="K1520" s="5" t="str">
        <f t="shared" si="23"/>
        <v>Low</v>
      </c>
      <c r="L1520" s="5" t="str">
        <f>TEXT(Table1[[#This Row],[Order_Date]],"MMM")</f>
        <v>Oct</v>
      </c>
      <c r="M1520" s="5" t="str">
        <f>IF(Table1[[#This Row],[Profit]]&gt;=1000,"Excellent",IF(Table1[[#This Row],[Profit]]&gt;=500,"Good", IF(Table1[[#This Row],[Profit]]&lt;500,"Low")))</f>
        <v>Good</v>
      </c>
      <c r="N1520" s="7" t="str">
        <f>TEXT(Table1[[#This Row],[Order_Date]],"YYY")</f>
        <v>2025</v>
      </c>
    </row>
    <row r="1521" spans="1:14" x14ac:dyDescent="0.3">
      <c r="A1521" s="4">
        <v>45934</v>
      </c>
      <c r="B1521" s="5" t="s">
        <v>13</v>
      </c>
      <c r="C1521" s="5" t="s">
        <v>1</v>
      </c>
      <c r="D1521" s="23">
        <v>963.93</v>
      </c>
      <c r="E1521" s="23">
        <v>519.39</v>
      </c>
      <c r="F1521" s="23">
        <v>444.54</v>
      </c>
      <c r="G1521" s="5" t="s">
        <v>20</v>
      </c>
      <c r="H1521" s="5" t="s">
        <v>3</v>
      </c>
      <c r="I1521" s="5" t="s">
        <v>27</v>
      </c>
      <c r="J1521" s="6">
        <f>Table1[[#This Row],[Profit]]/Table1[[#This Row],[Sales]]</f>
        <v>0.46117456661790801</v>
      </c>
      <c r="K1521" s="5" t="str">
        <f t="shared" si="23"/>
        <v>Low</v>
      </c>
      <c r="L1521" s="5" t="str">
        <f>TEXT(Table1[[#This Row],[Order_Date]],"MMM")</f>
        <v>Oct</v>
      </c>
      <c r="M1521" s="5" t="str">
        <f>IF(Table1[[#This Row],[Profit]]&gt;=1000,"Excellent",IF(Table1[[#This Row],[Profit]]&gt;=500,"Good", IF(Table1[[#This Row],[Profit]]&lt;500,"Low")))</f>
        <v>Low</v>
      </c>
      <c r="N1521" s="7" t="str">
        <f>TEXT(Table1[[#This Row],[Order_Date]],"YYY")</f>
        <v>2025</v>
      </c>
    </row>
    <row r="1522" spans="1:14" x14ac:dyDescent="0.3">
      <c r="A1522" s="4">
        <v>45935</v>
      </c>
      <c r="B1522" s="5" t="s">
        <v>13</v>
      </c>
      <c r="C1522" s="5" t="s">
        <v>26</v>
      </c>
      <c r="D1522" s="23">
        <v>371.53</v>
      </c>
      <c r="E1522" s="23">
        <v>97.12</v>
      </c>
      <c r="F1522" s="23">
        <v>274.41000000000003</v>
      </c>
      <c r="G1522" s="5" t="s">
        <v>6</v>
      </c>
      <c r="H1522" s="5" t="s">
        <v>34</v>
      </c>
      <c r="I1522" s="5" t="s">
        <v>11</v>
      </c>
      <c r="J1522" s="6">
        <f>Table1[[#This Row],[Profit]]/Table1[[#This Row],[Sales]]</f>
        <v>0.73859446074341251</v>
      </c>
      <c r="K1522" s="5" t="str">
        <f t="shared" si="23"/>
        <v>Low</v>
      </c>
      <c r="L1522" s="5" t="str">
        <f>TEXT(Table1[[#This Row],[Order_Date]],"MMM")</f>
        <v>Oct</v>
      </c>
      <c r="M1522" s="5" t="str">
        <f>IF(Table1[[#This Row],[Profit]]&gt;=1000,"Excellent",IF(Table1[[#This Row],[Profit]]&gt;=500,"Good", IF(Table1[[#This Row],[Profit]]&lt;500,"Low")))</f>
        <v>Low</v>
      </c>
      <c r="N1522" s="7" t="str">
        <f>TEXT(Table1[[#This Row],[Order_Date]],"YYY")</f>
        <v>2025</v>
      </c>
    </row>
    <row r="1523" spans="1:14" x14ac:dyDescent="0.3">
      <c r="A1523" s="4">
        <v>45935</v>
      </c>
      <c r="B1523" s="5" t="s">
        <v>16</v>
      </c>
      <c r="C1523" s="5" t="s">
        <v>14</v>
      </c>
      <c r="D1523" s="23">
        <v>153.77000000000001</v>
      </c>
      <c r="E1523" s="23">
        <v>76.2</v>
      </c>
      <c r="F1523" s="23">
        <v>77.569999999999993</v>
      </c>
      <c r="G1523" s="5" t="s">
        <v>20</v>
      </c>
      <c r="H1523" s="5" t="s">
        <v>12</v>
      </c>
      <c r="I1523" s="5" t="s">
        <v>27</v>
      </c>
      <c r="J1523" s="6">
        <f>Table1[[#This Row],[Profit]]/Table1[[#This Row],[Sales]]</f>
        <v>0.50445470507901402</v>
      </c>
      <c r="K1523" s="5" t="str">
        <f t="shared" si="23"/>
        <v>Low</v>
      </c>
      <c r="L1523" s="5" t="str">
        <f>TEXT(Table1[[#This Row],[Order_Date]],"MMM")</f>
        <v>Oct</v>
      </c>
      <c r="M1523" s="5" t="str">
        <f>IF(Table1[[#This Row],[Profit]]&gt;=1000,"Excellent",IF(Table1[[#This Row],[Profit]]&gt;=500,"Good", IF(Table1[[#This Row],[Profit]]&lt;500,"Low")))</f>
        <v>Low</v>
      </c>
      <c r="N1523" s="7" t="str">
        <f>TEXT(Table1[[#This Row],[Order_Date]],"YYY")</f>
        <v>2025</v>
      </c>
    </row>
    <row r="1524" spans="1:14" x14ac:dyDescent="0.3">
      <c r="A1524" s="4">
        <v>45936</v>
      </c>
      <c r="B1524" s="5" t="s">
        <v>18</v>
      </c>
      <c r="C1524" s="5" t="s">
        <v>23</v>
      </c>
      <c r="D1524" s="23">
        <v>77.42</v>
      </c>
      <c r="E1524" s="23">
        <v>31.47</v>
      </c>
      <c r="F1524" s="23">
        <v>45.95</v>
      </c>
      <c r="G1524" s="5" t="s">
        <v>32</v>
      </c>
      <c r="H1524" s="5" t="s">
        <v>3</v>
      </c>
      <c r="I1524" s="5" t="s">
        <v>17</v>
      </c>
      <c r="J1524" s="6">
        <f>Table1[[#This Row],[Profit]]/Table1[[#This Row],[Sales]]</f>
        <v>0.5935158873676053</v>
      </c>
      <c r="K1524" s="5" t="str">
        <f t="shared" si="23"/>
        <v>Low</v>
      </c>
      <c r="L1524" s="5" t="str">
        <f>TEXT(Table1[[#This Row],[Order_Date]],"MMM")</f>
        <v>Oct</v>
      </c>
      <c r="M1524" s="5" t="str">
        <f>IF(Table1[[#This Row],[Profit]]&gt;=1000,"Excellent",IF(Table1[[#This Row],[Profit]]&gt;=500,"Good", IF(Table1[[#This Row],[Profit]]&lt;500,"Low")))</f>
        <v>Low</v>
      </c>
      <c r="N1524" s="7" t="str">
        <f>TEXT(Table1[[#This Row],[Order_Date]],"YYY")</f>
        <v>2025</v>
      </c>
    </row>
    <row r="1525" spans="1:14" x14ac:dyDescent="0.3">
      <c r="A1525" s="4">
        <v>45937</v>
      </c>
      <c r="B1525" s="5" t="s">
        <v>8</v>
      </c>
      <c r="C1525" s="5" t="s">
        <v>1</v>
      </c>
      <c r="D1525" s="23">
        <v>828.02</v>
      </c>
      <c r="E1525" s="23">
        <v>452.09</v>
      </c>
      <c r="F1525" s="23">
        <v>375.93</v>
      </c>
      <c r="G1525" s="5" t="s">
        <v>6</v>
      </c>
      <c r="H1525" s="5" t="s">
        <v>30</v>
      </c>
      <c r="I1525" s="5" t="s">
        <v>27</v>
      </c>
      <c r="J1525" s="6">
        <f>Table1[[#This Row],[Profit]]/Table1[[#This Row],[Sales]]</f>
        <v>0.45401077268665008</v>
      </c>
      <c r="K1525" s="5" t="str">
        <f t="shared" si="23"/>
        <v>Low</v>
      </c>
      <c r="L1525" s="5" t="str">
        <f>TEXT(Table1[[#This Row],[Order_Date]],"MMM")</f>
        <v>Oct</v>
      </c>
      <c r="M1525" s="5" t="str">
        <f>IF(Table1[[#This Row],[Profit]]&gt;=1000,"Excellent",IF(Table1[[#This Row],[Profit]]&gt;=500,"Good", IF(Table1[[#This Row],[Profit]]&lt;500,"Low")))</f>
        <v>Low</v>
      </c>
      <c r="N1525" s="7" t="str">
        <f>TEXT(Table1[[#This Row],[Order_Date]],"YYY")</f>
        <v>2025</v>
      </c>
    </row>
    <row r="1526" spans="1:14" x14ac:dyDescent="0.3">
      <c r="A1526" s="4">
        <v>45937</v>
      </c>
      <c r="B1526" s="5" t="s">
        <v>16</v>
      </c>
      <c r="C1526" s="5" t="s">
        <v>23</v>
      </c>
      <c r="D1526" s="23">
        <v>294.76</v>
      </c>
      <c r="E1526" s="23">
        <v>99.22</v>
      </c>
      <c r="F1526" s="23">
        <v>195.54</v>
      </c>
      <c r="G1526" s="5" t="s">
        <v>6</v>
      </c>
      <c r="H1526" s="5" t="s">
        <v>24</v>
      </c>
      <c r="I1526" s="5" t="s">
        <v>27</v>
      </c>
      <c r="J1526" s="6">
        <f>Table1[[#This Row],[Profit]]/Table1[[#This Row],[Sales]]</f>
        <v>0.66338716243723705</v>
      </c>
      <c r="K1526" s="5" t="str">
        <f t="shared" si="23"/>
        <v>Low</v>
      </c>
      <c r="L1526" s="5" t="str">
        <f>TEXT(Table1[[#This Row],[Order_Date]],"MMM")</f>
        <v>Oct</v>
      </c>
      <c r="M1526" s="5" t="str">
        <f>IF(Table1[[#This Row],[Profit]]&gt;=1000,"Excellent",IF(Table1[[#This Row],[Profit]]&gt;=500,"Good", IF(Table1[[#This Row],[Profit]]&lt;500,"Low")))</f>
        <v>Low</v>
      </c>
      <c r="N1526" s="7" t="str">
        <f>TEXT(Table1[[#This Row],[Order_Date]],"YYY")</f>
        <v>2025</v>
      </c>
    </row>
    <row r="1527" spans="1:14" x14ac:dyDescent="0.3">
      <c r="A1527" s="4">
        <v>45937</v>
      </c>
      <c r="B1527" s="5" t="s">
        <v>16</v>
      </c>
      <c r="C1527" s="5" t="s">
        <v>31</v>
      </c>
      <c r="D1527" s="23">
        <v>216.48</v>
      </c>
      <c r="E1527" s="23">
        <v>81.44</v>
      </c>
      <c r="F1527" s="23">
        <v>135.04</v>
      </c>
      <c r="G1527" s="5" t="s">
        <v>6</v>
      </c>
      <c r="H1527" s="5" t="s">
        <v>3</v>
      </c>
      <c r="I1527" s="5" t="s">
        <v>4</v>
      </c>
      <c r="J1527" s="6">
        <f>Table1[[#This Row],[Profit]]/Table1[[#This Row],[Sales]]</f>
        <v>0.62379896526237988</v>
      </c>
      <c r="K1527" s="5" t="str">
        <f t="shared" si="23"/>
        <v>Low</v>
      </c>
      <c r="L1527" s="5" t="str">
        <f>TEXT(Table1[[#This Row],[Order_Date]],"MMM")</f>
        <v>Oct</v>
      </c>
      <c r="M1527" s="5" t="str">
        <f>IF(Table1[[#This Row],[Profit]]&gt;=1000,"Excellent",IF(Table1[[#This Row],[Profit]]&gt;=500,"Good", IF(Table1[[#This Row],[Profit]]&lt;500,"Low")))</f>
        <v>Low</v>
      </c>
      <c r="N1527" s="7" t="str">
        <f>TEXT(Table1[[#This Row],[Order_Date]],"YYY")</f>
        <v>2025</v>
      </c>
    </row>
    <row r="1528" spans="1:14" x14ac:dyDescent="0.3">
      <c r="A1528" s="4">
        <v>45938</v>
      </c>
      <c r="B1528" s="5" t="s">
        <v>18</v>
      </c>
      <c r="C1528" s="5" t="s">
        <v>19</v>
      </c>
      <c r="D1528" s="23">
        <v>23.5</v>
      </c>
      <c r="E1528" s="23">
        <v>10.52</v>
      </c>
      <c r="F1528" s="23">
        <v>12.98</v>
      </c>
      <c r="G1528" s="5" t="s">
        <v>20</v>
      </c>
      <c r="H1528" s="5" t="s">
        <v>33</v>
      </c>
      <c r="I1528" s="5" t="s">
        <v>22</v>
      </c>
      <c r="J1528" s="6">
        <f>Table1[[#This Row],[Profit]]/Table1[[#This Row],[Sales]]</f>
        <v>0.55234042553191487</v>
      </c>
      <c r="K1528" s="5" t="str">
        <f t="shared" si="23"/>
        <v>Low</v>
      </c>
      <c r="L1528" s="5" t="str">
        <f>TEXT(Table1[[#This Row],[Order_Date]],"MMM")</f>
        <v>Oct</v>
      </c>
      <c r="M1528" s="5" t="str">
        <f>IF(Table1[[#This Row],[Profit]]&gt;=1000,"Excellent",IF(Table1[[#This Row],[Profit]]&gt;=500,"Good", IF(Table1[[#This Row],[Profit]]&lt;500,"Low")))</f>
        <v>Low</v>
      </c>
      <c r="N1528" s="7" t="str">
        <f>TEXT(Table1[[#This Row],[Order_Date]],"YYY")</f>
        <v>2025</v>
      </c>
    </row>
    <row r="1529" spans="1:14" x14ac:dyDescent="0.3">
      <c r="A1529" s="4">
        <v>45939</v>
      </c>
      <c r="B1529" s="5" t="s">
        <v>13</v>
      </c>
      <c r="C1529" s="5" t="s">
        <v>19</v>
      </c>
      <c r="D1529" s="23">
        <v>83.45</v>
      </c>
      <c r="E1529" s="23">
        <v>24.9</v>
      </c>
      <c r="F1529" s="23">
        <v>58.55</v>
      </c>
      <c r="G1529" s="5" t="s">
        <v>32</v>
      </c>
      <c r="H1529" s="5" t="s">
        <v>3</v>
      </c>
      <c r="I1529" s="5" t="s">
        <v>22</v>
      </c>
      <c r="J1529" s="6">
        <f>Table1[[#This Row],[Profit]]/Table1[[#This Row],[Sales]]</f>
        <v>0.70161773517076087</v>
      </c>
      <c r="K1529" s="5" t="str">
        <f t="shared" si="23"/>
        <v>Low</v>
      </c>
      <c r="L1529" s="5" t="str">
        <f>TEXT(Table1[[#This Row],[Order_Date]],"MMM")</f>
        <v>Oct</v>
      </c>
      <c r="M1529" s="5" t="str">
        <f>IF(Table1[[#This Row],[Profit]]&gt;=1000,"Excellent",IF(Table1[[#This Row],[Profit]]&gt;=500,"Good", IF(Table1[[#This Row],[Profit]]&lt;500,"Low")))</f>
        <v>Low</v>
      </c>
      <c r="N1529" s="7" t="str">
        <f>TEXT(Table1[[#This Row],[Order_Date]],"YYY")</f>
        <v>2025</v>
      </c>
    </row>
    <row r="1530" spans="1:14" x14ac:dyDescent="0.3">
      <c r="A1530" s="4">
        <v>45940</v>
      </c>
      <c r="B1530" s="5" t="s">
        <v>8</v>
      </c>
      <c r="C1530" s="5" t="s">
        <v>26</v>
      </c>
      <c r="D1530" s="23">
        <v>181</v>
      </c>
      <c r="E1530" s="23">
        <v>54.92</v>
      </c>
      <c r="F1530" s="23">
        <v>126.08</v>
      </c>
      <c r="G1530" s="5" t="s">
        <v>9</v>
      </c>
      <c r="H1530" s="5" t="s">
        <v>30</v>
      </c>
      <c r="I1530" s="5" t="s">
        <v>11</v>
      </c>
      <c r="J1530" s="6">
        <f>Table1[[#This Row],[Profit]]/Table1[[#This Row],[Sales]]</f>
        <v>0.69657458563535912</v>
      </c>
      <c r="K1530" s="5" t="str">
        <f t="shared" si="23"/>
        <v>Low</v>
      </c>
      <c r="L1530" s="5" t="str">
        <f>TEXT(Table1[[#This Row],[Order_Date]],"MMM")</f>
        <v>Oct</v>
      </c>
      <c r="M1530" s="5" t="str">
        <f>IF(Table1[[#This Row],[Profit]]&gt;=1000,"Excellent",IF(Table1[[#This Row],[Profit]]&gt;=500,"Good", IF(Table1[[#This Row],[Profit]]&lt;500,"Low")))</f>
        <v>Low</v>
      </c>
      <c r="N1530" s="7" t="str">
        <f>TEXT(Table1[[#This Row],[Order_Date]],"YYY")</f>
        <v>2025</v>
      </c>
    </row>
    <row r="1531" spans="1:14" x14ac:dyDescent="0.3">
      <c r="A1531" s="4">
        <v>45941</v>
      </c>
      <c r="B1531" s="5" t="s">
        <v>13</v>
      </c>
      <c r="C1531" s="5" t="s">
        <v>19</v>
      </c>
      <c r="D1531" s="23">
        <v>20.260000000000002</v>
      </c>
      <c r="E1531" s="23">
        <v>8.06</v>
      </c>
      <c r="F1531" s="23">
        <v>12.2</v>
      </c>
      <c r="G1531" s="5" t="s">
        <v>9</v>
      </c>
      <c r="H1531" s="5" t="s">
        <v>33</v>
      </c>
      <c r="I1531" s="5" t="s">
        <v>11</v>
      </c>
      <c r="J1531" s="6">
        <f>Table1[[#This Row],[Profit]]/Table1[[#This Row],[Sales]]</f>
        <v>0.60217176702862774</v>
      </c>
      <c r="K1531" s="5" t="str">
        <f t="shared" si="23"/>
        <v>Low</v>
      </c>
      <c r="L1531" s="5" t="str">
        <f>TEXT(Table1[[#This Row],[Order_Date]],"MMM")</f>
        <v>Oct</v>
      </c>
      <c r="M1531" s="5" t="str">
        <f>IF(Table1[[#This Row],[Profit]]&gt;=1000,"Excellent",IF(Table1[[#This Row],[Profit]]&gt;=500,"Good", IF(Table1[[#This Row],[Profit]]&lt;500,"Low")))</f>
        <v>Low</v>
      </c>
      <c r="N1531" s="7" t="str">
        <f>TEXT(Table1[[#This Row],[Order_Date]],"YYY")</f>
        <v>2025</v>
      </c>
    </row>
    <row r="1532" spans="1:14" x14ac:dyDescent="0.3">
      <c r="A1532" s="4">
        <v>45942</v>
      </c>
      <c r="B1532" s="5" t="s">
        <v>0</v>
      </c>
      <c r="C1532" s="5" t="s">
        <v>23</v>
      </c>
      <c r="D1532" s="23">
        <v>436.63</v>
      </c>
      <c r="E1532" s="23">
        <v>206.06</v>
      </c>
      <c r="F1532" s="23">
        <v>230.57</v>
      </c>
      <c r="G1532" s="5" t="s">
        <v>20</v>
      </c>
      <c r="H1532" s="5" t="s">
        <v>28</v>
      </c>
      <c r="I1532" s="5" t="s">
        <v>25</v>
      </c>
      <c r="J1532" s="6">
        <f>Table1[[#This Row],[Profit]]/Table1[[#This Row],[Sales]]</f>
        <v>0.52806724228752033</v>
      </c>
      <c r="K1532" s="5" t="str">
        <f t="shared" si="23"/>
        <v>Low</v>
      </c>
      <c r="L1532" s="5" t="str">
        <f>TEXT(Table1[[#This Row],[Order_Date]],"MMM")</f>
        <v>Oct</v>
      </c>
      <c r="M1532" s="5" t="str">
        <f>IF(Table1[[#This Row],[Profit]]&gt;=1000,"Excellent",IF(Table1[[#This Row],[Profit]]&gt;=500,"Good", IF(Table1[[#This Row],[Profit]]&lt;500,"Low")))</f>
        <v>Low</v>
      </c>
      <c r="N1532" s="7" t="str">
        <f>TEXT(Table1[[#This Row],[Order_Date]],"YYY")</f>
        <v>2025</v>
      </c>
    </row>
    <row r="1533" spans="1:14" x14ac:dyDescent="0.3">
      <c r="A1533" s="4">
        <v>45942</v>
      </c>
      <c r="B1533" s="5" t="s">
        <v>18</v>
      </c>
      <c r="C1533" s="5" t="s">
        <v>5</v>
      </c>
      <c r="D1533" s="23">
        <v>376.42</v>
      </c>
      <c r="E1533" s="23">
        <v>186.64</v>
      </c>
      <c r="F1533" s="23">
        <v>189.78</v>
      </c>
      <c r="G1533" s="5" t="s">
        <v>6</v>
      </c>
      <c r="H1533" s="5" t="s">
        <v>37</v>
      </c>
      <c r="I1533" s="5" t="s">
        <v>4</v>
      </c>
      <c r="J1533" s="6">
        <f>Table1[[#This Row],[Profit]]/Table1[[#This Row],[Sales]]</f>
        <v>0.50417087296105412</v>
      </c>
      <c r="K1533" s="5" t="str">
        <f t="shared" si="23"/>
        <v>Low</v>
      </c>
      <c r="L1533" s="5" t="str">
        <f>TEXT(Table1[[#This Row],[Order_Date]],"MMM")</f>
        <v>Oct</v>
      </c>
      <c r="M1533" s="5" t="str">
        <f>IF(Table1[[#This Row],[Profit]]&gt;=1000,"Excellent",IF(Table1[[#This Row],[Profit]]&gt;=500,"Good", IF(Table1[[#This Row],[Profit]]&lt;500,"Low")))</f>
        <v>Low</v>
      </c>
      <c r="N1533" s="7" t="str">
        <f>TEXT(Table1[[#This Row],[Order_Date]],"YYY")</f>
        <v>2025</v>
      </c>
    </row>
    <row r="1534" spans="1:14" x14ac:dyDescent="0.3">
      <c r="A1534" s="4">
        <v>45942</v>
      </c>
      <c r="B1534" s="5" t="s">
        <v>18</v>
      </c>
      <c r="C1534" s="5" t="s">
        <v>1</v>
      </c>
      <c r="D1534" s="23">
        <v>101.21</v>
      </c>
      <c r="E1534" s="23">
        <v>52.93</v>
      </c>
      <c r="F1534" s="23">
        <v>48.28</v>
      </c>
      <c r="G1534" s="5" t="s">
        <v>20</v>
      </c>
      <c r="H1534" s="5" t="s">
        <v>35</v>
      </c>
      <c r="I1534" s="5" t="s">
        <v>22</v>
      </c>
      <c r="J1534" s="6">
        <f>Table1[[#This Row],[Profit]]/Table1[[#This Row],[Sales]]</f>
        <v>0.47702796166386724</v>
      </c>
      <c r="K1534" s="5" t="str">
        <f t="shared" si="23"/>
        <v>Low</v>
      </c>
      <c r="L1534" s="5" t="str">
        <f>TEXT(Table1[[#This Row],[Order_Date]],"MMM")</f>
        <v>Oct</v>
      </c>
      <c r="M1534" s="5" t="str">
        <f>IF(Table1[[#This Row],[Profit]]&gt;=1000,"Excellent",IF(Table1[[#This Row],[Profit]]&gt;=500,"Good", IF(Table1[[#This Row],[Profit]]&lt;500,"Low")))</f>
        <v>Low</v>
      </c>
      <c r="N1534" s="7" t="str">
        <f>TEXT(Table1[[#This Row],[Order_Date]],"YYY")</f>
        <v>2025</v>
      </c>
    </row>
    <row r="1535" spans="1:14" x14ac:dyDescent="0.3">
      <c r="A1535" s="4">
        <v>45942</v>
      </c>
      <c r="B1535" s="5" t="s">
        <v>18</v>
      </c>
      <c r="C1535" s="5" t="s">
        <v>14</v>
      </c>
      <c r="D1535" s="23">
        <v>58.5</v>
      </c>
      <c r="E1535" s="23">
        <v>21.44</v>
      </c>
      <c r="F1535" s="23">
        <v>37.06</v>
      </c>
      <c r="G1535" s="5" t="s">
        <v>6</v>
      </c>
      <c r="H1535" s="5" t="s">
        <v>29</v>
      </c>
      <c r="I1535" s="5" t="s">
        <v>22</v>
      </c>
      <c r="J1535" s="6">
        <f>Table1[[#This Row],[Profit]]/Table1[[#This Row],[Sales]]</f>
        <v>0.63350427350427352</v>
      </c>
      <c r="K1535" s="5" t="str">
        <f t="shared" si="23"/>
        <v>Low</v>
      </c>
      <c r="L1535" s="5" t="str">
        <f>TEXT(Table1[[#This Row],[Order_Date]],"MMM")</f>
        <v>Oct</v>
      </c>
      <c r="M1535" s="5" t="str">
        <f>IF(Table1[[#This Row],[Profit]]&gt;=1000,"Excellent",IF(Table1[[#This Row],[Profit]]&gt;=500,"Good", IF(Table1[[#This Row],[Profit]]&lt;500,"Low")))</f>
        <v>Low</v>
      </c>
      <c r="N1535" s="7" t="str">
        <f>TEXT(Table1[[#This Row],[Order_Date]],"YYY")</f>
        <v>2025</v>
      </c>
    </row>
    <row r="1536" spans="1:14" x14ac:dyDescent="0.3">
      <c r="A1536" s="4">
        <v>45942</v>
      </c>
      <c r="B1536" s="5" t="s">
        <v>13</v>
      </c>
      <c r="C1536" s="5" t="s">
        <v>31</v>
      </c>
      <c r="D1536" s="23">
        <v>217.61</v>
      </c>
      <c r="E1536" s="23">
        <v>63.85</v>
      </c>
      <c r="F1536" s="23">
        <v>153.76</v>
      </c>
      <c r="G1536" s="5" t="s">
        <v>2</v>
      </c>
      <c r="H1536" s="5" t="s">
        <v>37</v>
      </c>
      <c r="I1536" s="5" t="s">
        <v>17</v>
      </c>
      <c r="J1536" s="6">
        <f>Table1[[#This Row],[Profit]]/Table1[[#This Row],[Sales]]</f>
        <v>0.70658517531363441</v>
      </c>
      <c r="K1536" s="5" t="str">
        <f t="shared" si="23"/>
        <v>Low</v>
      </c>
      <c r="L1536" s="5" t="str">
        <f>TEXT(Table1[[#This Row],[Order_Date]],"MMM")</f>
        <v>Oct</v>
      </c>
      <c r="M1536" s="5" t="str">
        <f>IF(Table1[[#This Row],[Profit]]&gt;=1000,"Excellent",IF(Table1[[#This Row],[Profit]]&gt;=500,"Good", IF(Table1[[#This Row],[Profit]]&lt;500,"Low")))</f>
        <v>Low</v>
      </c>
      <c r="N1536" s="7" t="str">
        <f>TEXT(Table1[[#This Row],[Order_Date]],"YYY")</f>
        <v>2025</v>
      </c>
    </row>
    <row r="1537" spans="1:14" x14ac:dyDescent="0.3">
      <c r="A1537" s="4">
        <v>45943</v>
      </c>
      <c r="B1537" s="5" t="s">
        <v>0</v>
      </c>
      <c r="C1537" s="5" t="s">
        <v>31</v>
      </c>
      <c r="D1537" s="23">
        <v>195.74</v>
      </c>
      <c r="E1537" s="23">
        <v>61.38</v>
      </c>
      <c r="F1537" s="23">
        <v>134.36000000000001</v>
      </c>
      <c r="G1537" s="5" t="s">
        <v>32</v>
      </c>
      <c r="H1537" s="5" t="s">
        <v>33</v>
      </c>
      <c r="I1537" s="5" t="s">
        <v>4</v>
      </c>
      <c r="J1537" s="6">
        <f>Table1[[#This Row],[Profit]]/Table1[[#This Row],[Sales]]</f>
        <v>0.68642076223561876</v>
      </c>
      <c r="K1537" s="5" t="str">
        <f t="shared" si="23"/>
        <v>Low</v>
      </c>
      <c r="L1537" s="5" t="str">
        <f>TEXT(Table1[[#This Row],[Order_Date]],"MMM")</f>
        <v>Oct</v>
      </c>
      <c r="M1537" s="5" t="str">
        <f>IF(Table1[[#This Row],[Profit]]&gt;=1000,"Excellent",IF(Table1[[#This Row],[Profit]]&gt;=500,"Good", IF(Table1[[#This Row],[Profit]]&lt;500,"Low")))</f>
        <v>Low</v>
      </c>
      <c r="N1537" s="7" t="str">
        <f>TEXT(Table1[[#This Row],[Order_Date]],"YYY")</f>
        <v>2025</v>
      </c>
    </row>
    <row r="1538" spans="1:14" x14ac:dyDescent="0.3">
      <c r="A1538" s="4">
        <v>45944</v>
      </c>
      <c r="B1538" s="5" t="s">
        <v>18</v>
      </c>
      <c r="C1538" s="5" t="s">
        <v>19</v>
      </c>
      <c r="D1538" s="23">
        <v>52.55</v>
      </c>
      <c r="E1538" s="23">
        <v>18.8</v>
      </c>
      <c r="F1538" s="23">
        <v>33.75</v>
      </c>
      <c r="G1538" s="5" t="s">
        <v>32</v>
      </c>
      <c r="H1538" s="5" t="s">
        <v>37</v>
      </c>
      <c r="I1538" s="5" t="s">
        <v>22</v>
      </c>
      <c r="J1538" s="6">
        <f>Table1[[#This Row],[Profit]]/Table1[[#This Row],[Sales]]</f>
        <v>0.64224548049476693</v>
      </c>
      <c r="K1538" s="5" t="str">
        <f t="shared" ref="K1538:K1601" si="24">IF(D1538&gt;=2000,"High",IF(D1538&gt;=1500,"Medium","Low"))</f>
        <v>Low</v>
      </c>
      <c r="L1538" s="5" t="str">
        <f>TEXT(Table1[[#This Row],[Order_Date]],"MMM")</f>
        <v>Oct</v>
      </c>
      <c r="M1538" s="5" t="str">
        <f>IF(Table1[[#This Row],[Profit]]&gt;=1000,"Excellent",IF(Table1[[#This Row],[Profit]]&gt;=500,"Good", IF(Table1[[#This Row],[Profit]]&lt;500,"Low")))</f>
        <v>Low</v>
      </c>
      <c r="N1538" s="7" t="str">
        <f>TEXT(Table1[[#This Row],[Order_Date]],"YYY")</f>
        <v>2025</v>
      </c>
    </row>
    <row r="1539" spans="1:14" x14ac:dyDescent="0.3">
      <c r="A1539" s="4">
        <v>45944</v>
      </c>
      <c r="B1539" s="5" t="s">
        <v>0</v>
      </c>
      <c r="C1539" s="5" t="s">
        <v>23</v>
      </c>
      <c r="D1539" s="23">
        <v>788.25</v>
      </c>
      <c r="E1539" s="23">
        <v>285.43</v>
      </c>
      <c r="F1539" s="23">
        <v>502.82</v>
      </c>
      <c r="G1539" s="5" t="s">
        <v>32</v>
      </c>
      <c r="H1539" s="5" t="s">
        <v>35</v>
      </c>
      <c r="I1539" s="5" t="s">
        <v>11</v>
      </c>
      <c r="J1539" s="6">
        <f>Table1[[#This Row],[Profit]]/Table1[[#This Row],[Sales]]</f>
        <v>0.63789406914050106</v>
      </c>
      <c r="K1539" s="5" t="str">
        <f t="shared" si="24"/>
        <v>Low</v>
      </c>
      <c r="L1539" s="5" t="str">
        <f>TEXT(Table1[[#This Row],[Order_Date]],"MMM")</f>
        <v>Oct</v>
      </c>
      <c r="M1539" s="5" t="str">
        <f>IF(Table1[[#This Row],[Profit]]&gt;=1000,"Excellent",IF(Table1[[#This Row],[Profit]]&gt;=500,"Good", IF(Table1[[#This Row],[Profit]]&lt;500,"Low")))</f>
        <v>Good</v>
      </c>
      <c r="N1539" s="7" t="str">
        <f>TEXT(Table1[[#This Row],[Order_Date]],"YYY")</f>
        <v>2025</v>
      </c>
    </row>
    <row r="1540" spans="1:14" x14ac:dyDescent="0.3">
      <c r="A1540" s="4">
        <v>45944</v>
      </c>
      <c r="B1540" s="5" t="s">
        <v>16</v>
      </c>
      <c r="C1540" s="5" t="s">
        <v>23</v>
      </c>
      <c r="D1540" s="23">
        <v>600.12</v>
      </c>
      <c r="E1540" s="23">
        <v>237.74</v>
      </c>
      <c r="F1540" s="23">
        <v>362.38</v>
      </c>
      <c r="G1540" s="5" t="s">
        <v>20</v>
      </c>
      <c r="H1540" s="5" t="s">
        <v>36</v>
      </c>
      <c r="I1540" s="5" t="s">
        <v>22</v>
      </c>
      <c r="J1540" s="6">
        <f>Table1[[#This Row],[Profit]]/Table1[[#This Row],[Sales]]</f>
        <v>0.60384589748716921</v>
      </c>
      <c r="K1540" s="5" t="str">
        <f t="shared" si="24"/>
        <v>Low</v>
      </c>
      <c r="L1540" s="5" t="str">
        <f>TEXT(Table1[[#This Row],[Order_Date]],"MMM")</f>
        <v>Oct</v>
      </c>
      <c r="M1540" s="5" t="str">
        <f>IF(Table1[[#This Row],[Profit]]&gt;=1000,"Excellent",IF(Table1[[#This Row],[Profit]]&gt;=500,"Good", IF(Table1[[#This Row],[Profit]]&lt;500,"Low")))</f>
        <v>Low</v>
      </c>
      <c r="N1540" s="7" t="str">
        <f>TEXT(Table1[[#This Row],[Order_Date]],"YYY")</f>
        <v>2025</v>
      </c>
    </row>
    <row r="1541" spans="1:14" x14ac:dyDescent="0.3">
      <c r="A1541" s="4">
        <v>45945</v>
      </c>
      <c r="B1541" s="5" t="s">
        <v>18</v>
      </c>
      <c r="C1541" s="5" t="s">
        <v>14</v>
      </c>
      <c r="D1541" s="23">
        <v>227.15</v>
      </c>
      <c r="E1541" s="23">
        <v>87.31</v>
      </c>
      <c r="F1541" s="23">
        <v>139.84</v>
      </c>
      <c r="G1541" s="5" t="s">
        <v>2</v>
      </c>
      <c r="H1541" s="5" t="s">
        <v>37</v>
      </c>
      <c r="I1541" s="5" t="s">
        <v>22</v>
      </c>
      <c r="J1541" s="6">
        <f>Table1[[#This Row],[Profit]]/Table1[[#This Row],[Sales]]</f>
        <v>0.61562843935725287</v>
      </c>
      <c r="K1541" s="5" t="str">
        <f t="shared" si="24"/>
        <v>Low</v>
      </c>
      <c r="L1541" s="5" t="str">
        <f>TEXT(Table1[[#This Row],[Order_Date]],"MMM")</f>
        <v>Oct</v>
      </c>
      <c r="M1541" s="5" t="str">
        <f>IF(Table1[[#This Row],[Profit]]&gt;=1000,"Excellent",IF(Table1[[#This Row],[Profit]]&gt;=500,"Good", IF(Table1[[#This Row],[Profit]]&lt;500,"Low")))</f>
        <v>Low</v>
      </c>
      <c r="N1541" s="7" t="str">
        <f>TEXT(Table1[[#This Row],[Order_Date]],"YYY")</f>
        <v>2025</v>
      </c>
    </row>
    <row r="1542" spans="1:14" x14ac:dyDescent="0.3">
      <c r="A1542" s="4">
        <v>45947</v>
      </c>
      <c r="B1542" s="5" t="s">
        <v>18</v>
      </c>
      <c r="C1542" s="5" t="s">
        <v>14</v>
      </c>
      <c r="D1542" s="23">
        <v>267.2</v>
      </c>
      <c r="E1542" s="23">
        <v>96.47</v>
      </c>
      <c r="F1542" s="23">
        <v>170.73</v>
      </c>
      <c r="G1542" s="5" t="s">
        <v>6</v>
      </c>
      <c r="H1542" s="5" t="s">
        <v>15</v>
      </c>
      <c r="I1542" s="5" t="s">
        <v>27</v>
      </c>
      <c r="J1542" s="6">
        <f>Table1[[#This Row],[Profit]]/Table1[[#This Row],[Sales]]</f>
        <v>0.63895958083832338</v>
      </c>
      <c r="K1542" s="5" t="str">
        <f t="shared" si="24"/>
        <v>Low</v>
      </c>
      <c r="L1542" s="5" t="str">
        <f>TEXT(Table1[[#This Row],[Order_Date]],"MMM")</f>
        <v>Oct</v>
      </c>
      <c r="M1542" s="5" t="str">
        <f>IF(Table1[[#This Row],[Profit]]&gt;=1000,"Excellent",IF(Table1[[#This Row],[Profit]]&gt;=500,"Good", IF(Table1[[#This Row],[Profit]]&lt;500,"Low")))</f>
        <v>Low</v>
      </c>
      <c r="N1542" s="7" t="str">
        <f>TEXT(Table1[[#This Row],[Order_Date]],"YYY")</f>
        <v>2025</v>
      </c>
    </row>
    <row r="1543" spans="1:14" x14ac:dyDescent="0.3">
      <c r="A1543" s="4">
        <v>45947</v>
      </c>
      <c r="B1543" s="5" t="s">
        <v>13</v>
      </c>
      <c r="C1543" s="5" t="s">
        <v>1</v>
      </c>
      <c r="D1543" s="23">
        <v>1003.27</v>
      </c>
      <c r="E1543" s="23">
        <v>679.64</v>
      </c>
      <c r="F1543" s="23">
        <v>323.63</v>
      </c>
      <c r="G1543" s="5" t="s">
        <v>9</v>
      </c>
      <c r="H1543" s="5" t="s">
        <v>34</v>
      </c>
      <c r="I1543" s="5" t="s">
        <v>25</v>
      </c>
      <c r="J1543" s="6">
        <f>Table1[[#This Row],[Profit]]/Table1[[#This Row],[Sales]]</f>
        <v>0.32257517916413331</v>
      </c>
      <c r="K1543" s="5" t="str">
        <f t="shared" si="24"/>
        <v>Low</v>
      </c>
      <c r="L1543" s="5" t="str">
        <f>TEXT(Table1[[#This Row],[Order_Date]],"MMM")</f>
        <v>Oct</v>
      </c>
      <c r="M1543" s="5" t="str">
        <f>IF(Table1[[#This Row],[Profit]]&gt;=1000,"Excellent",IF(Table1[[#This Row],[Profit]]&gt;=500,"Good", IF(Table1[[#This Row],[Profit]]&lt;500,"Low")))</f>
        <v>Low</v>
      </c>
      <c r="N1543" s="7" t="str">
        <f>TEXT(Table1[[#This Row],[Order_Date]],"YYY")</f>
        <v>2025</v>
      </c>
    </row>
    <row r="1544" spans="1:14" x14ac:dyDescent="0.3">
      <c r="A1544" s="4">
        <v>45947</v>
      </c>
      <c r="B1544" s="5" t="s">
        <v>0</v>
      </c>
      <c r="C1544" s="5" t="s">
        <v>23</v>
      </c>
      <c r="D1544" s="23">
        <v>499.46</v>
      </c>
      <c r="E1544" s="23">
        <v>174.87</v>
      </c>
      <c r="F1544" s="23">
        <v>324.58999999999997</v>
      </c>
      <c r="G1544" s="5" t="s">
        <v>6</v>
      </c>
      <c r="H1544" s="5" t="s">
        <v>35</v>
      </c>
      <c r="I1544" s="5" t="s">
        <v>25</v>
      </c>
      <c r="J1544" s="6">
        <f>Table1[[#This Row],[Profit]]/Table1[[#This Row],[Sales]]</f>
        <v>0.64988187242221596</v>
      </c>
      <c r="K1544" s="5" t="str">
        <f t="shared" si="24"/>
        <v>Low</v>
      </c>
      <c r="L1544" s="5" t="str">
        <f>TEXT(Table1[[#This Row],[Order_Date]],"MMM")</f>
        <v>Oct</v>
      </c>
      <c r="M1544" s="5" t="str">
        <f>IF(Table1[[#This Row],[Profit]]&gt;=1000,"Excellent",IF(Table1[[#This Row],[Profit]]&gt;=500,"Good", IF(Table1[[#This Row],[Profit]]&lt;500,"Low")))</f>
        <v>Low</v>
      </c>
      <c r="N1544" s="7" t="str">
        <f>TEXT(Table1[[#This Row],[Order_Date]],"YYY")</f>
        <v>2025</v>
      </c>
    </row>
    <row r="1545" spans="1:14" x14ac:dyDescent="0.3">
      <c r="A1545" s="4">
        <v>45948</v>
      </c>
      <c r="B1545" s="5" t="s">
        <v>0</v>
      </c>
      <c r="C1545" s="5" t="s">
        <v>26</v>
      </c>
      <c r="D1545" s="23">
        <v>795.2</v>
      </c>
      <c r="E1545" s="23">
        <v>306.11</v>
      </c>
      <c r="F1545" s="23">
        <v>489.09</v>
      </c>
      <c r="G1545" s="5" t="s">
        <v>32</v>
      </c>
      <c r="H1545" s="5" t="s">
        <v>33</v>
      </c>
      <c r="I1545" s="5" t="s">
        <v>25</v>
      </c>
      <c r="J1545" s="6">
        <f>Table1[[#This Row],[Profit]]/Table1[[#This Row],[Sales]]</f>
        <v>0.61505281690140834</v>
      </c>
      <c r="K1545" s="5" t="str">
        <f t="shared" si="24"/>
        <v>Low</v>
      </c>
      <c r="L1545" s="5" t="str">
        <f>TEXT(Table1[[#This Row],[Order_Date]],"MMM")</f>
        <v>Oct</v>
      </c>
      <c r="M1545" s="5" t="str">
        <f>IF(Table1[[#This Row],[Profit]]&gt;=1000,"Excellent",IF(Table1[[#This Row],[Profit]]&gt;=500,"Good", IF(Table1[[#This Row],[Profit]]&lt;500,"Low")))</f>
        <v>Low</v>
      </c>
      <c r="N1545" s="7" t="str">
        <f>TEXT(Table1[[#This Row],[Order_Date]],"YYY")</f>
        <v>2025</v>
      </c>
    </row>
    <row r="1546" spans="1:14" x14ac:dyDescent="0.3">
      <c r="A1546" s="4">
        <v>45949</v>
      </c>
      <c r="B1546" s="5" t="s">
        <v>8</v>
      </c>
      <c r="C1546" s="5" t="s">
        <v>26</v>
      </c>
      <c r="D1546" s="23">
        <v>244.1</v>
      </c>
      <c r="E1546" s="23">
        <v>82.79</v>
      </c>
      <c r="F1546" s="23">
        <v>161.31</v>
      </c>
      <c r="G1546" s="5" t="s">
        <v>20</v>
      </c>
      <c r="H1546" s="5" t="s">
        <v>3</v>
      </c>
      <c r="I1546" s="5" t="s">
        <v>27</v>
      </c>
      <c r="J1546" s="6">
        <f>Table1[[#This Row],[Profit]]/Table1[[#This Row],[Sales]]</f>
        <v>0.66083572306431793</v>
      </c>
      <c r="K1546" s="5" t="str">
        <f t="shared" si="24"/>
        <v>Low</v>
      </c>
      <c r="L1546" s="5" t="str">
        <f>TEXT(Table1[[#This Row],[Order_Date]],"MMM")</f>
        <v>Oct</v>
      </c>
      <c r="M1546" s="5" t="str">
        <f>IF(Table1[[#This Row],[Profit]]&gt;=1000,"Excellent",IF(Table1[[#This Row],[Profit]]&gt;=500,"Good", IF(Table1[[#This Row],[Profit]]&lt;500,"Low")))</f>
        <v>Low</v>
      </c>
      <c r="N1546" s="7" t="str">
        <f>TEXT(Table1[[#This Row],[Order_Date]],"YYY")</f>
        <v>2025</v>
      </c>
    </row>
    <row r="1547" spans="1:14" x14ac:dyDescent="0.3">
      <c r="A1547" s="4">
        <v>45950</v>
      </c>
      <c r="B1547" s="5" t="s">
        <v>13</v>
      </c>
      <c r="C1547" s="5" t="s">
        <v>14</v>
      </c>
      <c r="D1547" s="23">
        <v>284.94</v>
      </c>
      <c r="E1547" s="23">
        <v>117.22</v>
      </c>
      <c r="F1547" s="23">
        <v>167.72</v>
      </c>
      <c r="G1547" s="5" t="s">
        <v>9</v>
      </c>
      <c r="H1547" s="5" t="s">
        <v>21</v>
      </c>
      <c r="I1547" s="5" t="s">
        <v>11</v>
      </c>
      <c r="J1547" s="6">
        <f>Table1[[#This Row],[Profit]]/Table1[[#This Row],[Sales]]</f>
        <v>0.58861514704850149</v>
      </c>
      <c r="K1547" s="5" t="str">
        <f t="shared" si="24"/>
        <v>Low</v>
      </c>
      <c r="L1547" s="5" t="str">
        <f>TEXT(Table1[[#This Row],[Order_Date]],"MMM")</f>
        <v>Oct</v>
      </c>
      <c r="M1547" s="5" t="str">
        <f>IF(Table1[[#This Row],[Profit]]&gt;=1000,"Excellent",IF(Table1[[#This Row],[Profit]]&gt;=500,"Good", IF(Table1[[#This Row],[Profit]]&lt;500,"Low")))</f>
        <v>Low</v>
      </c>
      <c r="N1547" s="7" t="str">
        <f>TEXT(Table1[[#This Row],[Order_Date]],"YYY")</f>
        <v>2025</v>
      </c>
    </row>
    <row r="1548" spans="1:14" x14ac:dyDescent="0.3">
      <c r="A1548" s="4">
        <v>45950</v>
      </c>
      <c r="B1548" s="5" t="s">
        <v>13</v>
      </c>
      <c r="C1548" s="5" t="s">
        <v>5</v>
      </c>
      <c r="D1548" s="23">
        <v>1708.32</v>
      </c>
      <c r="E1548" s="23">
        <v>561.1</v>
      </c>
      <c r="F1548" s="23">
        <v>1147.22</v>
      </c>
      <c r="G1548" s="5" t="s">
        <v>6</v>
      </c>
      <c r="H1548" s="5" t="s">
        <v>21</v>
      </c>
      <c r="I1548" s="5" t="s">
        <v>11</v>
      </c>
      <c r="J1548" s="6">
        <f>Table1[[#This Row],[Profit]]/Table1[[#This Row],[Sales]]</f>
        <v>0.67154865598951019</v>
      </c>
      <c r="K1548" s="5" t="str">
        <f t="shared" si="24"/>
        <v>Medium</v>
      </c>
      <c r="L1548" s="5" t="str">
        <f>TEXT(Table1[[#This Row],[Order_Date]],"MMM")</f>
        <v>Oct</v>
      </c>
      <c r="M1548" s="5" t="str">
        <f>IF(Table1[[#This Row],[Profit]]&gt;=1000,"Excellent",IF(Table1[[#This Row],[Profit]]&gt;=500,"Good", IF(Table1[[#This Row],[Profit]]&lt;500,"Low")))</f>
        <v>Excellent</v>
      </c>
      <c r="N1548" s="7" t="str">
        <f>TEXT(Table1[[#This Row],[Order_Date]],"YYY")</f>
        <v>2025</v>
      </c>
    </row>
    <row r="1549" spans="1:14" x14ac:dyDescent="0.3">
      <c r="A1549" s="4">
        <v>45950</v>
      </c>
      <c r="B1549" s="5" t="s">
        <v>13</v>
      </c>
      <c r="C1549" s="5" t="s">
        <v>31</v>
      </c>
      <c r="D1549" s="23">
        <v>11.59</v>
      </c>
      <c r="E1549" s="23">
        <v>2.91</v>
      </c>
      <c r="F1549" s="23">
        <v>8.68</v>
      </c>
      <c r="G1549" s="5" t="s">
        <v>32</v>
      </c>
      <c r="H1549" s="5" t="s">
        <v>3</v>
      </c>
      <c r="I1549" s="5" t="s">
        <v>4</v>
      </c>
      <c r="J1549" s="6">
        <f>Table1[[#This Row],[Profit]]/Table1[[#This Row],[Sales]]</f>
        <v>0.74892148403796377</v>
      </c>
      <c r="K1549" s="5" t="str">
        <f t="shared" si="24"/>
        <v>Low</v>
      </c>
      <c r="L1549" s="5" t="str">
        <f>TEXT(Table1[[#This Row],[Order_Date]],"MMM")</f>
        <v>Oct</v>
      </c>
      <c r="M1549" s="5" t="str">
        <f>IF(Table1[[#This Row],[Profit]]&gt;=1000,"Excellent",IF(Table1[[#This Row],[Profit]]&gt;=500,"Good", IF(Table1[[#This Row],[Profit]]&lt;500,"Low")))</f>
        <v>Low</v>
      </c>
      <c r="N1549" s="7" t="str">
        <f>TEXT(Table1[[#This Row],[Order_Date]],"YYY")</f>
        <v>2025</v>
      </c>
    </row>
    <row r="1550" spans="1:14" x14ac:dyDescent="0.3">
      <c r="A1550" s="4">
        <v>45950</v>
      </c>
      <c r="B1550" s="5" t="s">
        <v>13</v>
      </c>
      <c r="C1550" s="5" t="s">
        <v>23</v>
      </c>
      <c r="D1550" s="23">
        <v>542.85</v>
      </c>
      <c r="E1550" s="23">
        <v>212.86</v>
      </c>
      <c r="F1550" s="23">
        <v>329.99</v>
      </c>
      <c r="G1550" s="5" t="s">
        <v>6</v>
      </c>
      <c r="H1550" s="5" t="s">
        <v>33</v>
      </c>
      <c r="I1550" s="5" t="s">
        <v>25</v>
      </c>
      <c r="J1550" s="6">
        <f>Table1[[#This Row],[Profit]]/Table1[[#This Row],[Sales]]</f>
        <v>0.60788431426729295</v>
      </c>
      <c r="K1550" s="5" t="str">
        <f t="shared" si="24"/>
        <v>Low</v>
      </c>
      <c r="L1550" s="5" t="str">
        <f>TEXT(Table1[[#This Row],[Order_Date]],"MMM")</f>
        <v>Oct</v>
      </c>
      <c r="M1550" s="5" t="str">
        <f>IF(Table1[[#This Row],[Profit]]&gt;=1000,"Excellent",IF(Table1[[#This Row],[Profit]]&gt;=500,"Good", IF(Table1[[#This Row],[Profit]]&lt;500,"Low")))</f>
        <v>Low</v>
      </c>
      <c r="N1550" s="7" t="str">
        <f>TEXT(Table1[[#This Row],[Order_Date]],"YYY")</f>
        <v>2025</v>
      </c>
    </row>
    <row r="1551" spans="1:14" x14ac:dyDescent="0.3">
      <c r="A1551" s="4">
        <v>45950</v>
      </c>
      <c r="B1551" s="5" t="s">
        <v>0</v>
      </c>
      <c r="C1551" s="5" t="s">
        <v>26</v>
      </c>
      <c r="D1551" s="23">
        <v>454.7</v>
      </c>
      <c r="E1551" s="23">
        <v>180.81</v>
      </c>
      <c r="F1551" s="23">
        <v>273.89</v>
      </c>
      <c r="G1551" s="5" t="s">
        <v>20</v>
      </c>
      <c r="H1551" s="5" t="s">
        <v>29</v>
      </c>
      <c r="I1551" s="5" t="s">
        <v>22</v>
      </c>
      <c r="J1551" s="6">
        <f>Table1[[#This Row],[Profit]]/Table1[[#This Row],[Sales]]</f>
        <v>0.60235319991202985</v>
      </c>
      <c r="K1551" s="5" t="str">
        <f t="shared" si="24"/>
        <v>Low</v>
      </c>
      <c r="L1551" s="5" t="str">
        <f>TEXT(Table1[[#This Row],[Order_Date]],"MMM")</f>
        <v>Oct</v>
      </c>
      <c r="M1551" s="5" t="str">
        <f>IF(Table1[[#This Row],[Profit]]&gt;=1000,"Excellent",IF(Table1[[#This Row],[Profit]]&gt;=500,"Good", IF(Table1[[#This Row],[Profit]]&lt;500,"Low")))</f>
        <v>Low</v>
      </c>
      <c r="N1551" s="7" t="str">
        <f>TEXT(Table1[[#This Row],[Order_Date]],"YYY")</f>
        <v>2025</v>
      </c>
    </row>
    <row r="1552" spans="1:14" x14ac:dyDescent="0.3">
      <c r="A1552" s="4">
        <v>45951</v>
      </c>
      <c r="B1552" s="5" t="s">
        <v>8</v>
      </c>
      <c r="C1552" s="5" t="s">
        <v>5</v>
      </c>
      <c r="D1552" s="23">
        <v>1563.55</v>
      </c>
      <c r="E1552" s="23">
        <v>729.72</v>
      </c>
      <c r="F1552" s="23">
        <v>833.83</v>
      </c>
      <c r="G1552" s="5" t="s">
        <v>2</v>
      </c>
      <c r="H1552" s="5" t="s">
        <v>7</v>
      </c>
      <c r="I1552" s="5" t="s">
        <v>25</v>
      </c>
      <c r="J1552" s="6">
        <f>Table1[[#This Row],[Profit]]/Table1[[#This Row],[Sales]]</f>
        <v>0.53329282722010818</v>
      </c>
      <c r="K1552" s="5" t="str">
        <f t="shared" si="24"/>
        <v>Medium</v>
      </c>
      <c r="L1552" s="5" t="str">
        <f>TEXT(Table1[[#This Row],[Order_Date]],"MMM")</f>
        <v>Oct</v>
      </c>
      <c r="M1552" s="5" t="str">
        <f>IF(Table1[[#This Row],[Profit]]&gt;=1000,"Excellent",IF(Table1[[#This Row],[Profit]]&gt;=500,"Good", IF(Table1[[#This Row],[Profit]]&lt;500,"Low")))</f>
        <v>Good</v>
      </c>
      <c r="N1552" s="7" t="str">
        <f>TEXT(Table1[[#This Row],[Order_Date]],"YYY")</f>
        <v>2025</v>
      </c>
    </row>
    <row r="1553" spans="1:14" x14ac:dyDescent="0.3">
      <c r="A1553" s="4">
        <v>45952</v>
      </c>
      <c r="B1553" s="5" t="s">
        <v>16</v>
      </c>
      <c r="C1553" s="5" t="s">
        <v>26</v>
      </c>
      <c r="D1553" s="23">
        <v>281.58999999999997</v>
      </c>
      <c r="E1553" s="23">
        <v>108.86</v>
      </c>
      <c r="F1553" s="23">
        <v>172.73</v>
      </c>
      <c r="G1553" s="5" t="s">
        <v>32</v>
      </c>
      <c r="H1553" s="5" t="s">
        <v>29</v>
      </c>
      <c r="I1553" s="5" t="s">
        <v>17</v>
      </c>
      <c r="J1553" s="6">
        <f>Table1[[#This Row],[Profit]]/Table1[[#This Row],[Sales]]</f>
        <v>0.6134095671011045</v>
      </c>
      <c r="K1553" s="5" t="str">
        <f t="shared" si="24"/>
        <v>Low</v>
      </c>
      <c r="L1553" s="5" t="str">
        <f>TEXT(Table1[[#This Row],[Order_Date]],"MMM")</f>
        <v>Oct</v>
      </c>
      <c r="M1553" s="5" t="str">
        <f>IF(Table1[[#This Row],[Profit]]&gt;=1000,"Excellent",IF(Table1[[#This Row],[Profit]]&gt;=500,"Good", IF(Table1[[#This Row],[Profit]]&lt;500,"Low")))</f>
        <v>Low</v>
      </c>
      <c r="N1553" s="7" t="str">
        <f>TEXT(Table1[[#This Row],[Order_Date]],"YYY")</f>
        <v>2025</v>
      </c>
    </row>
    <row r="1554" spans="1:14" x14ac:dyDescent="0.3">
      <c r="A1554" s="4">
        <v>45952</v>
      </c>
      <c r="B1554" s="5" t="s">
        <v>8</v>
      </c>
      <c r="C1554" s="5" t="s">
        <v>5</v>
      </c>
      <c r="D1554" s="23">
        <v>1566.04</v>
      </c>
      <c r="E1554" s="23">
        <v>724.28</v>
      </c>
      <c r="F1554" s="23">
        <v>841.76</v>
      </c>
      <c r="G1554" s="5" t="s">
        <v>2</v>
      </c>
      <c r="H1554" s="5" t="s">
        <v>34</v>
      </c>
      <c r="I1554" s="5" t="s">
        <v>17</v>
      </c>
      <c r="J1554" s="6">
        <f>Table1[[#This Row],[Profit]]/Table1[[#This Row],[Sales]]</f>
        <v>0.53750862046946435</v>
      </c>
      <c r="K1554" s="5" t="str">
        <f t="shared" si="24"/>
        <v>Medium</v>
      </c>
      <c r="L1554" s="5" t="str">
        <f>TEXT(Table1[[#This Row],[Order_Date]],"MMM")</f>
        <v>Oct</v>
      </c>
      <c r="M1554" s="5" t="str">
        <f>IF(Table1[[#This Row],[Profit]]&gt;=1000,"Excellent",IF(Table1[[#This Row],[Profit]]&gt;=500,"Good", IF(Table1[[#This Row],[Profit]]&lt;500,"Low")))</f>
        <v>Good</v>
      </c>
      <c r="N1554" s="7" t="str">
        <f>TEXT(Table1[[#This Row],[Order_Date]],"YYY")</f>
        <v>2025</v>
      </c>
    </row>
    <row r="1555" spans="1:14" x14ac:dyDescent="0.3">
      <c r="A1555" s="4">
        <v>45952</v>
      </c>
      <c r="B1555" s="5" t="s">
        <v>18</v>
      </c>
      <c r="C1555" s="5" t="s">
        <v>31</v>
      </c>
      <c r="D1555" s="23">
        <v>271.07</v>
      </c>
      <c r="E1555" s="23">
        <v>90.05</v>
      </c>
      <c r="F1555" s="23">
        <v>181.02</v>
      </c>
      <c r="G1555" s="5" t="s">
        <v>32</v>
      </c>
      <c r="H1555" s="5" t="s">
        <v>7</v>
      </c>
      <c r="I1555" s="5" t="s">
        <v>17</v>
      </c>
      <c r="J1555" s="6">
        <f>Table1[[#This Row],[Profit]]/Table1[[#This Row],[Sales]]</f>
        <v>0.66779798576013583</v>
      </c>
      <c r="K1555" s="5" t="str">
        <f t="shared" si="24"/>
        <v>Low</v>
      </c>
      <c r="L1555" s="5" t="str">
        <f>TEXT(Table1[[#This Row],[Order_Date]],"MMM")</f>
        <v>Oct</v>
      </c>
      <c r="M1555" s="5" t="str">
        <f>IF(Table1[[#This Row],[Profit]]&gt;=1000,"Excellent",IF(Table1[[#This Row],[Profit]]&gt;=500,"Good", IF(Table1[[#This Row],[Profit]]&lt;500,"Low")))</f>
        <v>Low</v>
      </c>
      <c r="N1555" s="7" t="str">
        <f>TEXT(Table1[[#This Row],[Order_Date]],"YYY")</f>
        <v>2025</v>
      </c>
    </row>
    <row r="1556" spans="1:14" x14ac:dyDescent="0.3">
      <c r="A1556" s="4">
        <v>45953</v>
      </c>
      <c r="B1556" s="5" t="s">
        <v>13</v>
      </c>
      <c r="C1556" s="5" t="s">
        <v>26</v>
      </c>
      <c r="D1556" s="23">
        <v>251.07</v>
      </c>
      <c r="E1556" s="23">
        <v>79.900000000000006</v>
      </c>
      <c r="F1556" s="23">
        <v>171.17</v>
      </c>
      <c r="G1556" s="5" t="s">
        <v>32</v>
      </c>
      <c r="H1556" s="5" t="s">
        <v>35</v>
      </c>
      <c r="I1556" s="5" t="s">
        <v>22</v>
      </c>
      <c r="J1556" s="6">
        <f>Table1[[#This Row],[Profit]]/Table1[[#This Row],[Sales]]</f>
        <v>0.68176205839009041</v>
      </c>
      <c r="K1556" s="5" t="str">
        <f t="shared" si="24"/>
        <v>Low</v>
      </c>
      <c r="L1556" s="5" t="str">
        <f>TEXT(Table1[[#This Row],[Order_Date]],"MMM")</f>
        <v>Oct</v>
      </c>
      <c r="M1556" s="5" t="str">
        <f>IF(Table1[[#This Row],[Profit]]&gt;=1000,"Excellent",IF(Table1[[#This Row],[Profit]]&gt;=500,"Good", IF(Table1[[#This Row],[Profit]]&lt;500,"Low")))</f>
        <v>Low</v>
      </c>
      <c r="N1556" s="7" t="str">
        <f>TEXT(Table1[[#This Row],[Order_Date]],"YYY")</f>
        <v>2025</v>
      </c>
    </row>
    <row r="1557" spans="1:14" x14ac:dyDescent="0.3">
      <c r="A1557" s="4">
        <v>45953</v>
      </c>
      <c r="B1557" s="5" t="s">
        <v>13</v>
      </c>
      <c r="C1557" s="5" t="s">
        <v>26</v>
      </c>
      <c r="D1557" s="23">
        <v>519.58000000000004</v>
      </c>
      <c r="E1557" s="23">
        <v>181.27</v>
      </c>
      <c r="F1557" s="23">
        <v>338.31</v>
      </c>
      <c r="G1557" s="5" t="s">
        <v>6</v>
      </c>
      <c r="H1557" s="5" t="s">
        <v>7</v>
      </c>
      <c r="I1557" s="5" t="s">
        <v>17</v>
      </c>
      <c r="J1557" s="6">
        <f>Table1[[#This Row],[Profit]]/Table1[[#This Row],[Sales]]</f>
        <v>0.6511220601254859</v>
      </c>
      <c r="K1557" s="5" t="str">
        <f t="shared" si="24"/>
        <v>Low</v>
      </c>
      <c r="L1557" s="5" t="str">
        <f>TEXT(Table1[[#This Row],[Order_Date]],"MMM")</f>
        <v>Oct</v>
      </c>
      <c r="M1557" s="5" t="str">
        <f>IF(Table1[[#This Row],[Profit]]&gt;=1000,"Excellent",IF(Table1[[#This Row],[Profit]]&gt;=500,"Good", IF(Table1[[#This Row],[Profit]]&lt;500,"Low")))</f>
        <v>Low</v>
      </c>
      <c r="N1557" s="7" t="str">
        <f>TEXT(Table1[[#This Row],[Order_Date]],"YYY")</f>
        <v>2025</v>
      </c>
    </row>
    <row r="1558" spans="1:14" x14ac:dyDescent="0.3">
      <c r="A1558" s="4">
        <v>45953</v>
      </c>
      <c r="B1558" s="5" t="s">
        <v>0</v>
      </c>
      <c r="C1558" s="5" t="s">
        <v>19</v>
      </c>
      <c r="D1558" s="23">
        <v>131.97</v>
      </c>
      <c r="E1558" s="23">
        <v>43.12</v>
      </c>
      <c r="F1558" s="23">
        <v>88.85</v>
      </c>
      <c r="G1558" s="5" t="s">
        <v>32</v>
      </c>
      <c r="H1558" s="5" t="s">
        <v>3</v>
      </c>
      <c r="I1558" s="5" t="s">
        <v>4</v>
      </c>
      <c r="J1558" s="6">
        <f>Table1[[#This Row],[Profit]]/Table1[[#This Row],[Sales]]</f>
        <v>0.67325907403197693</v>
      </c>
      <c r="K1558" s="5" t="str">
        <f t="shared" si="24"/>
        <v>Low</v>
      </c>
      <c r="L1558" s="5" t="str">
        <f>TEXT(Table1[[#This Row],[Order_Date]],"MMM")</f>
        <v>Oct</v>
      </c>
      <c r="M1558" s="5" t="str">
        <f>IF(Table1[[#This Row],[Profit]]&gt;=1000,"Excellent",IF(Table1[[#This Row],[Profit]]&gt;=500,"Good", IF(Table1[[#This Row],[Profit]]&lt;500,"Low")))</f>
        <v>Low</v>
      </c>
      <c r="N1558" s="7" t="str">
        <f>TEXT(Table1[[#This Row],[Order_Date]],"YYY")</f>
        <v>2025</v>
      </c>
    </row>
    <row r="1559" spans="1:14" x14ac:dyDescent="0.3">
      <c r="A1559" s="4">
        <v>45954</v>
      </c>
      <c r="B1559" s="5" t="s">
        <v>13</v>
      </c>
      <c r="C1559" s="5" t="s">
        <v>14</v>
      </c>
      <c r="D1559" s="23">
        <v>201.78</v>
      </c>
      <c r="E1559" s="23">
        <v>73.89</v>
      </c>
      <c r="F1559" s="23">
        <v>127.89</v>
      </c>
      <c r="G1559" s="5" t="s">
        <v>6</v>
      </c>
      <c r="H1559" s="5" t="s">
        <v>37</v>
      </c>
      <c r="I1559" s="5" t="s">
        <v>11</v>
      </c>
      <c r="J1559" s="6">
        <f>Table1[[#This Row],[Profit]]/Table1[[#This Row],[Sales]]</f>
        <v>0.63380909901873328</v>
      </c>
      <c r="K1559" s="5" t="str">
        <f t="shared" si="24"/>
        <v>Low</v>
      </c>
      <c r="L1559" s="5" t="str">
        <f>TEXT(Table1[[#This Row],[Order_Date]],"MMM")</f>
        <v>Oct</v>
      </c>
      <c r="M1559" s="5" t="str">
        <f>IF(Table1[[#This Row],[Profit]]&gt;=1000,"Excellent",IF(Table1[[#This Row],[Profit]]&gt;=500,"Good", IF(Table1[[#This Row],[Profit]]&lt;500,"Low")))</f>
        <v>Low</v>
      </c>
      <c r="N1559" s="7" t="str">
        <f>TEXT(Table1[[#This Row],[Order_Date]],"YYY")</f>
        <v>2025</v>
      </c>
    </row>
    <row r="1560" spans="1:14" x14ac:dyDescent="0.3">
      <c r="A1560" s="4">
        <v>45955</v>
      </c>
      <c r="B1560" s="5" t="s">
        <v>13</v>
      </c>
      <c r="C1560" s="5" t="s">
        <v>14</v>
      </c>
      <c r="D1560" s="23">
        <v>268.82</v>
      </c>
      <c r="E1560" s="23">
        <v>109.41</v>
      </c>
      <c r="F1560" s="23">
        <v>159.41</v>
      </c>
      <c r="G1560" s="5" t="s">
        <v>2</v>
      </c>
      <c r="H1560" s="5" t="s">
        <v>24</v>
      </c>
      <c r="I1560" s="5" t="s">
        <v>22</v>
      </c>
      <c r="J1560" s="6">
        <f>Table1[[#This Row],[Profit]]/Table1[[#This Row],[Sales]]</f>
        <v>0.59299903281005872</v>
      </c>
      <c r="K1560" s="5" t="str">
        <f t="shared" si="24"/>
        <v>Low</v>
      </c>
      <c r="L1560" s="5" t="str">
        <f>TEXT(Table1[[#This Row],[Order_Date]],"MMM")</f>
        <v>Oct</v>
      </c>
      <c r="M1560" s="5" t="str">
        <f>IF(Table1[[#This Row],[Profit]]&gt;=1000,"Excellent",IF(Table1[[#This Row],[Profit]]&gt;=500,"Good", IF(Table1[[#This Row],[Profit]]&lt;500,"Low")))</f>
        <v>Low</v>
      </c>
      <c r="N1560" s="7" t="str">
        <f>TEXT(Table1[[#This Row],[Order_Date]],"YYY")</f>
        <v>2025</v>
      </c>
    </row>
    <row r="1561" spans="1:14" x14ac:dyDescent="0.3">
      <c r="A1561" s="4">
        <v>45955</v>
      </c>
      <c r="B1561" s="5" t="s">
        <v>8</v>
      </c>
      <c r="C1561" s="5" t="s">
        <v>14</v>
      </c>
      <c r="D1561" s="23">
        <v>22.63</v>
      </c>
      <c r="E1561" s="23">
        <v>8.09</v>
      </c>
      <c r="F1561" s="23">
        <v>14.54</v>
      </c>
      <c r="G1561" s="5" t="s">
        <v>6</v>
      </c>
      <c r="H1561" s="5" t="s">
        <v>34</v>
      </c>
      <c r="I1561" s="5" t="s">
        <v>17</v>
      </c>
      <c r="J1561" s="6">
        <f>Table1[[#This Row],[Profit]]/Table1[[#This Row],[Sales]]</f>
        <v>0.64250994255413163</v>
      </c>
      <c r="K1561" s="5" t="str">
        <f t="shared" si="24"/>
        <v>Low</v>
      </c>
      <c r="L1561" s="5" t="str">
        <f>TEXT(Table1[[#This Row],[Order_Date]],"MMM")</f>
        <v>Oct</v>
      </c>
      <c r="M1561" s="5" t="str">
        <f>IF(Table1[[#This Row],[Profit]]&gt;=1000,"Excellent",IF(Table1[[#This Row],[Profit]]&gt;=500,"Good", IF(Table1[[#This Row],[Profit]]&lt;500,"Low")))</f>
        <v>Low</v>
      </c>
      <c r="N1561" s="7" t="str">
        <f>TEXT(Table1[[#This Row],[Order_Date]],"YYY")</f>
        <v>2025</v>
      </c>
    </row>
    <row r="1562" spans="1:14" x14ac:dyDescent="0.3">
      <c r="A1562" s="4">
        <v>45957</v>
      </c>
      <c r="B1562" s="5" t="s">
        <v>8</v>
      </c>
      <c r="C1562" s="5" t="s">
        <v>5</v>
      </c>
      <c r="D1562" s="23">
        <v>2181.6799999999998</v>
      </c>
      <c r="E1562" s="23">
        <v>670.6</v>
      </c>
      <c r="F1562" s="23">
        <v>1511.08</v>
      </c>
      <c r="G1562" s="5" t="s">
        <v>9</v>
      </c>
      <c r="H1562" s="5" t="s">
        <v>3</v>
      </c>
      <c r="I1562" s="5" t="s">
        <v>4</v>
      </c>
      <c r="J1562" s="6">
        <f>Table1[[#This Row],[Profit]]/Table1[[#This Row],[Sales]]</f>
        <v>0.69262219940596237</v>
      </c>
      <c r="K1562" s="5" t="str">
        <f t="shared" si="24"/>
        <v>High</v>
      </c>
      <c r="L1562" s="5" t="str">
        <f>TEXT(Table1[[#This Row],[Order_Date]],"MMM")</f>
        <v>Oct</v>
      </c>
      <c r="M1562" s="5" t="str">
        <f>IF(Table1[[#This Row],[Profit]]&gt;=1000,"Excellent",IF(Table1[[#This Row],[Profit]]&gt;=500,"Good", IF(Table1[[#This Row],[Profit]]&lt;500,"Low")))</f>
        <v>Excellent</v>
      </c>
      <c r="N1562" s="7" t="str">
        <f>TEXT(Table1[[#This Row],[Order_Date]],"YYY")</f>
        <v>2025</v>
      </c>
    </row>
    <row r="1563" spans="1:14" x14ac:dyDescent="0.3">
      <c r="A1563" s="4">
        <v>45958</v>
      </c>
      <c r="B1563" s="5" t="s">
        <v>0</v>
      </c>
      <c r="C1563" s="5" t="s">
        <v>23</v>
      </c>
      <c r="D1563" s="23">
        <v>578.71</v>
      </c>
      <c r="E1563" s="23">
        <v>280.7</v>
      </c>
      <c r="F1563" s="23">
        <v>298.01</v>
      </c>
      <c r="G1563" s="5" t="s">
        <v>9</v>
      </c>
      <c r="H1563" s="5" t="s">
        <v>24</v>
      </c>
      <c r="I1563" s="5" t="s">
        <v>22</v>
      </c>
      <c r="J1563" s="6">
        <f>Table1[[#This Row],[Profit]]/Table1[[#This Row],[Sales]]</f>
        <v>0.51495567728223113</v>
      </c>
      <c r="K1563" s="5" t="str">
        <f t="shared" si="24"/>
        <v>Low</v>
      </c>
      <c r="L1563" s="5" t="str">
        <f>TEXT(Table1[[#This Row],[Order_Date]],"MMM")</f>
        <v>Oct</v>
      </c>
      <c r="M1563" s="5" t="str">
        <f>IF(Table1[[#This Row],[Profit]]&gt;=1000,"Excellent",IF(Table1[[#This Row],[Profit]]&gt;=500,"Good", IF(Table1[[#This Row],[Profit]]&lt;500,"Low")))</f>
        <v>Low</v>
      </c>
      <c r="N1563" s="7" t="str">
        <f>TEXT(Table1[[#This Row],[Order_Date]],"YYY")</f>
        <v>2025</v>
      </c>
    </row>
    <row r="1564" spans="1:14" x14ac:dyDescent="0.3">
      <c r="A1564" s="4">
        <v>45958</v>
      </c>
      <c r="B1564" s="5" t="s">
        <v>13</v>
      </c>
      <c r="C1564" s="5" t="s">
        <v>23</v>
      </c>
      <c r="D1564" s="23">
        <v>279.73</v>
      </c>
      <c r="E1564" s="23">
        <v>129.97999999999999</v>
      </c>
      <c r="F1564" s="23">
        <v>149.75</v>
      </c>
      <c r="G1564" s="5" t="s">
        <v>20</v>
      </c>
      <c r="H1564" s="5" t="s">
        <v>34</v>
      </c>
      <c r="I1564" s="5" t="s">
        <v>17</v>
      </c>
      <c r="J1564" s="6">
        <f>Table1[[#This Row],[Profit]]/Table1[[#This Row],[Sales]]</f>
        <v>0.53533764701676612</v>
      </c>
      <c r="K1564" s="5" t="str">
        <f t="shared" si="24"/>
        <v>Low</v>
      </c>
      <c r="L1564" s="5" t="str">
        <f>TEXT(Table1[[#This Row],[Order_Date]],"MMM")</f>
        <v>Oct</v>
      </c>
      <c r="M1564" s="5" t="str">
        <f>IF(Table1[[#This Row],[Profit]]&gt;=1000,"Excellent",IF(Table1[[#This Row],[Profit]]&gt;=500,"Good", IF(Table1[[#This Row],[Profit]]&lt;500,"Low")))</f>
        <v>Low</v>
      </c>
      <c r="N1564" s="7" t="str">
        <f>TEXT(Table1[[#This Row],[Order_Date]],"YYY")</f>
        <v>2025</v>
      </c>
    </row>
    <row r="1565" spans="1:14" x14ac:dyDescent="0.3">
      <c r="A1565" s="4">
        <v>45958</v>
      </c>
      <c r="B1565" s="5" t="s">
        <v>8</v>
      </c>
      <c r="C1565" s="5" t="s">
        <v>31</v>
      </c>
      <c r="D1565" s="23">
        <v>72.98</v>
      </c>
      <c r="E1565" s="23">
        <v>21.14</v>
      </c>
      <c r="F1565" s="23">
        <v>51.84</v>
      </c>
      <c r="G1565" s="5" t="s">
        <v>9</v>
      </c>
      <c r="H1565" s="5" t="s">
        <v>7</v>
      </c>
      <c r="I1565" s="5" t="s">
        <v>17</v>
      </c>
      <c r="J1565" s="6">
        <f>Table1[[#This Row],[Profit]]/Table1[[#This Row],[Sales]]</f>
        <v>0.71033159769799947</v>
      </c>
      <c r="K1565" s="5" t="str">
        <f t="shared" si="24"/>
        <v>Low</v>
      </c>
      <c r="L1565" s="5" t="str">
        <f>TEXT(Table1[[#This Row],[Order_Date]],"MMM")</f>
        <v>Oct</v>
      </c>
      <c r="M1565" s="5" t="str">
        <f>IF(Table1[[#This Row],[Profit]]&gt;=1000,"Excellent",IF(Table1[[#This Row],[Profit]]&gt;=500,"Good", IF(Table1[[#This Row],[Profit]]&lt;500,"Low")))</f>
        <v>Low</v>
      </c>
      <c r="N1565" s="7" t="str">
        <f>TEXT(Table1[[#This Row],[Order_Date]],"YYY")</f>
        <v>2025</v>
      </c>
    </row>
    <row r="1566" spans="1:14" x14ac:dyDescent="0.3">
      <c r="A1566" s="4">
        <v>45959</v>
      </c>
      <c r="B1566" s="5" t="s">
        <v>18</v>
      </c>
      <c r="C1566" s="5" t="s">
        <v>26</v>
      </c>
      <c r="D1566" s="23">
        <v>1136.5999999999999</v>
      </c>
      <c r="E1566" s="23">
        <v>333.66</v>
      </c>
      <c r="F1566" s="23">
        <v>802.94</v>
      </c>
      <c r="G1566" s="5" t="s">
        <v>20</v>
      </c>
      <c r="H1566" s="5" t="s">
        <v>12</v>
      </c>
      <c r="I1566" s="5" t="s">
        <v>27</v>
      </c>
      <c r="J1566" s="6">
        <f>Table1[[#This Row],[Profit]]/Table1[[#This Row],[Sales]]</f>
        <v>0.70644026042583152</v>
      </c>
      <c r="K1566" s="5" t="str">
        <f t="shared" si="24"/>
        <v>Low</v>
      </c>
      <c r="L1566" s="5" t="str">
        <f>TEXT(Table1[[#This Row],[Order_Date]],"MMM")</f>
        <v>Oct</v>
      </c>
      <c r="M1566" s="5" t="str">
        <f>IF(Table1[[#This Row],[Profit]]&gt;=1000,"Excellent",IF(Table1[[#This Row],[Profit]]&gt;=500,"Good", IF(Table1[[#This Row],[Profit]]&lt;500,"Low")))</f>
        <v>Good</v>
      </c>
      <c r="N1566" s="7" t="str">
        <f>TEXT(Table1[[#This Row],[Order_Date]],"YYY")</f>
        <v>2025</v>
      </c>
    </row>
    <row r="1567" spans="1:14" x14ac:dyDescent="0.3">
      <c r="A1567" s="4">
        <v>45960</v>
      </c>
      <c r="B1567" s="5" t="s">
        <v>8</v>
      </c>
      <c r="C1567" s="5" t="s">
        <v>23</v>
      </c>
      <c r="D1567" s="23">
        <v>773.19</v>
      </c>
      <c r="E1567" s="23">
        <v>363.23</v>
      </c>
      <c r="F1567" s="23">
        <v>409.96</v>
      </c>
      <c r="G1567" s="5" t="s">
        <v>9</v>
      </c>
      <c r="H1567" s="5" t="s">
        <v>15</v>
      </c>
      <c r="I1567" s="5" t="s">
        <v>17</v>
      </c>
      <c r="J1567" s="6">
        <f>Table1[[#This Row],[Profit]]/Table1[[#This Row],[Sales]]</f>
        <v>0.53021896299745208</v>
      </c>
      <c r="K1567" s="5" t="str">
        <f t="shared" si="24"/>
        <v>Low</v>
      </c>
      <c r="L1567" s="5" t="str">
        <f>TEXT(Table1[[#This Row],[Order_Date]],"MMM")</f>
        <v>Oct</v>
      </c>
      <c r="M1567" s="5" t="str">
        <f>IF(Table1[[#This Row],[Profit]]&gt;=1000,"Excellent",IF(Table1[[#This Row],[Profit]]&gt;=500,"Good", IF(Table1[[#This Row],[Profit]]&lt;500,"Low")))</f>
        <v>Low</v>
      </c>
      <c r="N1567" s="7" t="str">
        <f>TEXT(Table1[[#This Row],[Order_Date]],"YYY")</f>
        <v>2025</v>
      </c>
    </row>
    <row r="1568" spans="1:14" x14ac:dyDescent="0.3">
      <c r="A1568" s="4">
        <v>45960</v>
      </c>
      <c r="B1568" s="5" t="s">
        <v>18</v>
      </c>
      <c r="C1568" s="5" t="s">
        <v>1</v>
      </c>
      <c r="D1568" s="23">
        <v>227.44</v>
      </c>
      <c r="E1568" s="23">
        <v>129.21</v>
      </c>
      <c r="F1568" s="23">
        <v>98.23</v>
      </c>
      <c r="G1568" s="5" t="s">
        <v>20</v>
      </c>
      <c r="H1568" s="5" t="s">
        <v>29</v>
      </c>
      <c r="I1568" s="5" t="s">
        <v>11</v>
      </c>
      <c r="J1568" s="6">
        <f>Table1[[#This Row],[Profit]]/Table1[[#This Row],[Sales]]</f>
        <v>0.43189412592332044</v>
      </c>
      <c r="K1568" s="5" t="str">
        <f t="shared" si="24"/>
        <v>Low</v>
      </c>
      <c r="L1568" s="5" t="str">
        <f>TEXT(Table1[[#This Row],[Order_Date]],"MMM")</f>
        <v>Oct</v>
      </c>
      <c r="M1568" s="5" t="str">
        <f>IF(Table1[[#This Row],[Profit]]&gt;=1000,"Excellent",IF(Table1[[#This Row],[Profit]]&gt;=500,"Good", IF(Table1[[#This Row],[Profit]]&lt;500,"Low")))</f>
        <v>Low</v>
      </c>
      <c r="N1568" s="7" t="str">
        <f>TEXT(Table1[[#This Row],[Order_Date]],"YYY")</f>
        <v>2025</v>
      </c>
    </row>
    <row r="1569" spans="1:14" x14ac:dyDescent="0.3">
      <c r="A1569" s="4">
        <v>45961</v>
      </c>
      <c r="B1569" s="5" t="s">
        <v>0</v>
      </c>
      <c r="C1569" s="5" t="s">
        <v>31</v>
      </c>
      <c r="D1569" s="23">
        <v>257.72000000000003</v>
      </c>
      <c r="E1569" s="23">
        <v>96.64</v>
      </c>
      <c r="F1569" s="23">
        <v>161.08000000000001</v>
      </c>
      <c r="G1569" s="5" t="s">
        <v>9</v>
      </c>
      <c r="H1569" s="5" t="s">
        <v>7</v>
      </c>
      <c r="I1569" s="5" t="s">
        <v>27</v>
      </c>
      <c r="J1569" s="6">
        <f>Table1[[#This Row],[Profit]]/Table1[[#This Row],[Sales]]</f>
        <v>0.6250194009002018</v>
      </c>
      <c r="K1569" s="5" t="str">
        <f t="shared" si="24"/>
        <v>Low</v>
      </c>
      <c r="L1569" s="5" t="str">
        <f>TEXT(Table1[[#This Row],[Order_Date]],"MMM")</f>
        <v>Oct</v>
      </c>
      <c r="M1569" s="5" t="str">
        <f>IF(Table1[[#This Row],[Profit]]&gt;=1000,"Excellent",IF(Table1[[#This Row],[Profit]]&gt;=500,"Good", IF(Table1[[#This Row],[Profit]]&lt;500,"Low")))</f>
        <v>Low</v>
      </c>
      <c r="N1569" s="7" t="str">
        <f>TEXT(Table1[[#This Row],[Order_Date]],"YYY")</f>
        <v>2025</v>
      </c>
    </row>
    <row r="1570" spans="1:14" x14ac:dyDescent="0.3">
      <c r="A1570" s="4">
        <v>45961</v>
      </c>
      <c r="B1570" s="5" t="s">
        <v>18</v>
      </c>
      <c r="C1570" s="5" t="s">
        <v>5</v>
      </c>
      <c r="D1570" s="23">
        <v>935.94</v>
      </c>
      <c r="E1570" s="23">
        <v>407.93</v>
      </c>
      <c r="F1570" s="23">
        <v>528.01</v>
      </c>
      <c r="G1570" s="5" t="s">
        <v>20</v>
      </c>
      <c r="H1570" s="5" t="s">
        <v>7</v>
      </c>
      <c r="I1570" s="5" t="s">
        <v>25</v>
      </c>
      <c r="J1570" s="6">
        <f>Table1[[#This Row],[Profit]]/Table1[[#This Row],[Sales]]</f>
        <v>0.56414941128704832</v>
      </c>
      <c r="K1570" s="5" t="str">
        <f t="shared" si="24"/>
        <v>Low</v>
      </c>
      <c r="L1570" s="5" t="str">
        <f>TEXT(Table1[[#This Row],[Order_Date]],"MMM")</f>
        <v>Oct</v>
      </c>
      <c r="M1570" s="5" t="str">
        <f>IF(Table1[[#This Row],[Profit]]&gt;=1000,"Excellent",IF(Table1[[#This Row],[Profit]]&gt;=500,"Good", IF(Table1[[#This Row],[Profit]]&lt;500,"Low")))</f>
        <v>Good</v>
      </c>
      <c r="N1570" s="7" t="str">
        <f>TEXT(Table1[[#This Row],[Order_Date]],"YYY")</f>
        <v>2025</v>
      </c>
    </row>
    <row r="1571" spans="1:14" x14ac:dyDescent="0.3">
      <c r="A1571" s="4">
        <v>45961</v>
      </c>
      <c r="B1571" s="5" t="s">
        <v>16</v>
      </c>
      <c r="C1571" s="5" t="s">
        <v>31</v>
      </c>
      <c r="D1571" s="23">
        <v>211.79</v>
      </c>
      <c r="E1571" s="23">
        <v>58.79</v>
      </c>
      <c r="F1571" s="23">
        <v>153</v>
      </c>
      <c r="G1571" s="5" t="s">
        <v>32</v>
      </c>
      <c r="H1571" s="5" t="s">
        <v>3</v>
      </c>
      <c r="I1571" s="5" t="s">
        <v>11</v>
      </c>
      <c r="J1571" s="6">
        <f>Table1[[#This Row],[Profit]]/Table1[[#This Row],[Sales]]</f>
        <v>0.72241371169554747</v>
      </c>
      <c r="K1571" s="5" t="str">
        <f t="shared" si="24"/>
        <v>Low</v>
      </c>
      <c r="L1571" s="5" t="str">
        <f>TEXT(Table1[[#This Row],[Order_Date]],"MMM")</f>
        <v>Oct</v>
      </c>
      <c r="M1571" s="5" t="str">
        <f>IF(Table1[[#This Row],[Profit]]&gt;=1000,"Excellent",IF(Table1[[#This Row],[Profit]]&gt;=500,"Good", IF(Table1[[#This Row],[Profit]]&lt;500,"Low")))</f>
        <v>Low</v>
      </c>
      <c r="N1571" s="7" t="str">
        <f>TEXT(Table1[[#This Row],[Order_Date]],"YYY")</f>
        <v>2025</v>
      </c>
    </row>
    <row r="1572" spans="1:14" x14ac:dyDescent="0.3">
      <c r="A1572" s="4">
        <v>45961</v>
      </c>
      <c r="B1572" s="5" t="s">
        <v>18</v>
      </c>
      <c r="C1572" s="5" t="s">
        <v>5</v>
      </c>
      <c r="D1572" s="23">
        <v>945.31</v>
      </c>
      <c r="E1572" s="23">
        <v>370.1</v>
      </c>
      <c r="F1572" s="23">
        <v>575.21</v>
      </c>
      <c r="G1572" s="5" t="s">
        <v>20</v>
      </c>
      <c r="H1572" s="5" t="s">
        <v>36</v>
      </c>
      <c r="I1572" s="5" t="s">
        <v>27</v>
      </c>
      <c r="J1572" s="6">
        <f>Table1[[#This Row],[Profit]]/Table1[[#This Row],[Sales]]</f>
        <v>0.60848822079529474</v>
      </c>
      <c r="K1572" s="5" t="str">
        <f t="shared" si="24"/>
        <v>Low</v>
      </c>
      <c r="L1572" s="5" t="str">
        <f>TEXT(Table1[[#This Row],[Order_Date]],"MMM")</f>
        <v>Oct</v>
      </c>
      <c r="M1572" s="5" t="str">
        <f>IF(Table1[[#This Row],[Profit]]&gt;=1000,"Excellent",IF(Table1[[#This Row],[Profit]]&gt;=500,"Good", IF(Table1[[#This Row],[Profit]]&lt;500,"Low")))</f>
        <v>Good</v>
      </c>
      <c r="N1572" s="7" t="str">
        <f>TEXT(Table1[[#This Row],[Order_Date]],"YYY")</f>
        <v>2025</v>
      </c>
    </row>
    <row r="1573" spans="1:14" x14ac:dyDescent="0.3">
      <c r="A1573" s="4">
        <v>45961</v>
      </c>
      <c r="B1573" s="5" t="s">
        <v>0</v>
      </c>
      <c r="C1573" s="5" t="s">
        <v>1</v>
      </c>
      <c r="D1573" s="23">
        <v>332.2</v>
      </c>
      <c r="E1573" s="23">
        <v>151.16999999999999</v>
      </c>
      <c r="F1573" s="23">
        <v>181.03</v>
      </c>
      <c r="G1573" s="5" t="s">
        <v>9</v>
      </c>
      <c r="H1573" s="5" t="s">
        <v>35</v>
      </c>
      <c r="I1573" s="5" t="s">
        <v>22</v>
      </c>
      <c r="J1573" s="6">
        <f>Table1[[#This Row],[Profit]]/Table1[[#This Row],[Sales]]</f>
        <v>0.54494280553883201</v>
      </c>
      <c r="K1573" s="5" t="str">
        <f t="shared" si="24"/>
        <v>Low</v>
      </c>
      <c r="L1573" s="5" t="str">
        <f>TEXT(Table1[[#This Row],[Order_Date]],"MMM")</f>
        <v>Oct</v>
      </c>
      <c r="M1573" s="5" t="str">
        <f>IF(Table1[[#This Row],[Profit]]&gt;=1000,"Excellent",IF(Table1[[#This Row],[Profit]]&gt;=500,"Good", IF(Table1[[#This Row],[Profit]]&lt;500,"Low")))</f>
        <v>Low</v>
      </c>
      <c r="N1573" s="7" t="str">
        <f>TEXT(Table1[[#This Row],[Order_Date]],"YYY")</f>
        <v>2025</v>
      </c>
    </row>
    <row r="1574" spans="1:14" x14ac:dyDescent="0.3">
      <c r="A1574" s="4">
        <v>45962</v>
      </c>
      <c r="B1574" s="5" t="s">
        <v>0</v>
      </c>
      <c r="C1574" s="5" t="s">
        <v>19</v>
      </c>
      <c r="D1574" s="23">
        <v>72.010000000000005</v>
      </c>
      <c r="E1574" s="23">
        <v>23</v>
      </c>
      <c r="F1574" s="23">
        <v>49.01</v>
      </c>
      <c r="G1574" s="5" t="s">
        <v>9</v>
      </c>
      <c r="H1574" s="5" t="s">
        <v>34</v>
      </c>
      <c r="I1574" s="5" t="s">
        <v>22</v>
      </c>
      <c r="J1574" s="6">
        <f>Table1[[#This Row],[Profit]]/Table1[[#This Row],[Sales]]</f>
        <v>0.68059991667823905</v>
      </c>
      <c r="K1574" s="5" t="str">
        <f t="shared" si="24"/>
        <v>Low</v>
      </c>
      <c r="L1574" s="5" t="str">
        <f>TEXT(Table1[[#This Row],[Order_Date]],"MMM")</f>
        <v>Nov</v>
      </c>
      <c r="M1574" s="5" t="str">
        <f>IF(Table1[[#This Row],[Profit]]&gt;=1000,"Excellent",IF(Table1[[#This Row],[Profit]]&gt;=500,"Good", IF(Table1[[#This Row],[Profit]]&lt;500,"Low")))</f>
        <v>Low</v>
      </c>
      <c r="N1574" s="7" t="str">
        <f>TEXT(Table1[[#This Row],[Order_Date]],"YYY")</f>
        <v>2025</v>
      </c>
    </row>
    <row r="1575" spans="1:14" x14ac:dyDescent="0.3">
      <c r="A1575" s="4">
        <v>45963</v>
      </c>
      <c r="B1575" s="5" t="s">
        <v>18</v>
      </c>
      <c r="C1575" s="5" t="s">
        <v>26</v>
      </c>
      <c r="D1575" s="23">
        <v>500.48</v>
      </c>
      <c r="E1575" s="23">
        <v>169.12</v>
      </c>
      <c r="F1575" s="23">
        <v>331.36</v>
      </c>
      <c r="G1575" s="5" t="s">
        <v>9</v>
      </c>
      <c r="H1575" s="5" t="s">
        <v>24</v>
      </c>
      <c r="I1575" s="5" t="s">
        <v>11</v>
      </c>
      <c r="J1575" s="6">
        <f>Table1[[#This Row],[Profit]]/Table1[[#This Row],[Sales]]</f>
        <v>0.66208439897698212</v>
      </c>
      <c r="K1575" s="5" t="str">
        <f t="shared" si="24"/>
        <v>Low</v>
      </c>
      <c r="L1575" s="5" t="str">
        <f>TEXT(Table1[[#This Row],[Order_Date]],"MMM")</f>
        <v>Nov</v>
      </c>
      <c r="M1575" s="5" t="str">
        <f>IF(Table1[[#This Row],[Profit]]&gt;=1000,"Excellent",IF(Table1[[#This Row],[Profit]]&gt;=500,"Good", IF(Table1[[#This Row],[Profit]]&lt;500,"Low")))</f>
        <v>Low</v>
      </c>
      <c r="N1575" s="7" t="str">
        <f>TEXT(Table1[[#This Row],[Order_Date]],"YYY")</f>
        <v>2025</v>
      </c>
    </row>
    <row r="1576" spans="1:14" x14ac:dyDescent="0.3">
      <c r="A1576" s="4">
        <v>45963</v>
      </c>
      <c r="B1576" s="5" t="s">
        <v>13</v>
      </c>
      <c r="C1576" s="5" t="s">
        <v>1</v>
      </c>
      <c r="D1576" s="23">
        <v>1014.24</v>
      </c>
      <c r="E1576" s="23">
        <v>671.53</v>
      </c>
      <c r="F1576" s="23">
        <v>342.71</v>
      </c>
      <c r="G1576" s="5" t="s">
        <v>20</v>
      </c>
      <c r="H1576" s="5" t="s">
        <v>21</v>
      </c>
      <c r="I1576" s="5" t="s">
        <v>22</v>
      </c>
      <c r="J1576" s="6">
        <f>Table1[[#This Row],[Profit]]/Table1[[#This Row],[Sales]]</f>
        <v>0.33789832781195772</v>
      </c>
      <c r="K1576" s="5" t="str">
        <f t="shared" si="24"/>
        <v>Low</v>
      </c>
      <c r="L1576" s="5" t="str">
        <f>TEXT(Table1[[#This Row],[Order_Date]],"MMM")</f>
        <v>Nov</v>
      </c>
      <c r="M1576" s="5" t="str">
        <f>IF(Table1[[#This Row],[Profit]]&gt;=1000,"Excellent",IF(Table1[[#This Row],[Profit]]&gt;=500,"Good", IF(Table1[[#This Row],[Profit]]&lt;500,"Low")))</f>
        <v>Low</v>
      </c>
      <c r="N1576" s="7" t="str">
        <f>TEXT(Table1[[#This Row],[Order_Date]],"YYY")</f>
        <v>2025</v>
      </c>
    </row>
    <row r="1577" spans="1:14" x14ac:dyDescent="0.3">
      <c r="A1577" s="4">
        <v>45963</v>
      </c>
      <c r="B1577" s="5" t="s">
        <v>0</v>
      </c>
      <c r="C1577" s="5" t="s">
        <v>14</v>
      </c>
      <c r="D1577" s="23">
        <v>85.52</v>
      </c>
      <c r="E1577" s="23">
        <v>27.02</v>
      </c>
      <c r="F1577" s="23">
        <v>58.5</v>
      </c>
      <c r="G1577" s="5" t="s">
        <v>9</v>
      </c>
      <c r="H1577" s="5" t="s">
        <v>33</v>
      </c>
      <c r="I1577" s="5" t="s">
        <v>11</v>
      </c>
      <c r="J1577" s="6">
        <f>Table1[[#This Row],[Profit]]/Table1[[#This Row],[Sales]]</f>
        <v>0.68405051449953236</v>
      </c>
      <c r="K1577" s="5" t="str">
        <f t="shared" si="24"/>
        <v>Low</v>
      </c>
      <c r="L1577" s="5" t="str">
        <f>TEXT(Table1[[#This Row],[Order_Date]],"MMM")</f>
        <v>Nov</v>
      </c>
      <c r="M1577" s="5" t="str">
        <f>IF(Table1[[#This Row],[Profit]]&gt;=1000,"Excellent",IF(Table1[[#This Row],[Profit]]&gt;=500,"Good", IF(Table1[[#This Row],[Profit]]&lt;500,"Low")))</f>
        <v>Low</v>
      </c>
      <c r="N1577" s="7" t="str">
        <f>TEXT(Table1[[#This Row],[Order_Date]],"YYY")</f>
        <v>2025</v>
      </c>
    </row>
    <row r="1578" spans="1:14" x14ac:dyDescent="0.3">
      <c r="A1578" s="4">
        <v>45965</v>
      </c>
      <c r="B1578" s="5" t="s">
        <v>18</v>
      </c>
      <c r="C1578" s="5" t="s">
        <v>1</v>
      </c>
      <c r="D1578" s="23">
        <v>591.05999999999995</v>
      </c>
      <c r="E1578" s="23">
        <v>341.4</v>
      </c>
      <c r="F1578" s="23">
        <v>249.66</v>
      </c>
      <c r="G1578" s="5" t="s">
        <v>20</v>
      </c>
      <c r="H1578" s="5" t="s">
        <v>30</v>
      </c>
      <c r="I1578" s="5" t="s">
        <v>17</v>
      </c>
      <c r="J1578" s="6">
        <f>Table1[[#This Row],[Profit]]/Table1[[#This Row],[Sales]]</f>
        <v>0.42239366561770381</v>
      </c>
      <c r="K1578" s="5" t="str">
        <f t="shared" si="24"/>
        <v>Low</v>
      </c>
      <c r="L1578" s="5" t="str">
        <f>TEXT(Table1[[#This Row],[Order_Date]],"MMM")</f>
        <v>Nov</v>
      </c>
      <c r="M1578" s="5" t="str">
        <f>IF(Table1[[#This Row],[Profit]]&gt;=1000,"Excellent",IF(Table1[[#This Row],[Profit]]&gt;=500,"Good", IF(Table1[[#This Row],[Profit]]&lt;500,"Low")))</f>
        <v>Low</v>
      </c>
      <c r="N1578" s="7" t="str">
        <f>TEXT(Table1[[#This Row],[Order_Date]],"YYY")</f>
        <v>2025</v>
      </c>
    </row>
    <row r="1579" spans="1:14" x14ac:dyDescent="0.3">
      <c r="A1579" s="4">
        <v>45967</v>
      </c>
      <c r="B1579" s="5" t="s">
        <v>16</v>
      </c>
      <c r="C1579" s="5" t="s">
        <v>19</v>
      </c>
      <c r="D1579" s="23">
        <v>24.44</v>
      </c>
      <c r="E1579" s="23">
        <v>9.6300000000000008</v>
      </c>
      <c r="F1579" s="23">
        <v>14.81</v>
      </c>
      <c r="G1579" s="5" t="s">
        <v>9</v>
      </c>
      <c r="H1579" s="5" t="s">
        <v>15</v>
      </c>
      <c r="I1579" s="5" t="s">
        <v>11</v>
      </c>
      <c r="J1579" s="6">
        <f>Table1[[#This Row],[Profit]]/Table1[[#This Row],[Sales]]</f>
        <v>0.60597381342062195</v>
      </c>
      <c r="K1579" s="5" t="str">
        <f t="shared" si="24"/>
        <v>Low</v>
      </c>
      <c r="L1579" s="5" t="str">
        <f>TEXT(Table1[[#This Row],[Order_Date]],"MMM")</f>
        <v>Nov</v>
      </c>
      <c r="M1579" s="5" t="str">
        <f>IF(Table1[[#This Row],[Profit]]&gt;=1000,"Excellent",IF(Table1[[#This Row],[Profit]]&gt;=500,"Good", IF(Table1[[#This Row],[Profit]]&lt;500,"Low")))</f>
        <v>Low</v>
      </c>
      <c r="N1579" s="7" t="str">
        <f>TEXT(Table1[[#This Row],[Order_Date]],"YYY")</f>
        <v>2025</v>
      </c>
    </row>
    <row r="1580" spans="1:14" x14ac:dyDescent="0.3">
      <c r="A1580" s="4">
        <v>45967</v>
      </c>
      <c r="B1580" s="5" t="s">
        <v>13</v>
      </c>
      <c r="C1580" s="5" t="s">
        <v>31</v>
      </c>
      <c r="D1580" s="23">
        <v>280.52</v>
      </c>
      <c r="E1580" s="23">
        <v>85.73</v>
      </c>
      <c r="F1580" s="23">
        <v>194.79</v>
      </c>
      <c r="G1580" s="5" t="s">
        <v>6</v>
      </c>
      <c r="H1580" s="5" t="s">
        <v>15</v>
      </c>
      <c r="I1580" s="5" t="s">
        <v>22</v>
      </c>
      <c r="J1580" s="6">
        <f>Table1[[#This Row],[Profit]]/Table1[[#This Row],[Sales]]</f>
        <v>0.69438899187223724</v>
      </c>
      <c r="K1580" s="5" t="str">
        <f t="shared" si="24"/>
        <v>Low</v>
      </c>
      <c r="L1580" s="5" t="str">
        <f>TEXT(Table1[[#This Row],[Order_Date]],"MMM")</f>
        <v>Nov</v>
      </c>
      <c r="M1580" s="5" t="str">
        <f>IF(Table1[[#This Row],[Profit]]&gt;=1000,"Excellent",IF(Table1[[#This Row],[Profit]]&gt;=500,"Good", IF(Table1[[#This Row],[Profit]]&lt;500,"Low")))</f>
        <v>Low</v>
      </c>
      <c r="N1580" s="7" t="str">
        <f>TEXT(Table1[[#This Row],[Order_Date]],"YYY")</f>
        <v>2025</v>
      </c>
    </row>
    <row r="1581" spans="1:14" x14ac:dyDescent="0.3">
      <c r="A1581" s="4">
        <v>45968</v>
      </c>
      <c r="B1581" s="5" t="s">
        <v>13</v>
      </c>
      <c r="C1581" s="5" t="s">
        <v>5</v>
      </c>
      <c r="D1581" s="23">
        <v>557.37</v>
      </c>
      <c r="E1581" s="23">
        <v>214.08</v>
      </c>
      <c r="F1581" s="23">
        <v>343.29</v>
      </c>
      <c r="G1581" s="5" t="s">
        <v>6</v>
      </c>
      <c r="H1581" s="5" t="s">
        <v>35</v>
      </c>
      <c r="I1581" s="5" t="s">
        <v>4</v>
      </c>
      <c r="J1581" s="6">
        <f>Table1[[#This Row],[Profit]]/Table1[[#This Row],[Sales]]</f>
        <v>0.61591043651434418</v>
      </c>
      <c r="K1581" s="5" t="str">
        <f t="shared" si="24"/>
        <v>Low</v>
      </c>
      <c r="L1581" s="5" t="str">
        <f>TEXT(Table1[[#This Row],[Order_Date]],"MMM")</f>
        <v>Nov</v>
      </c>
      <c r="M1581" s="5" t="str">
        <f>IF(Table1[[#This Row],[Profit]]&gt;=1000,"Excellent",IF(Table1[[#This Row],[Profit]]&gt;=500,"Good", IF(Table1[[#This Row],[Profit]]&lt;500,"Low")))</f>
        <v>Low</v>
      </c>
      <c r="N1581" s="7" t="str">
        <f>TEXT(Table1[[#This Row],[Order_Date]],"YYY")</f>
        <v>2025</v>
      </c>
    </row>
    <row r="1582" spans="1:14" x14ac:dyDescent="0.3">
      <c r="A1582" s="4">
        <v>45969</v>
      </c>
      <c r="B1582" s="5" t="s">
        <v>0</v>
      </c>
      <c r="C1582" s="5" t="s">
        <v>26</v>
      </c>
      <c r="D1582" s="23">
        <v>1197.03</v>
      </c>
      <c r="E1582" s="23">
        <v>443.62</v>
      </c>
      <c r="F1582" s="23">
        <v>753.41</v>
      </c>
      <c r="G1582" s="5" t="s">
        <v>2</v>
      </c>
      <c r="H1582" s="5" t="s">
        <v>37</v>
      </c>
      <c r="I1582" s="5" t="s">
        <v>11</v>
      </c>
      <c r="J1582" s="6">
        <f>Table1[[#This Row],[Profit]]/Table1[[#This Row],[Sales]]</f>
        <v>0.62939943025655165</v>
      </c>
      <c r="K1582" s="5" t="str">
        <f t="shared" si="24"/>
        <v>Low</v>
      </c>
      <c r="L1582" s="5" t="str">
        <f>TEXT(Table1[[#This Row],[Order_Date]],"MMM")</f>
        <v>Nov</v>
      </c>
      <c r="M1582" s="5" t="str">
        <f>IF(Table1[[#This Row],[Profit]]&gt;=1000,"Excellent",IF(Table1[[#This Row],[Profit]]&gt;=500,"Good", IF(Table1[[#This Row],[Profit]]&lt;500,"Low")))</f>
        <v>Good</v>
      </c>
      <c r="N1582" s="7" t="str">
        <f>TEXT(Table1[[#This Row],[Order_Date]],"YYY")</f>
        <v>2025</v>
      </c>
    </row>
    <row r="1583" spans="1:14" x14ac:dyDescent="0.3">
      <c r="A1583" s="4">
        <v>45969</v>
      </c>
      <c r="B1583" s="5" t="s">
        <v>0</v>
      </c>
      <c r="C1583" s="5" t="s">
        <v>14</v>
      </c>
      <c r="D1583" s="23">
        <v>190.99</v>
      </c>
      <c r="E1583" s="23">
        <v>78.38</v>
      </c>
      <c r="F1583" s="23">
        <v>112.61</v>
      </c>
      <c r="G1583" s="5" t="s">
        <v>6</v>
      </c>
      <c r="H1583" s="5" t="s">
        <v>37</v>
      </c>
      <c r="I1583" s="5" t="s">
        <v>4</v>
      </c>
      <c r="J1583" s="6">
        <f>Table1[[#This Row],[Profit]]/Table1[[#This Row],[Sales]]</f>
        <v>0.58961202157181003</v>
      </c>
      <c r="K1583" s="5" t="str">
        <f t="shared" si="24"/>
        <v>Low</v>
      </c>
      <c r="L1583" s="5" t="str">
        <f>TEXT(Table1[[#This Row],[Order_Date]],"MMM")</f>
        <v>Nov</v>
      </c>
      <c r="M1583" s="5" t="str">
        <f>IF(Table1[[#This Row],[Profit]]&gt;=1000,"Excellent",IF(Table1[[#This Row],[Profit]]&gt;=500,"Good", IF(Table1[[#This Row],[Profit]]&lt;500,"Low")))</f>
        <v>Low</v>
      </c>
      <c r="N1583" s="7" t="str">
        <f>TEXT(Table1[[#This Row],[Order_Date]],"YYY")</f>
        <v>2025</v>
      </c>
    </row>
    <row r="1584" spans="1:14" x14ac:dyDescent="0.3">
      <c r="A1584" s="4">
        <v>45970</v>
      </c>
      <c r="B1584" s="5" t="s">
        <v>16</v>
      </c>
      <c r="C1584" s="5" t="s">
        <v>26</v>
      </c>
      <c r="D1584" s="23">
        <v>980.26</v>
      </c>
      <c r="E1584" s="23">
        <v>370.63</v>
      </c>
      <c r="F1584" s="23">
        <v>609.63</v>
      </c>
      <c r="G1584" s="5" t="s">
        <v>20</v>
      </c>
      <c r="H1584" s="5" t="s">
        <v>3</v>
      </c>
      <c r="I1584" s="5" t="s">
        <v>11</v>
      </c>
      <c r="J1584" s="6">
        <f>Table1[[#This Row],[Profit]]/Table1[[#This Row],[Sales]]</f>
        <v>0.62190643298716664</v>
      </c>
      <c r="K1584" s="5" t="str">
        <f t="shared" si="24"/>
        <v>Low</v>
      </c>
      <c r="L1584" s="5" t="str">
        <f>TEXT(Table1[[#This Row],[Order_Date]],"MMM")</f>
        <v>Nov</v>
      </c>
      <c r="M1584" s="5" t="str">
        <f>IF(Table1[[#This Row],[Profit]]&gt;=1000,"Excellent",IF(Table1[[#This Row],[Profit]]&gt;=500,"Good", IF(Table1[[#This Row],[Profit]]&lt;500,"Low")))</f>
        <v>Good</v>
      </c>
      <c r="N1584" s="7" t="str">
        <f>TEXT(Table1[[#This Row],[Order_Date]],"YYY")</f>
        <v>2025</v>
      </c>
    </row>
    <row r="1585" spans="1:14" x14ac:dyDescent="0.3">
      <c r="A1585" s="4">
        <v>45970</v>
      </c>
      <c r="B1585" s="5" t="s">
        <v>18</v>
      </c>
      <c r="C1585" s="5" t="s">
        <v>31</v>
      </c>
      <c r="D1585" s="23">
        <v>137.30000000000001</v>
      </c>
      <c r="E1585" s="23">
        <v>45.2</v>
      </c>
      <c r="F1585" s="23">
        <v>92.1</v>
      </c>
      <c r="G1585" s="5" t="s">
        <v>2</v>
      </c>
      <c r="H1585" s="5" t="s">
        <v>28</v>
      </c>
      <c r="I1585" s="5" t="s">
        <v>27</v>
      </c>
      <c r="J1585" s="6">
        <f>Table1[[#This Row],[Profit]]/Table1[[#This Row],[Sales]]</f>
        <v>0.67079388201019652</v>
      </c>
      <c r="K1585" s="5" t="str">
        <f t="shared" si="24"/>
        <v>Low</v>
      </c>
      <c r="L1585" s="5" t="str">
        <f>TEXT(Table1[[#This Row],[Order_Date]],"MMM")</f>
        <v>Nov</v>
      </c>
      <c r="M1585" s="5" t="str">
        <f>IF(Table1[[#This Row],[Profit]]&gt;=1000,"Excellent",IF(Table1[[#This Row],[Profit]]&gt;=500,"Good", IF(Table1[[#This Row],[Profit]]&lt;500,"Low")))</f>
        <v>Low</v>
      </c>
      <c r="N1585" s="7" t="str">
        <f>TEXT(Table1[[#This Row],[Order_Date]],"YYY")</f>
        <v>2025</v>
      </c>
    </row>
    <row r="1586" spans="1:14" x14ac:dyDescent="0.3">
      <c r="A1586" s="4">
        <v>45970</v>
      </c>
      <c r="B1586" s="5" t="s">
        <v>16</v>
      </c>
      <c r="C1586" s="5" t="s">
        <v>1</v>
      </c>
      <c r="D1586" s="23">
        <v>416.16</v>
      </c>
      <c r="E1586" s="23">
        <v>200.06</v>
      </c>
      <c r="F1586" s="23">
        <v>216.1</v>
      </c>
      <c r="G1586" s="5" t="s">
        <v>20</v>
      </c>
      <c r="H1586" s="5" t="s">
        <v>15</v>
      </c>
      <c r="I1586" s="5" t="s">
        <v>27</v>
      </c>
      <c r="J1586" s="6">
        <f>Table1[[#This Row],[Profit]]/Table1[[#This Row],[Sales]]</f>
        <v>0.51927143406382159</v>
      </c>
      <c r="K1586" s="5" t="str">
        <f t="shared" si="24"/>
        <v>Low</v>
      </c>
      <c r="L1586" s="5" t="str">
        <f>TEXT(Table1[[#This Row],[Order_Date]],"MMM")</f>
        <v>Nov</v>
      </c>
      <c r="M1586" s="5" t="str">
        <f>IF(Table1[[#This Row],[Profit]]&gt;=1000,"Excellent",IF(Table1[[#This Row],[Profit]]&gt;=500,"Good", IF(Table1[[#This Row],[Profit]]&lt;500,"Low")))</f>
        <v>Low</v>
      </c>
      <c r="N1586" s="7" t="str">
        <f>TEXT(Table1[[#This Row],[Order_Date]],"YYY")</f>
        <v>2025</v>
      </c>
    </row>
    <row r="1587" spans="1:14" x14ac:dyDescent="0.3">
      <c r="A1587" s="4">
        <v>45971</v>
      </c>
      <c r="B1587" s="5" t="s">
        <v>0</v>
      </c>
      <c r="C1587" s="5" t="s">
        <v>23</v>
      </c>
      <c r="D1587" s="23">
        <v>203.74</v>
      </c>
      <c r="E1587" s="23">
        <v>74.77</v>
      </c>
      <c r="F1587" s="23">
        <v>128.97</v>
      </c>
      <c r="G1587" s="5" t="s">
        <v>6</v>
      </c>
      <c r="H1587" s="5" t="s">
        <v>24</v>
      </c>
      <c r="I1587" s="5" t="s">
        <v>11</v>
      </c>
      <c r="J1587" s="6">
        <f>Table1[[#This Row],[Profit]]/Table1[[#This Row],[Sales]]</f>
        <v>0.63301266319819371</v>
      </c>
      <c r="K1587" s="5" t="str">
        <f t="shared" si="24"/>
        <v>Low</v>
      </c>
      <c r="L1587" s="5" t="str">
        <f>TEXT(Table1[[#This Row],[Order_Date]],"MMM")</f>
        <v>Nov</v>
      </c>
      <c r="M1587" s="5" t="str">
        <f>IF(Table1[[#This Row],[Profit]]&gt;=1000,"Excellent",IF(Table1[[#This Row],[Profit]]&gt;=500,"Good", IF(Table1[[#This Row],[Profit]]&lt;500,"Low")))</f>
        <v>Low</v>
      </c>
      <c r="N1587" s="7" t="str">
        <f>TEXT(Table1[[#This Row],[Order_Date]],"YYY")</f>
        <v>2025</v>
      </c>
    </row>
    <row r="1588" spans="1:14" x14ac:dyDescent="0.3">
      <c r="A1588" s="4">
        <v>45971</v>
      </c>
      <c r="B1588" s="5" t="s">
        <v>16</v>
      </c>
      <c r="C1588" s="5" t="s">
        <v>1</v>
      </c>
      <c r="D1588" s="23">
        <v>1155.44</v>
      </c>
      <c r="E1588" s="23">
        <v>729.78</v>
      </c>
      <c r="F1588" s="23">
        <v>425.66</v>
      </c>
      <c r="G1588" s="5" t="s">
        <v>6</v>
      </c>
      <c r="H1588" s="5" t="s">
        <v>12</v>
      </c>
      <c r="I1588" s="5" t="s">
        <v>17</v>
      </c>
      <c r="J1588" s="6">
        <f>Table1[[#This Row],[Profit]]/Table1[[#This Row],[Sales]]</f>
        <v>0.36839645503011842</v>
      </c>
      <c r="K1588" s="5" t="str">
        <f t="shared" si="24"/>
        <v>Low</v>
      </c>
      <c r="L1588" s="5" t="str">
        <f>TEXT(Table1[[#This Row],[Order_Date]],"MMM")</f>
        <v>Nov</v>
      </c>
      <c r="M1588" s="5" t="str">
        <f>IF(Table1[[#This Row],[Profit]]&gt;=1000,"Excellent",IF(Table1[[#This Row],[Profit]]&gt;=500,"Good", IF(Table1[[#This Row],[Profit]]&lt;500,"Low")))</f>
        <v>Low</v>
      </c>
      <c r="N1588" s="7" t="str">
        <f>TEXT(Table1[[#This Row],[Order_Date]],"YYY")</f>
        <v>2025</v>
      </c>
    </row>
    <row r="1589" spans="1:14" x14ac:dyDescent="0.3">
      <c r="A1589" s="4">
        <v>45972</v>
      </c>
      <c r="B1589" s="5" t="s">
        <v>16</v>
      </c>
      <c r="C1589" s="5" t="s">
        <v>23</v>
      </c>
      <c r="D1589" s="23">
        <v>844.53</v>
      </c>
      <c r="E1589" s="23">
        <v>257.08</v>
      </c>
      <c r="F1589" s="23">
        <v>587.45000000000005</v>
      </c>
      <c r="G1589" s="5" t="s">
        <v>9</v>
      </c>
      <c r="H1589" s="5" t="s">
        <v>34</v>
      </c>
      <c r="I1589" s="5" t="s">
        <v>25</v>
      </c>
      <c r="J1589" s="6">
        <f>Table1[[#This Row],[Profit]]/Table1[[#This Row],[Sales]]</f>
        <v>0.69559399902904584</v>
      </c>
      <c r="K1589" s="5" t="str">
        <f t="shared" si="24"/>
        <v>Low</v>
      </c>
      <c r="L1589" s="5" t="str">
        <f>TEXT(Table1[[#This Row],[Order_Date]],"MMM")</f>
        <v>Nov</v>
      </c>
      <c r="M1589" s="5" t="str">
        <f>IF(Table1[[#This Row],[Profit]]&gt;=1000,"Excellent",IF(Table1[[#This Row],[Profit]]&gt;=500,"Good", IF(Table1[[#This Row],[Profit]]&lt;500,"Low")))</f>
        <v>Good</v>
      </c>
      <c r="N1589" s="7" t="str">
        <f>TEXT(Table1[[#This Row],[Order_Date]],"YYY")</f>
        <v>2025</v>
      </c>
    </row>
    <row r="1590" spans="1:14" x14ac:dyDescent="0.3">
      <c r="A1590" s="4">
        <v>45972</v>
      </c>
      <c r="B1590" s="5" t="s">
        <v>0</v>
      </c>
      <c r="C1590" s="5" t="s">
        <v>5</v>
      </c>
      <c r="D1590" s="23">
        <v>695.83</v>
      </c>
      <c r="E1590" s="23">
        <v>220.46</v>
      </c>
      <c r="F1590" s="23">
        <v>475.37</v>
      </c>
      <c r="G1590" s="5" t="s">
        <v>6</v>
      </c>
      <c r="H1590" s="5" t="s">
        <v>12</v>
      </c>
      <c r="I1590" s="5" t="s">
        <v>25</v>
      </c>
      <c r="J1590" s="6">
        <f>Table1[[#This Row],[Profit]]/Table1[[#This Row],[Sales]]</f>
        <v>0.68316973973528017</v>
      </c>
      <c r="K1590" s="5" t="str">
        <f t="shared" si="24"/>
        <v>Low</v>
      </c>
      <c r="L1590" s="5" t="str">
        <f>TEXT(Table1[[#This Row],[Order_Date]],"MMM")</f>
        <v>Nov</v>
      </c>
      <c r="M1590" s="5" t="str">
        <f>IF(Table1[[#This Row],[Profit]]&gt;=1000,"Excellent",IF(Table1[[#This Row],[Profit]]&gt;=500,"Good", IF(Table1[[#This Row],[Profit]]&lt;500,"Low")))</f>
        <v>Low</v>
      </c>
      <c r="N1590" s="7" t="str">
        <f>TEXT(Table1[[#This Row],[Order_Date]],"YYY")</f>
        <v>2025</v>
      </c>
    </row>
    <row r="1591" spans="1:14" x14ac:dyDescent="0.3">
      <c r="A1591" s="4">
        <v>45972</v>
      </c>
      <c r="B1591" s="5" t="s">
        <v>18</v>
      </c>
      <c r="C1591" s="5" t="s">
        <v>1</v>
      </c>
      <c r="D1591" s="23">
        <v>1141.31</v>
      </c>
      <c r="E1591" s="23">
        <v>581.26</v>
      </c>
      <c r="F1591" s="23">
        <v>560.04999999999995</v>
      </c>
      <c r="G1591" s="5" t="s">
        <v>20</v>
      </c>
      <c r="H1591" s="5" t="s">
        <v>12</v>
      </c>
      <c r="I1591" s="5" t="s">
        <v>27</v>
      </c>
      <c r="J1591" s="6">
        <f>Table1[[#This Row],[Profit]]/Table1[[#This Row],[Sales]]</f>
        <v>0.4907080460172959</v>
      </c>
      <c r="K1591" s="5" t="str">
        <f t="shared" si="24"/>
        <v>Low</v>
      </c>
      <c r="L1591" s="5" t="str">
        <f>TEXT(Table1[[#This Row],[Order_Date]],"MMM")</f>
        <v>Nov</v>
      </c>
      <c r="M1591" s="5" t="str">
        <f>IF(Table1[[#This Row],[Profit]]&gt;=1000,"Excellent",IF(Table1[[#This Row],[Profit]]&gt;=500,"Good", IF(Table1[[#This Row],[Profit]]&lt;500,"Low")))</f>
        <v>Good</v>
      </c>
      <c r="N1591" s="7" t="str">
        <f>TEXT(Table1[[#This Row],[Order_Date]],"YYY")</f>
        <v>2025</v>
      </c>
    </row>
    <row r="1592" spans="1:14" x14ac:dyDescent="0.3">
      <c r="A1592" s="4">
        <v>45973</v>
      </c>
      <c r="B1592" s="5" t="s">
        <v>18</v>
      </c>
      <c r="C1592" s="5" t="s">
        <v>5</v>
      </c>
      <c r="D1592" s="23">
        <v>477.78</v>
      </c>
      <c r="E1592" s="23">
        <v>209.11</v>
      </c>
      <c r="F1592" s="23">
        <v>268.67</v>
      </c>
      <c r="G1592" s="5" t="s">
        <v>6</v>
      </c>
      <c r="H1592" s="5" t="s">
        <v>36</v>
      </c>
      <c r="I1592" s="5" t="s">
        <v>4</v>
      </c>
      <c r="J1592" s="6">
        <f>Table1[[#This Row],[Profit]]/Table1[[#This Row],[Sales]]</f>
        <v>0.56232994265142955</v>
      </c>
      <c r="K1592" s="5" t="str">
        <f t="shared" si="24"/>
        <v>Low</v>
      </c>
      <c r="L1592" s="5" t="str">
        <f>TEXT(Table1[[#This Row],[Order_Date]],"MMM")</f>
        <v>Nov</v>
      </c>
      <c r="M1592" s="5" t="str">
        <f>IF(Table1[[#This Row],[Profit]]&gt;=1000,"Excellent",IF(Table1[[#This Row],[Profit]]&gt;=500,"Good", IF(Table1[[#This Row],[Profit]]&lt;500,"Low")))</f>
        <v>Low</v>
      </c>
      <c r="N1592" s="7" t="str">
        <f>TEXT(Table1[[#This Row],[Order_Date]],"YYY")</f>
        <v>2025</v>
      </c>
    </row>
    <row r="1593" spans="1:14" x14ac:dyDescent="0.3">
      <c r="A1593" s="4">
        <v>45973</v>
      </c>
      <c r="B1593" s="5" t="s">
        <v>16</v>
      </c>
      <c r="C1593" s="5" t="s">
        <v>14</v>
      </c>
      <c r="D1593" s="23">
        <v>43.87</v>
      </c>
      <c r="E1593" s="23">
        <v>14.95</v>
      </c>
      <c r="F1593" s="23">
        <v>28.92</v>
      </c>
      <c r="G1593" s="5" t="s">
        <v>2</v>
      </c>
      <c r="H1593" s="5" t="s">
        <v>3</v>
      </c>
      <c r="I1593" s="5" t="s">
        <v>4</v>
      </c>
      <c r="J1593" s="6">
        <f>Table1[[#This Row],[Profit]]/Table1[[#This Row],[Sales]]</f>
        <v>0.65922042397994085</v>
      </c>
      <c r="K1593" s="5" t="str">
        <f t="shared" si="24"/>
        <v>Low</v>
      </c>
      <c r="L1593" s="5" t="str">
        <f>TEXT(Table1[[#This Row],[Order_Date]],"MMM")</f>
        <v>Nov</v>
      </c>
      <c r="M1593" s="5" t="str">
        <f>IF(Table1[[#This Row],[Profit]]&gt;=1000,"Excellent",IF(Table1[[#This Row],[Profit]]&gt;=500,"Good", IF(Table1[[#This Row],[Profit]]&lt;500,"Low")))</f>
        <v>Low</v>
      </c>
      <c r="N1593" s="7" t="str">
        <f>TEXT(Table1[[#This Row],[Order_Date]],"YYY")</f>
        <v>2025</v>
      </c>
    </row>
    <row r="1594" spans="1:14" x14ac:dyDescent="0.3">
      <c r="A1594" s="4">
        <v>45973</v>
      </c>
      <c r="B1594" s="5" t="s">
        <v>0</v>
      </c>
      <c r="C1594" s="5" t="s">
        <v>19</v>
      </c>
      <c r="D1594" s="23">
        <v>18.96</v>
      </c>
      <c r="E1594" s="23">
        <v>6.46</v>
      </c>
      <c r="F1594" s="23">
        <v>12.5</v>
      </c>
      <c r="G1594" s="5" t="s">
        <v>20</v>
      </c>
      <c r="H1594" s="5" t="s">
        <v>3</v>
      </c>
      <c r="I1594" s="5" t="s">
        <v>25</v>
      </c>
      <c r="J1594" s="6">
        <f>Table1[[#This Row],[Profit]]/Table1[[#This Row],[Sales]]</f>
        <v>0.65928270042194093</v>
      </c>
      <c r="K1594" s="5" t="str">
        <f t="shared" si="24"/>
        <v>Low</v>
      </c>
      <c r="L1594" s="5" t="str">
        <f>TEXT(Table1[[#This Row],[Order_Date]],"MMM")</f>
        <v>Nov</v>
      </c>
      <c r="M1594" s="5" t="str">
        <f>IF(Table1[[#This Row],[Profit]]&gt;=1000,"Excellent",IF(Table1[[#This Row],[Profit]]&gt;=500,"Good", IF(Table1[[#This Row],[Profit]]&lt;500,"Low")))</f>
        <v>Low</v>
      </c>
      <c r="N1594" s="7" t="str">
        <f>TEXT(Table1[[#This Row],[Order_Date]],"YYY")</f>
        <v>2025</v>
      </c>
    </row>
    <row r="1595" spans="1:14" x14ac:dyDescent="0.3">
      <c r="A1595" s="4">
        <v>45973</v>
      </c>
      <c r="B1595" s="5" t="s">
        <v>18</v>
      </c>
      <c r="C1595" s="5" t="s">
        <v>5</v>
      </c>
      <c r="D1595" s="23">
        <v>1620.52</v>
      </c>
      <c r="E1595" s="23">
        <v>664.13</v>
      </c>
      <c r="F1595" s="23">
        <v>956.39</v>
      </c>
      <c r="G1595" s="5" t="s">
        <v>9</v>
      </c>
      <c r="H1595" s="5" t="s">
        <v>37</v>
      </c>
      <c r="I1595" s="5" t="s">
        <v>27</v>
      </c>
      <c r="J1595" s="6">
        <f>Table1[[#This Row],[Profit]]/Table1[[#This Row],[Sales]]</f>
        <v>0.59017475871942338</v>
      </c>
      <c r="K1595" s="5" t="str">
        <f t="shared" si="24"/>
        <v>Medium</v>
      </c>
      <c r="L1595" s="5" t="str">
        <f>TEXT(Table1[[#This Row],[Order_Date]],"MMM")</f>
        <v>Nov</v>
      </c>
      <c r="M1595" s="5" t="str">
        <f>IF(Table1[[#This Row],[Profit]]&gt;=1000,"Excellent",IF(Table1[[#This Row],[Profit]]&gt;=500,"Good", IF(Table1[[#This Row],[Profit]]&lt;500,"Low")))</f>
        <v>Good</v>
      </c>
      <c r="N1595" s="7" t="str">
        <f>TEXT(Table1[[#This Row],[Order_Date]],"YYY")</f>
        <v>2025</v>
      </c>
    </row>
    <row r="1596" spans="1:14" x14ac:dyDescent="0.3">
      <c r="A1596" s="4">
        <v>45974</v>
      </c>
      <c r="B1596" s="5" t="s">
        <v>18</v>
      </c>
      <c r="C1596" s="5" t="s">
        <v>1</v>
      </c>
      <c r="D1596" s="23">
        <v>984.79</v>
      </c>
      <c r="E1596" s="23">
        <v>617.58000000000004</v>
      </c>
      <c r="F1596" s="23">
        <v>367.21</v>
      </c>
      <c r="G1596" s="5" t="s">
        <v>32</v>
      </c>
      <c r="H1596" s="5" t="s">
        <v>24</v>
      </c>
      <c r="I1596" s="5" t="s">
        <v>22</v>
      </c>
      <c r="J1596" s="6">
        <f>Table1[[#This Row],[Profit]]/Table1[[#This Row],[Sales]]</f>
        <v>0.37288152804151137</v>
      </c>
      <c r="K1596" s="5" t="str">
        <f t="shared" si="24"/>
        <v>Low</v>
      </c>
      <c r="L1596" s="5" t="str">
        <f>TEXT(Table1[[#This Row],[Order_Date]],"MMM")</f>
        <v>Nov</v>
      </c>
      <c r="M1596" s="5" t="str">
        <f>IF(Table1[[#This Row],[Profit]]&gt;=1000,"Excellent",IF(Table1[[#This Row],[Profit]]&gt;=500,"Good", IF(Table1[[#This Row],[Profit]]&lt;500,"Low")))</f>
        <v>Low</v>
      </c>
      <c r="N1596" s="7" t="str">
        <f>TEXT(Table1[[#This Row],[Order_Date]],"YYY")</f>
        <v>2025</v>
      </c>
    </row>
    <row r="1597" spans="1:14" x14ac:dyDescent="0.3">
      <c r="A1597" s="4">
        <v>45976</v>
      </c>
      <c r="B1597" s="5" t="s">
        <v>13</v>
      </c>
      <c r="C1597" s="5" t="s">
        <v>26</v>
      </c>
      <c r="D1597" s="23">
        <v>880.76</v>
      </c>
      <c r="E1597" s="23">
        <v>292.77</v>
      </c>
      <c r="F1597" s="23">
        <v>587.99</v>
      </c>
      <c r="G1597" s="5" t="s">
        <v>6</v>
      </c>
      <c r="H1597" s="5" t="s">
        <v>21</v>
      </c>
      <c r="I1597" s="5" t="s">
        <v>4</v>
      </c>
      <c r="J1597" s="6">
        <f>Table1[[#This Row],[Profit]]/Table1[[#This Row],[Sales]]</f>
        <v>0.6675938961805713</v>
      </c>
      <c r="K1597" s="5" t="str">
        <f t="shared" si="24"/>
        <v>Low</v>
      </c>
      <c r="L1597" s="5" t="str">
        <f>TEXT(Table1[[#This Row],[Order_Date]],"MMM")</f>
        <v>Nov</v>
      </c>
      <c r="M1597" s="5" t="str">
        <f>IF(Table1[[#This Row],[Profit]]&gt;=1000,"Excellent",IF(Table1[[#This Row],[Profit]]&gt;=500,"Good", IF(Table1[[#This Row],[Profit]]&lt;500,"Low")))</f>
        <v>Good</v>
      </c>
      <c r="N1597" s="7" t="str">
        <f>TEXT(Table1[[#This Row],[Order_Date]],"YYY")</f>
        <v>2025</v>
      </c>
    </row>
    <row r="1598" spans="1:14" x14ac:dyDescent="0.3">
      <c r="A1598" s="4">
        <v>45977</v>
      </c>
      <c r="B1598" s="5" t="s">
        <v>16</v>
      </c>
      <c r="C1598" s="5" t="s">
        <v>19</v>
      </c>
      <c r="D1598" s="23">
        <v>63.69</v>
      </c>
      <c r="E1598" s="23">
        <v>15.37</v>
      </c>
      <c r="F1598" s="23">
        <v>48.32</v>
      </c>
      <c r="G1598" s="5" t="s">
        <v>32</v>
      </c>
      <c r="H1598" s="5" t="s">
        <v>37</v>
      </c>
      <c r="I1598" s="5" t="s">
        <v>27</v>
      </c>
      <c r="J1598" s="6">
        <f>Table1[[#This Row],[Profit]]/Table1[[#This Row],[Sales]]</f>
        <v>0.75867483121369139</v>
      </c>
      <c r="K1598" s="5" t="str">
        <f t="shared" si="24"/>
        <v>Low</v>
      </c>
      <c r="L1598" s="5" t="str">
        <f>TEXT(Table1[[#This Row],[Order_Date]],"MMM")</f>
        <v>Nov</v>
      </c>
      <c r="M1598" s="5" t="str">
        <f>IF(Table1[[#This Row],[Profit]]&gt;=1000,"Excellent",IF(Table1[[#This Row],[Profit]]&gt;=500,"Good", IF(Table1[[#This Row],[Profit]]&lt;500,"Low")))</f>
        <v>Low</v>
      </c>
      <c r="N1598" s="7" t="str">
        <f>TEXT(Table1[[#This Row],[Order_Date]],"YYY")</f>
        <v>2025</v>
      </c>
    </row>
    <row r="1599" spans="1:14" x14ac:dyDescent="0.3">
      <c r="A1599" s="4">
        <v>45977</v>
      </c>
      <c r="B1599" s="5" t="s">
        <v>16</v>
      </c>
      <c r="C1599" s="5" t="s">
        <v>19</v>
      </c>
      <c r="D1599" s="23">
        <v>117.61</v>
      </c>
      <c r="E1599" s="23">
        <v>30.98</v>
      </c>
      <c r="F1599" s="23">
        <v>86.63</v>
      </c>
      <c r="G1599" s="5" t="s">
        <v>9</v>
      </c>
      <c r="H1599" s="5" t="s">
        <v>33</v>
      </c>
      <c r="I1599" s="5" t="s">
        <v>25</v>
      </c>
      <c r="J1599" s="6">
        <f>Table1[[#This Row],[Profit]]/Table1[[#This Row],[Sales]]</f>
        <v>0.73658702491284755</v>
      </c>
      <c r="K1599" s="5" t="str">
        <f t="shared" si="24"/>
        <v>Low</v>
      </c>
      <c r="L1599" s="5" t="str">
        <f>TEXT(Table1[[#This Row],[Order_Date]],"MMM")</f>
        <v>Nov</v>
      </c>
      <c r="M1599" s="5" t="str">
        <f>IF(Table1[[#This Row],[Profit]]&gt;=1000,"Excellent",IF(Table1[[#This Row],[Profit]]&gt;=500,"Good", IF(Table1[[#This Row],[Profit]]&lt;500,"Low")))</f>
        <v>Low</v>
      </c>
      <c r="N1599" s="7" t="str">
        <f>TEXT(Table1[[#This Row],[Order_Date]],"YYY")</f>
        <v>2025</v>
      </c>
    </row>
    <row r="1600" spans="1:14" x14ac:dyDescent="0.3">
      <c r="A1600" s="4">
        <v>45977</v>
      </c>
      <c r="B1600" s="5" t="s">
        <v>13</v>
      </c>
      <c r="C1600" s="5" t="s">
        <v>31</v>
      </c>
      <c r="D1600" s="23">
        <v>107.02</v>
      </c>
      <c r="E1600" s="23">
        <v>26.44</v>
      </c>
      <c r="F1600" s="23">
        <v>80.58</v>
      </c>
      <c r="G1600" s="5" t="s">
        <v>9</v>
      </c>
      <c r="H1600" s="5" t="s">
        <v>34</v>
      </c>
      <c r="I1600" s="5" t="s">
        <v>4</v>
      </c>
      <c r="J1600" s="6">
        <f>Table1[[#This Row],[Profit]]/Table1[[#This Row],[Sales]]</f>
        <v>0.75294337507008036</v>
      </c>
      <c r="K1600" s="5" t="str">
        <f t="shared" si="24"/>
        <v>Low</v>
      </c>
      <c r="L1600" s="5" t="str">
        <f>TEXT(Table1[[#This Row],[Order_Date]],"MMM")</f>
        <v>Nov</v>
      </c>
      <c r="M1600" s="5" t="str">
        <f>IF(Table1[[#This Row],[Profit]]&gt;=1000,"Excellent",IF(Table1[[#This Row],[Profit]]&gt;=500,"Good", IF(Table1[[#This Row],[Profit]]&lt;500,"Low")))</f>
        <v>Low</v>
      </c>
      <c r="N1600" s="7" t="str">
        <f>TEXT(Table1[[#This Row],[Order_Date]],"YYY")</f>
        <v>2025</v>
      </c>
    </row>
    <row r="1601" spans="1:14" x14ac:dyDescent="0.3">
      <c r="A1601" s="4">
        <v>45977</v>
      </c>
      <c r="B1601" s="5" t="s">
        <v>18</v>
      </c>
      <c r="C1601" s="5" t="s">
        <v>1</v>
      </c>
      <c r="D1601" s="23">
        <v>1129.25</v>
      </c>
      <c r="E1601" s="23">
        <v>692.43</v>
      </c>
      <c r="F1601" s="23">
        <v>436.82</v>
      </c>
      <c r="G1601" s="5" t="s">
        <v>2</v>
      </c>
      <c r="H1601" s="5" t="s">
        <v>35</v>
      </c>
      <c r="I1601" s="5" t="s">
        <v>17</v>
      </c>
      <c r="J1601" s="6">
        <f>Table1[[#This Row],[Profit]]/Table1[[#This Row],[Sales]]</f>
        <v>0.38682311268541064</v>
      </c>
      <c r="K1601" s="5" t="str">
        <f t="shared" si="24"/>
        <v>Low</v>
      </c>
      <c r="L1601" s="5" t="str">
        <f>TEXT(Table1[[#This Row],[Order_Date]],"MMM")</f>
        <v>Nov</v>
      </c>
      <c r="M1601" s="5" t="str">
        <f>IF(Table1[[#This Row],[Profit]]&gt;=1000,"Excellent",IF(Table1[[#This Row],[Profit]]&gt;=500,"Good", IF(Table1[[#This Row],[Profit]]&lt;500,"Low")))</f>
        <v>Low</v>
      </c>
      <c r="N1601" s="7" t="str">
        <f>TEXT(Table1[[#This Row],[Order_Date]],"YYY")</f>
        <v>2025</v>
      </c>
    </row>
    <row r="1602" spans="1:14" x14ac:dyDescent="0.3">
      <c r="A1602" s="4">
        <v>45978</v>
      </c>
      <c r="B1602" s="5" t="s">
        <v>16</v>
      </c>
      <c r="C1602" s="5" t="s">
        <v>26</v>
      </c>
      <c r="D1602" s="23">
        <v>554.01</v>
      </c>
      <c r="E1602" s="23">
        <v>183.28</v>
      </c>
      <c r="F1602" s="23">
        <v>370.73</v>
      </c>
      <c r="G1602" s="5" t="s">
        <v>2</v>
      </c>
      <c r="H1602" s="5" t="s">
        <v>28</v>
      </c>
      <c r="I1602" s="5" t="s">
        <v>27</v>
      </c>
      <c r="J1602" s="6">
        <f>Table1[[#This Row],[Profit]]/Table1[[#This Row],[Sales]]</f>
        <v>0.66917564664897755</v>
      </c>
      <c r="K1602" s="5" t="str">
        <f t="shared" ref="K1602:K1665" si="25">IF(D1602&gt;=2000,"High",IF(D1602&gt;=1500,"Medium","Low"))</f>
        <v>Low</v>
      </c>
      <c r="L1602" s="5" t="str">
        <f>TEXT(Table1[[#This Row],[Order_Date]],"MMM")</f>
        <v>Nov</v>
      </c>
      <c r="M1602" s="5" t="str">
        <f>IF(Table1[[#This Row],[Profit]]&gt;=1000,"Excellent",IF(Table1[[#This Row],[Profit]]&gt;=500,"Good", IF(Table1[[#This Row],[Profit]]&lt;500,"Low")))</f>
        <v>Low</v>
      </c>
      <c r="N1602" s="7" t="str">
        <f>TEXT(Table1[[#This Row],[Order_Date]],"YYY")</f>
        <v>2025</v>
      </c>
    </row>
    <row r="1603" spans="1:14" x14ac:dyDescent="0.3">
      <c r="A1603" s="4">
        <v>45979</v>
      </c>
      <c r="B1603" s="5" t="s">
        <v>13</v>
      </c>
      <c r="C1603" s="5" t="s">
        <v>19</v>
      </c>
      <c r="D1603" s="23">
        <v>138.26</v>
      </c>
      <c r="E1603" s="23">
        <v>40.28</v>
      </c>
      <c r="F1603" s="23">
        <v>97.98</v>
      </c>
      <c r="G1603" s="5" t="s">
        <v>9</v>
      </c>
      <c r="H1603" s="5" t="s">
        <v>29</v>
      </c>
      <c r="I1603" s="5" t="s">
        <v>11</v>
      </c>
      <c r="J1603" s="6">
        <f>Table1[[#This Row],[Profit]]/Table1[[#This Row],[Sales]]</f>
        <v>0.70866483437002759</v>
      </c>
      <c r="K1603" s="5" t="str">
        <f t="shared" si="25"/>
        <v>Low</v>
      </c>
      <c r="L1603" s="5" t="str">
        <f>TEXT(Table1[[#This Row],[Order_Date]],"MMM")</f>
        <v>Nov</v>
      </c>
      <c r="M1603" s="5" t="str">
        <f>IF(Table1[[#This Row],[Profit]]&gt;=1000,"Excellent",IF(Table1[[#This Row],[Profit]]&gt;=500,"Good", IF(Table1[[#This Row],[Profit]]&lt;500,"Low")))</f>
        <v>Low</v>
      </c>
      <c r="N1603" s="7" t="str">
        <f>TEXT(Table1[[#This Row],[Order_Date]],"YYY")</f>
        <v>2025</v>
      </c>
    </row>
    <row r="1604" spans="1:14" x14ac:dyDescent="0.3">
      <c r="A1604" s="4">
        <v>45979</v>
      </c>
      <c r="B1604" s="5" t="s">
        <v>16</v>
      </c>
      <c r="C1604" s="5" t="s">
        <v>26</v>
      </c>
      <c r="D1604" s="23">
        <v>918.59</v>
      </c>
      <c r="E1604" s="23">
        <v>258.75</v>
      </c>
      <c r="F1604" s="23">
        <v>659.84</v>
      </c>
      <c r="G1604" s="5" t="s">
        <v>6</v>
      </c>
      <c r="H1604" s="5" t="s">
        <v>7</v>
      </c>
      <c r="I1604" s="5" t="s">
        <v>4</v>
      </c>
      <c r="J1604" s="6">
        <f>Table1[[#This Row],[Profit]]/Table1[[#This Row],[Sales]]</f>
        <v>0.71831829216516618</v>
      </c>
      <c r="K1604" s="5" t="str">
        <f t="shared" si="25"/>
        <v>Low</v>
      </c>
      <c r="L1604" s="5" t="str">
        <f>TEXT(Table1[[#This Row],[Order_Date]],"MMM")</f>
        <v>Nov</v>
      </c>
      <c r="M1604" s="5" t="str">
        <f>IF(Table1[[#This Row],[Profit]]&gt;=1000,"Excellent",IF(Table1[[#This Row],[Profit]]&gt;=500,"Good", IF(Table1[[#This Row],[Profit]]&lt;500,"Low")))</f>
        <v>Good</v>
      </c>
      <c r="N1604" s="7" t="str">
        <f>TEXT(Table1[[#This Row],[Order_Date]],"YYY")</f>
        <v>2025</v>
      </c>
    </row>
    <row r="1605" spans="1:14" x14ac:dyDescent="0.3">
      <c r="A1605" s="4">
        <v>45980</v>
      </c>
      <c r="B1605" s="5" t="s">
        <v>0</v>
      </c>
      <c r="C1605" s="5" t="s">
        <v>19</v>
      </c>
      <c r="D1605" s="23">
        <v>114.51</v>
      </c>
      <c r="E1605" s="23">
        <v>33.36</v>
      </c>
      <c r="F1605" s="23">
        <v>81.150000000000006</v>
      </c>
      <c r="G1605" s="5" t="s">
        <v>6</v>
      </c>
      <c r="H1605" s="5" t="s">
        <v>21</v>
      </c>
      <c r="I1605" s="5" t="s">
        <v>11</v>
      </c>
      <c r="J1605" s="6">
        <f>Table1[[#This Row],[Profit]]/Table1[[#This Row],[Sales]]</f>
        <v>0.70867173172648679</v>
      </c>
      <c r="K1605" s="5" t="str">
        <f t="shared" si="25"/>
        <v>Low</v>
      </c>
      <c r="L1605" s="5" t="str">
        <f>TEXT(Table1[[#This Row],[Order_Date]],"MMM")</f>
        <v>Nov</v>
      </c>
      <c r="M1605" s="5" t="str">
        <f>IF(Table1[[#This Row],[Profit]]&gt;=1000,"Excellent",IF(Table1[[#This Row],[Profit]]&gt;=500,"Good", IF(Table1[[#This Row],[Profit]]&lt;500,"Low")))</f>
        <v>Low</v>
      </c>
      <c r="N1605" s="7" t="str">
        <f>TEXT(Table1[[#This Row],[Order_Date]],"YYY")</f>
        <v>2025</v>
      </c>
    </row>
    <row r="1606" spans="1:14" x14ac:dyDescent="0.3">
      <c r="A1606" s="4">
        <v>45981</v>
      </c>
      <c r="B1606" s="5" t="s">
        <v>16</v>
      </c>
      <c r="C1606" s="5" t="s">
        <v>5</v>
      </c>
      <c r="D1606" s="23">
        <v>143.75</v>
      </c>
      <c r="E1606" s="23">
        <v>63</v>
      </c>
      <c r="F1606" s="23">
        <v>80.75</v>
      </c>
      <c r="G1606" s="5" t="s">
        <v>9</v>
      </c>
      <c r="H1606" s="5" t="s">
        <v>15</v>
      </c>
      <c r="I1606" s="5" t="s">
        <v>17</v>
      </c>
      <c r="J1606" s="6">
        <f>Table1[[#This Row],[Profit]]/Table1[[#This Row],[Sales]]</f>
        <v>0.56173913043478263</v>
      </c>
      <c r="K1606" s="5" t="str">
        <f t="shared" si="25"/>
        <v>Low</v>
      </c>
      <c r="L1606" s="5" t="str">
        <f>TEXT(Table1[[#This Row],[Order_Date]],"MMM")</f>
        <v>Nov</v>
      </c>
      <c r="M1606" s="5" t="str">
        <f>IF(Table1[[#This Row],[Profit]]&gt;=1000,"Excellent",IF(Table1[[#This Row],[Profit]]&gt;=500,"Good", IF(Table1[[#This Row],[Profit]]&lt;500,"Low")))</f>
        <v>Low</v>
      </c>
      <c r="N1606" s="7" t="str">
        <f>TEXT(Table1[[#This Row],[Order_Date]],"YYY")</f>
        <v>2025</v>
      </c>
    </row>
    <row r="1607" spans="1:14" x14ac:dyDescent="0.3">
      <c r="A1607" s="4">
        <v>45981</v>
      </c>
      <c r="B1607" s="5" t="s">
        <v>16</v>
      </c>
      <c r="C1607" s="5" t="s">
        <v>1</v>
      </c>
      <c r="D1607" s="23">
        <v>443.93</v>
      </c>
      <c r="E1607" s="23">
        <v>275.38</v>
      </c>
      <c r="F1607" s="23">
        <v>168.55</v>
      </c>
      <c r="G1607" s="5" t="s">
        <v>32</v>
      </c>
      <c r="H1607" s="5" t="s">
        <v>3</v>
      </c>
      <c r="I1607" s="5" t="s">
        <v>17</v>
      </c>
      <c r="J1607" s="6">
        <f>Table1[[#This Row],[Profit]]/Table1[[#This Row],[Sales]]</f>
        <v>0.37967697609983558</v>
      </c>
      <c r="K1607" s="5" t="str">
        <f t="shared" si="25"/>
        <v>Low</v>
      </c>
      <c r="L1607" s="5" t="str">
        <f>TEXT(Table1[[#This Row],[Order_Date]],"MMM")</f>
        <v>Nov</v>
      </c>
      <c r="M1607" s="5" t="str">
        <f>IF(Table1[[#This Row],[Profit]]&gt;=1000,"Excellent",IF(Table1[[#This Row],[Profit]]&gt;=500,"Good", IF(Table1[[#This Row],[Profit]]&lt;500,"Low")))</f>
        <v>Low</v>
      </c>
      <c r="N1607" s="7" t="str">
        <f>TEXT(Table1[[#This Row],[Order_Date]],"YYY")</f>
        <v>2025</v>
      </c>
    </row>
    <row r="1608" spans="1:14" x14ac:dyDescent="0.3">
      <c r="A1608" s="4">
        <v>45982</v>
      </c>
      <c r="B1608" s="5" t="s">
        <v>13</v>
      </c>
      <c r="C1608" s="5" t="s">
        <v>14</v>
      </c>
      <c r="D1608" s="23">
        <v>341.22</v>
      </c>
      <c r="E1608" s="23">
        <v>170.68</v>
      </c>
      <c r="F1608" s="23">
        <v>170.54</v>
      </c>
      <c r="G1608" s="5" t="s">
        <v>2</v>
      </c>
      <c r="H1608" s="5" t="s">
        <v>35</v>
      </c>
      <c r="I1608" s="5" t="s">
        <v>17</v>
      </c>
      <c r="J1608" s="6">
        <f>Table1[[#This Row],[Profit]]/Table1[[#This Row],[Sales]]</f>
        <v>0.49979485376003746</v>
      </c>
      <c r="K1608" s="5" t="str">
        <f t="shared" si="25"/>
        <v>Low</v>
      </c>
      <c r="L1608" s="5" t="str">
        <f>TEXT(Table1[[#This Row],[Order_Date]],"MMM")</f>
        <v>Nov</v>
      </c>
      <c r="M1608" s="5" t="str">
        <f>IF(Table1[[#This Row],[Profit]]&gt;=1000,"Excellent",IF(Table1[[#This Row],[Profit]]&gt;=500,"Good", IF(Table1[[#This Row],[Profit]]&lt;500,"Low")))</f>
        <v>Low</v>
      </c>
      <c r="N1608" s="7" t="str">
        <f>TEXT(Table1[[#This Row],[Order_Date]],"YYY")</f>
        <v>2025</v>
      </c>
    </row>
    <row r="1609" spans="1:14" x14ac:dyDescent="0.3">
      <c r="A1609" s="4">
        <v>45982</v>
      </c>
      <c r="B1609" s="5" t="s">
        <v>18</v>
      </c>
      <c r="C1609" s="5" t="s">
        <v>19</v>
      </c>
      <c r="D1609" s="23">
        <v>69.099999999999994</v>
      </c>
      <c r="E1609" s="23">
        <v>26.75</v>
      </c>
      <c r="F1609" s="23">
        <v>42.35</v>
      </c>
      <c r="G1609" s="5" t="s">
        <v>20</v>
      </c>
      <c r="H1609" s="5" t="s">
        <v>30</v>
      </c>
      <c r="I1609" s="5" t="s">
        <v>27</v>
      </c>
      <c r="J1609" s="6">
        <f>Table1[[#This Row],[Profit]]/Table1[[#This Row],[Sales]]</f>
        <v>0.61287988422575979</v>
      </c>
      <c r="K1609" s="5" t="str">
        <f t="shared" si="25"/>
        <v>Low</v>
      </c>
      <c r="L1609" s="5" t="str">
        <f>TEXT(Table1[[#This Row],[Order_Date]],"MMM")</f>
        <v>Nov</v>
      </c>
      <c r="M1609" s="5" t="str">
        <f>IF(Table1[[#This Row],[Profit]]&gt;=1000,"Excellent",IF(Table1[[#This Row],[Profit]]&gt;=500,"Good", IF(Table1[[#This Row],[Profit]]&lt;500,"Low")))</f>
        <v>Low</v>
      </c>
      <c r="N1609" s="7" t="str">
        <f>TEXT(Table1[[#This Row],[Order_Date]],"YYY")</f>
        <v>2025</v>
      </c>
    </row>
    <row r="1610" spans="1:14" x14ac:dyDescent="0.3">
      <c r="A1610" s="4">
        <v>45982</v>
      </c>
      <c r="B1610" s="5" t="s">
        <v>8</v>
      </c>
      <c r="C1610" s="5" t="s">
        <v>31</v>
      </c>
      <c r="D1610" s="23">
        <v>165.95</v>
      </c>
      <c r="E1610" s="23">
        <v>43.06</v>
      </c>
      <c r="F1610" s="23">
        <v>122.89</v>
      </c>
      <c r="G1610" s="5" t="s">
        <v>2</v>
      </c>
      <c r="H1610" s="5" t="s">
        <v>7</v>
      </c>
      <c r="I1610" s="5" t="s">
        <v>25</v>
      </c>
      <c r="J1610" s="6">
        <f>Table1[[#This Row],[Profit]]/Table1[[#This Row],[Sales]]</f>
        <v>0.74052425429346191</v>
      </c>
      <c r="K1610" s="5" t="str">
        <f t="shared" si="25"/>
        <v>Low</v>
      </c>
      <c r="L1610" s="5" t="str">
        <f>TEXT(Table1[[#This Row],[Order_Date]],"MMM")</f>
        <v>Nov</v>
      </c>
      <c r="M1610" s="5" t="str">
        <f>IF(Table1[[#This Row],[Profit]]&gt;=1000,"Excellent",IF(Table1[[#This Row],[Profit]]&gt;=500,"Good", IF(Table1[[#This Row],[Profit]]&lt;500,"Low")))</f>
        <v>Low</v>
      </c>
      <c r="N1610" s="7" t="str">
        <f>TEXT(Table1[[#This Row],[Order_Date]],"YYY")</f>
        <v>2025</v>
      </c>
    </row>
    <row r="1611" spans="1:14" x14ac:dyDescent="0.3">
      <c r="A1611" s="4">
        <v>45982</v>
      </c>
      <c r="B1611" s="5" t="s">
        <v>0</v>
      </c>
      <c r="C1611" s="5" t="s">
        <v>31</v>
      </c>
      <c r="D1611" s="23">
        <v>148.54</v>
      </c>
      <c r="E1611" s="23">
        <v>32.04</v>
      </c>
      <c r="F1611" s="23">
        <v>116.5</v>
      </c>
      <c r="G1611" s="5" t="s">
        <v>6</v>
      </c>
      <c r="H1611" s="5" t="s">
        <v>7</v>
      </c>
      <c r="I1611" s="5" t="s">
        <v>11</v>
      </c>
      <c r="J1611" s="6">
        <f>Table1[[#This Row],[Profit]]/Table1[[#This Row],[Sales]]</f>
        <v>0.78430052511108128</v>
      </c>
      <c r="K1611" s="5" t="str">
        <f t="shared" si="25"/>
        <v>Low</v>
      </c>
      <c r="L1611" s="5" t="str">
        <f>TEXT(Table1[[#This Row],[Order_Date]],"MMM")</f>
        <v>Nov</v>
      </c>
      <c r="M1611" s="5" t="str">
        <f>IF(Table1[[#This Row],[Profit]]&gt;=1000,"Excellent",IF(Table1[[#This Row],[Profit]]&gt;=500,"Good", IF(Table1[[#This Row],[Profit]]&lt;500,"Low")))</f>
        <v>Low</v>
      </c>
      <c r="N1611" s="7" t="str">
        <f>TEXT(Table1[[#This Row],[Order_Date]],"YYY")</f>
        <v>2025</v>
      </c>
    </row>
    <row r="1612" spans="1:14" x14ac:dyDescent="0.3">
      <c r="A1612" s="4">
        <v>45983</v>
      </c>
      <c r="B1612" s="5" t="s">
        <v>8</v>
      </c>
      <c r="C1612" s="5" t="s">
        <v>14</v>
      </c>
      <c r="D1612" s="23">
        <v>248.93</v>
      </c>
      <c r="E1612" s="23">
        <v>85.74</v>
      </c>
      <c r="F1612" s="23">
        <v>163.19</v>
      </c>
      <c r="G1612" s="5" t="s">
        <v>20</v>
      </c>
      <c r="H1612" s="5" t="s">
        <v>12</v>
      </c>
      <c r="I1612" s="5" t="s">
        <v>27</v>
      </c>
      <c r="J1612" s="6">
        <f>Table1[[#This Row],[Profit]]/Table1[[#This Row],[Sales]]</f>
        <v>0.65556582171694855</v>
      </c>
      <c r="K1612" s="5" t="str">
        <f t="shared" si="25"/>
        <v>Low</v>
      </c>
      <c r="L1612" s="5" t="str">
        <f>TEXT(Table1[[#This Row],[Order_Date]],"MMM")</f>
        <v>Nov</v>
      </c>
      <c r="M1612" s="5" t="str">
        <f>IF(Table1[[#This Row],[Profit]]&gt;=1000,"Excellent",IF(Table1[[#This Row],[Profit]]&gt;=500,"Good", IF(Table1[[#This Row],[Profit]]&lt;500,"Low")))</f>
        <v>Low</v>
      </c>
      <c r="N1612" s="7" t="str">
        <f>TEXT(Table1[[#This Row],[Order_Date]],"YYY")</f>
        <v>2025</v>
      </c>
    </row>
    <row r="1613" spans="1:14" x14ac:dyDescent="0.3">
      <c r="A1613" s="4">
        <v>45984</v>
      </c>
      <c r="B1613" s="5" t="s">
        <v>0</v>
      </c>
      <c r="C1613" s="5" t="s">
        <v>14</v>
      </c>
      <c r="D1613" s="23">
        <v>101.62</v>
      </c>
      <c r="E1613" s="23">
        <v>53.91</v>
      </c>
      <c r="F1613" s="23">
        <v>47.71</v>
      </c>
      <c r="G1613" s="5" t="s">
        <v>20</v>
      </c>
      <c r="H1613" s="5" t="s">
        <v>21</v>
      </c>
      <c r="I1613" s="5" t="s">
        <v>4</v>
      </c>
      <c r="J1613" s="6">
        <f>Table1[[#This Row],[Profit]]/Table1[[#This Row],[Sales]]</f>
        <v>0.46949419405628812</v>
      </c>
      <c r="K1613" s="5" t="str">
        <f t="shared" si="25"/>
        <v>Low</v>
      </c>
      <c r="L1613" s="5" t="str">
        <f>TEXT(Table1[[#This Row],[Order_Date]],"MMM")</f>
        <v>Nov</v>
      </c>
      <c r="M1613" s="5" t="str">
        <f>IF(Table1[[#This Row],[Profit]]&gt;=1000,"Excellent",IF(Table1[[#This Row],[Profit]]&gt;=500,"Good", IF(Table1[[#This Row],[Profit]]&lt;500,"Low")))</f>
        <v>Low</v>
      </c>
      <c r="N1613" s="7" t="str">
        <f>TEXT(Table1[[#This Row],[Order_Date]],"YYY")</f>
        <v>2025</v>
      </c>
    </row>
    <row r="1614" spans="1:14" x14ac:dyDescent="0.3">
      <c r="A1614" s="4">
        <v>45985</v>
      </c>
      <c r="B1614" s="5" t="s">
        <v>8</v>
      </c>
      <c r="C1614" s="5" t="s">
        <v>14</v>
      </c>
      <c r="D1614" s="23">
        <v>68.37</v>
      </c>
      <c r="E1614" s="23">
        <v>37.369999999999997</v>
      </c>
      <c r="F1614" s="23">
        <v>31</v>
      </c>
      <c r="G1614" s="5" t="s">
        <v>20</v>
      </c>
      <c r="H1614" s="5" t="s">
        <v>33</v>
      </c>
      <c r="I1614" s="5" t="s">
        <v>25</v>
      </c>
      <c r="J1614" s="6">
        <f>Table1[[#This Row],[Profit]]/Table1[[#This Row],[Sales]]</f>
        <v>0.45341524060260346</v>
      </c>
      <c r="K1614" s="5" t="str">
        <f t="shared" si="25"/>
        <v>Low</v>
      </c>
      <c r="L1614" s="5" t="str">
        <f>TEXT(Table1[[#This Row],[Order_Date]],"MMM")</f>
        <v>Nov</v>
      </c>
      <c r="M1614" s="5" t="str">
        <f>IF(Table1[[#This Row],[Profit]]&gt;=1000,"Excellent",IF(Table1[[#This Row],[Profit]]&gt;=500,"Good", IF(Table1[[#This Row],[Profit]]&lt;500,"Low")))</f>
        <v>Low</v>
      </c>
      <c r="N1614" s="7" t="str">
        <f>TEXT(Table1[[#This Row],[Order_Date]],"YYY")</f>
        <v>2025</v>
      </c>
    </row>
    <row r="1615" spans="1:14" x14ac:dyDescent="0.3">
      <c r="A1615" s="4">
        <v>45986</v>
      </c>
      <c r="B1615" s="5" t="s">
        <v>18</v>
      </c>
      <c r="C1615" s="5" t="s">
        <v>26</v>
      </c>
      <c r="D1615" s="23">
        <v>685.36</v>
      </c>
      <c r="E1615" s="23">
        <v>220.16</v>
      </c>
      <c r="F1615" s="23">
        <v>465.2</v>
      </c>
      <c r="G1615" s="5" t="s">
        <v>6</v>
      </c>
      <c r="H1615" s="5" t="s">
        <v>30</v>
      </c>
      <c r="I1615" s="5" t="s">
        <v>27</v>
      </c>
      <c r="J1615" s="6">
        <f>Table1[[#This Row],[Profit]]/Table1[[#This Row],[Sales]]</f>
        <v>0.67876736313762109</v>
      </c>
      <c r="K1615" s="5" t="str">
        <f t="shared" si="25"/>
        <v>Low</v>
      </c>
      <c r="L1615" s="5" t="str">
        <f>TEXT(Table1[[#This Row],[Order_Date]],"MMM")</f>
        <v>Nov</v>
      </c>
      <c r="M1615" s="5" t="str">
        <f>IF(Table1[[#This Row],[Profit]]&gt;=1000,"Excellent",IF(Table1[[#This Row],[Profit]]&gt;=500,"Good", IF(Table1[[#This Row],[Profit]]&lt;500,"Low")))</f>
        <v>Low</v>
      </c>
      <c r="N1615" s="7" t="str">
        <f>TEXT(Table1[[#This Row],[Order_Date]],"YYY")</f>
        <v>2025</v>
      </c>
    </row>
    <row r="1616" spans="1:14" x14ac:dyDescent="0.3">
      <c r="A1616" s="4">
        <v>45986</v>
      </c>
      <c r="B1616" s="5" t="s">
        <v>16</v>
      </c>
      <c r="C1616" s="5" t="s">
        <v>31</v>
      </c>
      <c r="D1616" s="23">
        <v>264.11</v>
      </c>
      <c r="E1616" s="23">
        <v>69.12</v>
      </c>
      <c r="F1616" s="23">
        <v>194.99</v>
      </c>
      <c r="G1616" s="5" t="s">
        <v>2</v>
      </c>
      <c r="H1616" s="5" t="s">
        <v>36</v>
      </c>
      <c r="I1616" s="5" t="s">
        <v>27</v>
      </c>
      <c r="J1616" s="6">
        <f>Table1[[#This Row],[Profit]]/Table1[[#This Row],[Sales]]</f>
        <v>0.73829086365529517</v>
      </c>
      <c r="K1616" s="5" t="str">
        <f t="shared" si="25"/>
        <v>Low</v>
      </c>
      <c r="L1616" s="5" t="str">
        <f>TEXT(Table1[[#This Row],[Order_Date]],"MMM")</f>
        <v>Nov</v>
      </c>
      <c r="M1616" s="5" t="str">
        <f>IF(Table1[[#This Row],[Profit]]&gt;=1000,"Excellent",IF(Table1[[#This Row],[Profit]]&gt;=500,"Good", IF(Table1[[#This Row],[Profit]]&lt;500,"Low")))</f>
        <v>Low</v>
      </c>
      <c r="N1616" s="7" t="str">
        <f>TEXT(Table1[[#This Row],[Order_Date]],"YYY")</f>
        <v>2025</v>
      </c>
    </row>
    <row r="1617" spans="1:14" x14ac:dyDescent="0.3">
      <c r="A1617" s="4">
        <v>45987</v>
      </c>
      <c r="B1617" s="5" t="s">
        <v>18</v>
      </c>
      <c r="C1617" s="5" t="s">
        <v>31</v>
      </c>
      <c r="D1617" s="23">
        <v>214.36</v>
      </c>
      <c r="E1617" s="23">
        <v>47.53</v>
      </c>
      <c r="F1617" s="23">
        <v>166.83</v>
      </c>
      <c r="G1617" s="5" t="s">
        <v>2</v>
      </c>
      <c r="H1617" s="5" t="s">
        <v>3</v>
      </c>
      <c r="I1617" s="5" t="s">
        <v>27</v>
      </c>
      <c r="J1617" s="6">
        <f>Table1[[#This Row],[Profit]]/Table1[[#This Row],[Sales]]</f>
        <v>0.77827019966411648</v>
      </c>
      <c r="K1617" s="5" t="str">
        <f t="shared" si="25"/>
        <v>Low</v>
      </c>
      <c r="L1617" s="5" t="str">
        <f>TEXT(Table1[[#This Row],[Order_Date]],"MMM")</f>
        <v>Nov</v>
      </c>
      <c r="M1617" s="5" t="str">
        <f>IF(Table1[[#This Row],[Profit]]&gt;=1000,"Excellent",IF(Table1[[#This Row],[Profit]]&gt;=500,"Good", IF(Table1[[#This Row],[Profit]]&lt;500,"Low")))</f>
        <v>Low</v>
      </c>
      <c r="N1617" s="7" t="str">
        <f>TEXT(Table1[[#This Row],[Order_Date]],"YYY")</f>
        <v>2025</v>
      </c>
    </row>
    <row r="1618" spans="1:14" x14ac:dyDescent="0.3">
      <c r="A1618" s="4">
        <v>45987</v>
      </c>
      <c r="B1618" s="5" t="s">
        <v>13</v>
      </c>
      <c r="C1618" s="5" t="s">
        <v>31</v>
      </c>
      <c r="D1618" s="23">
        <v>17.16</v>
      </c>
      <c r="E1618" s="23">
        <v>4.78</v>
      </c>
      <c r="F1618" s="23">
        <v>12.38</v>
      </c>
      <c r="G1618" s="5" t="s">
        <v>6</v>
      </c>
      <c r="H1618" s="5" t="s">
        <v>15</v>
      </c>
      <c r="I1618" s="5" t="s">
        <v>17</v>
      </c>
      <c r="J1618" s="6">
        <f>Table1[[#This Row],[Profit]]/Table1[[#This Row],[Sales]]</f>
        <v>0.7214452214452215</v>
      </c>
      <c r="K1618" s="5" t="str">
        <f t="shared" si="25"/>
        <v>Low</v>
      </c>
      <c r="L1618" s="5" t="str">
        <f>TEXT(Table1[[#This Row],[Order_Date]],"MMM")</f>
        <v>Nov</v>
      </c>
      <c r="M1618" s="5" t="str">
        <f>IF(Table1[[#This Row],[Profit]]&gt;=1000,"Excellent",IF(Table1[[#This Row],[Profit]]&gt;=500,"Good", IF(Table1[[#This Row],[Profit]]&lt;500,"Low")))</f>
        <v>Low</v>
      </c>
      <c r="N1618" s="7" t="str">
        <f>TEXT(Table1[[#This Row],[Order_Date]],"YYY")</f>
        <v>2025</v>
      </c>
    </row>
    <row r="1619" spans="1:14" x14ac:dyDescent="0.3">
      <c r="A1619" s="4">
        <v>45987</v>
      </c>
      <c r="B1619" s="5" t="s">
        <v>13</v>
      </c>
      <c r="C1619" s="5" t="s">
        <v>5</v>
      </c>
      <c r="D1619" s="23">
        <v>1021.76</v>
      </c>
      <c r="E1619" s="23">
        <v>356.12</v>
      </c>
      <c r="F1619" s="23">
        <v>665.64</v>
      </c>
      <c r="G1619" s="5" t="s">
        <v>9</v>
      </c>
      <c r="H1619" s="5" t="s">
        <v>24</v>
      </c>
      <c r="I1619" s="5" t="s">
        <v>11</v>
      </c>
      <c r="J1619" s="6">
        <f>Table1[[#This Row],[Profit]]/Table1[[#This Row],[Sales]]</f>
        <v>0.65146414030692135</v>
      </c>
      <c r="K1619" s="5" t="str">
        <f t="shared" si="25"/>
        <v>Low</v>
      </c>
      <c r="L1619" s="5" t="str">
        <f>TEXT(Table1[[#This Row],[Order_Date]],"MMM")</f>
        <v>Nov</v>
      </c>
      <c r="M1619" s="5" t="str">
        <f>IF(Table1[[#This Row],[Profit]]&gt;=1000,"Excellent",IF(Table1[[#This Row],[Profit]]&gt;=500,"Good", IF(Table1[[#This Row],[Profit]]&lt;500,"Low")))</f>
        <v>Good</v>
      </c>
      <c r="N1619" s="7" t="str">
        <f>TEXT(Table1[[#This Row],[Order_Date]],"YYY")</f>
        <v>2025</v>
      </c>
    </row>
    <row r="1620" spans="1:14" x14ac:dyDescent="0.3">
      <c r="A1620" s="4">
        <v>45987</v>
      </c>
      <c r="B1620" s="5" t="s">
        <v>18</v>
      </c>
      <c r="C1620" s="5" t="s">
        <v>19</v>
      </c>
      <c r="D1620" s="23">
        <v>23.3</v>
      </c>
      <c r="E1620" s="23">
        <v>8.0500000000000007</v>
      </c>
      <c r="F1620" s="23">
        <v>15.25</v>
      </c>
      <c r="G1620" s="5" t="s">
        <v>32</v>
      </c>
      <c r="H1620" s="5" t="s">
        <v>33</v>
      </c>
      <c r="I1620" s="5" t="s">
        <v>11</v>
      </c>
      <c r="J1620" s="6">
        <f>Table1[[#This Row],[Profit]]/Table1[[#This Row],[Sales]]</f>
        <v>0.65450643776824036</v>
      </c>
      <c r="K1620" s="5" t="str">
        <f t="shared" si="25"/>
        <v>Low</v>
      </c>
      <c r="L1620" s="5" t="str">
        <f>TEXT(Table1[[#This Row],[Order_Date]],"MMM")</f>
        <v>Nov</v>
      </c>
      <c r="M1620" s="5" t="str">
        <f>IF(Table1[[#This Row],[Profit]]&gt;=1000,"Excellent",IF(Table1[[#This Row],[Profit]]&gt;=500,"Good", IF(Table1[[#This Row],[Profit]]&lt;500,"Low")))</f>
        <v>Low</v>
      </c>
      <c r="N1620" s="7" t="str">
        <f>TEXT(Table1[[#This Row],[Order_Date]],"YYY")</f>
        <v>2025</v>
      </c>
    </row>
    <row r="1621" spans="1:14" x14ac:dyDescent="0.3">
      <c r="A1621" s="4">
        <v>45988</v>
      </c>
      <c r="B1621" s="5" t="s">
        <v>16</v>
      </c>
      <c r="C1621" s="5" t="s">
        <v>14</v>
      </c>
      <c r="D1621" s="23">
        <v>37.82</v>
      </c>
      <c r="E1621" s="23">
        <v>17.54</v>
      </c>
      <c r="F1621" s="23">
        <v>20.28</v>
      </c>
      <c r="G1621" s="5" t="s">
        <v>2</v>
      </c>
      <c r="H1621" s="5" t="s">
        <v>36</v>
      </c>
      <c r="I1621" s="5" t="s">
        <v>4</v>
      </c>
      <c r="J1621" s="6">
        <f>Table1[[#This Row],[Profit]]/Table1[[#This Row],[Sales]]</f>
        <v>0.5362242199894236</v>
      </c>
      <c r="K1621" s="5" t="str">
        <f t="shared" si="25"/>
        <v>Low</v>
      </c>
      <c r="L1621" s="5" t="str">
        <f>TEXT(Table1[[#This Row],[Order_Date]],"MMM")</f>
        <v>Nov</v>
      </c>
      <c r="M1621" s="5" t="str">
        <f>IF(Table1[[#This Row],[Profit]]&gt;=1000,"Excellent",IF(Table1[[#This Row],[Profit]]&gt;=500,"Good", IF(Table1[[#This Row],[Profit]]&lt;500,"Low")))</f>
        <v>Low</v>
      </c>
      <c r="N1621" s="7" t="str">
        <f>TEXT(Table1[[#This Row],[Order_Date]],"YYY")</f>
        <v>2025</v>
      </c>
    </row>
    <row r="1622" spans="1:14" x14ac:dyDescent="0.3">
      <c r="A1622" s="4">
        <v>45988</v>
      </c>
      <c r="B1622" s="5" t="s">
        <v>13</v>
      </c>
      <c r="C1622" s="5" t="s">
        <v>5</v>
      </c>
      <c r="D1622" s="23">
        <v>488.72</v>
      </c>
      <c r="E1622" s="23">
        <v>237.13</v>
      </c>
      <c r="F1622" s="23">
        <v>251.59</v>
      </c>
      <c r="G1622" s="5" t="s">
        <v>32</v>
      </c>
      <c r="H1622" s="5" t="s">
        <v>21</v>
      </c>
      <c r="I1622" s="5" t="s">
        <v>17</v>
      </c>
      <c r="J1622" s="6">
        <f>Table1[[#This Row],[Profit]]/Table1[[#This Row],[Sales]]</f>
        <v>0.51479374693075786</v>
      </c>
      <c r="K1622" s="5" t="str">
        <f t="shared" si="25"/>
        <v>Low</v>
      </c>
      <c r="L1622" s="5" t="str">
        <f>TEXT(Table1[[#This Row],[Order_Date]],"MMM")</f>
        <v>Nov</v>
      </c>
      <c r="M1622" s="5" t="str">
        <f>IF(Table1[[#This Row],[Profit]]&gt;=1000,"Excellent",IF(Table1[[#This Row],[Profit]]&gt;=500,"Good", IF(Table1[[#This Row],[Profit]]&lt;500,"Low")))</f>
        <v>Low</v>
      </c>
      <c r="N1622" s="7" t="str">
        <f>TEXT(Table1[[#This Row],[Order_Date]],"YYY")</f>
        <v>2025</v>
      </c>
    </row>
    <row r="1623" spans="1:14" x14ac:dyDescent="0.3">
      <c r="A1623" s="4">
        <v>45989</v>
      </c>
      <c r="B1623" s="5" t="s">
        <v>16</v>
      </c>
      <c r="C1623" s="5" t="s">
        <v>26</v>
      </c>
      <c r="D1623" s="23">
        <v>457.47</v>
      </c>
      <c r="E1623" s="23">
        <v>193.55</v>
      </c>
      <c r="F1623" s="23">
        <v>263.92</v>
      </c>
      <c r="G1623" s="5" t="s">
        <v>6</v>
      </c>
      <c r="H1623" s="5" t="s">
        <v>15</v>
      </c>
      <c r="I1623" s="5" t="s">
        <v>4</v>
      </c>
      <c r="J1623" s="6">
        <f>Table1[[#This Row],[Profit]]/Table1[[#This Row],[Sales]]</f>
        <v>0.57691214724462803</v>
      </c>
      <c r="K1623" s="5" t="str">
        <f t="shared" si="25"/>
        <v>Low</v>
      </c>
      <c r="L1623" s="5" t="str">
        <f>TEXT(Table1[[#This Row],[Order_Date]],"MMM")</f>
        <v>Nov</v>
      </c>
      <c r="M1623" s="5" t="str">
        <f>IF(Table1[[#This Row],[Profit]]&gt;=1000,"Excellent",IF(Table1[[#This Row],[Profit]]&gt;=500,"Good", IF(Table1[[#This Row],[Profit]]&lt;500,"Low")))</f>
        <v>Low</v>
      </c>
      <c r="N1623" s="7" t="str">
        <f>TEXT(Table1[[#This Row],[Order_Date]],"YYY")</f>
        <v>2025</v>
      </c>
    </row>
    <row r="1624" spans="1:14" x14ac:dyDescent="0.3">
      <c r="A1624" s="4">
        <v>45989</v>
      </c>
      <c r="B1624" s="5" t="s">
        <v>13</v>
      </c>
      <c r="C1624" s="5" t="s">
        <v>31</v>
      </c>
      <c r="D1624" s="23">
        <v>36.229999999999997</v>
      </c>
      <c r="E1624" s="23">
        <v>7.28</v>
      </c>
      <c r="F1624" s="23">
        <v>28.95</v>
      </c>
      <c r="G1624" s="5" t="s">
        <v>9</v>
      </c>
      <c r="H1624" s="5" t="s">
        <v>36</v>
      </c>
      <c r="I1624" s="5" t="s">
        <v>17</v>
      </c>
      <c r="J1624" s="6">
        <f>Table1[[#This Row],[Profit]]/Table1[[#This Row],[Sales]]</f>
        <v>0.79906155120066247</v>
      </c>
      <c r="K1624" s="5" t="str">
        <f t="shared" si="25"/>
        <v>Low</v>
      </c>
      <c r="L1624" s="5" t="str">
        <f>TEXT(Table1[[#This Row],[Order_Date]],"MMM")</f>
        <v>Nov</v>
      </c>
      <c r="M1624" s="5" t="str">
        <f>IF(Table1[[#This Row],[Profit]]&gt;=1000,"Excellent",IF(Table1[[#This Row],[Profit]]&gt;=500,"Good", IF(Table1[[#This Row],[Profit]]&lt;500,"Low")))</f>
        <v>Low</v>
      </c>
      <c r="N1624" s="7" t="str">
        <f>TEXT(Table1[[#This Row],[Order_Date]],"YYY")</f>
        <v>2025</v>
      </c>
    </row>
    <row r="1625" spans="1:14" x14ac:dyDescent="0.3">
      <c r="A1625" s="4">
        <v>45989</v>
      </c>
      <c r="B1625" s="5" t="s">
        <v>18</v>
      </c>
      <c r="C1625" s="5" t="s">
        <v>14</v>
      </c>
      <c r="D1625" s="23">
        <v>385.35</v>
      </c>
      <c r="E1625" s="23">
        <v>167.5</v>
      </c>
      <c r="F1625" s="23">
        <v>217.85</v>
      </c>
      <c r="G1625" s="5" t="s">
        <v>20</v>
      </c>
      <c r="H1625" s="5" t="s">
        <v>24</v>
      </c>
      <c r="I1625" s="5" t="s">
        <v>17</v>
      </c>
      <c r="J1625" s="6">
        <f>Table1[[#This Row],[Profit]]/Table1[[#This Row],[Sales]]</f>
        <v>0.56533021928117289</v>
      </c>
      <c r="K1625" s="5" t="str">
        <f t="shared" si="25"/>
        <v>Low</v>
      </c>
      <c r="L1625" s="5" t="str">
        <f>TEXT(Table1[[#This Row],[Order_Date]],"MMM")</f>
        <v>Nov</v>
      </c>
      <c r="M1625" s="5" t="str">
        <f>IF(Table1[[#This Row],[Profit]]&gt;=1000,"Excellent",IF(Table1[[#This Row],[Profit]]&gt;=500,"Good", IF(Table1[[#This Row],[Profit]]&lt;500,"Low")))</f>
        <v>Low</v>
      </c>
      <c r="N1625" s="7" t="str">
        <f>TEXT(Table1[[#This Row],[Order_Date]],"YYY")</f>
        <v>2025</v>
      </c>
    </row>
    <row r="1626" spans="1:14" x14ac:dyDescent="0.3">
      <c r="A1626" s="4">
        <v>45990</v>
      </c>
      <c r="B1626" s="5" t="s">
        <v>0</v>
      </c>
      <c r="C1626" s="5" t="s">
        <v>31</v>
      </c>
      <c r="D1626" s="23">
        <v>104.92</v>
      </c>
      <c r="E1626" s="23">
        <v>29.81</v>
      </c>
      <c r="F1626" s="23">
        <v>75.11</v>
      </c>
      <c r="G1626" s="5" t="s">
        <v>20</v>
      </c>
      <c r="H1626" s="5" t="s">
        <v>37</v>
      </c>
      <c r="I1626" s="5" t="s">
        <v>4</v>
      </c>
      <c r="J1626" s="6">
        <f>Table1[[#This Row],[Profit]]/Table1[[#This Row],[Sales]]</f>
        <v>0.71587876477316048</v>
      </c>
      <c r="K1626" s="5" t="str">
        <f t="shared" si="25"/>
        <v>Low</v>
      </c>
      <c r="L1626" s="5" t="str">
        <f>TEXT(Table1[[#This Row],[Order_Date]],"MMM")</f>
        <v>Nov</v>
      </c>
      <c r="M1626" s="5" t="str">
        <f>IF(Table1[[#This Row],[Profit]]&gt;=1000,"Excellent",IF(Table1[[#This Row],[Profit]]&gt;=500,"Good", IF(Table1[[#This Row],[Profit]]&lt;500,"Low")))</f>
        <v>Low</v>
      </c>
      <c r="N1626" s="7" t="str">
        <f>TEXT(Table1[[#This Row],[Order_Date]],"YYY")</f>
        <v>2025</v>
      </c>
    </row>
    <row r="1627" spans="1:14" x14ac:dyDescent="0.3">
      <c r="A1627" s="4">
        <v>45991</v>
      </c>
      <c r="B1627" s="5" t="s">
        <v>13</v>
      </c>
      <c r="C1627" s="5" t="s">
        <v>19</v>
      </c>
      <c r="D1627" s="23">
        <v>43.31</v>
      </c>
      <c r="E1627" s="23">
        <v>17.89</v>
      </c>
      <c r="F1627" s="23">
        <v>25.42</v>
      </c>
      <c r="G1627" s="5" t="s">
        <v>6</v>
      </c>
      <c r="H1627" s="5" t="s">
        <v>24</v>
      </c>
      <c r="I1627" s="5" t="s">
        <v>27</v>
      </c>
      <c r="J1627" s="6">
        <f>Table1[[#This Row],[Profit]]/Table1[[#This Row],[Sales]]</f>
        <v>0.58693142461325332</v>
      </c>
      <c r="K1627" s="5" t="str">
        <f t="shared" si="25"/>
        <v>Low</v>
      </c>
      <c r="L1627" s="5" t="str">
        <f>TEXT(Table1[[#This Row],[Order_Date]],"MMM")</f>
        <v>Nov</v>
      </c>
      <c r="M1627" s="5" t="str">
        <f>IF(Table1[[#This Row],[Profit]]&gt;=1000,"Excellent",IF(Table1[[#This Row],[Profit]]&gt;=500,"Good", IF(Table1[[#This Row],[Profit]]&lt;500,"Low")))</f>
        <v>Low</v>
      </c>
      <c r="N1627" s="7" t="str">
        <f>TEXT(Table1[[#This Row],[Order_Date]],"YYY")</f>
        <v>2025</v>
      </c>
    </row>
    <row r="1628" spans="1:14" x14ac:dyDescent="0.3">
      <c r="A1628" s="4">
        <v>45992</v>
      </c>
      <c r="B1628" s="5" t="s">
        <v>0</v>
      </c>
      <c r="C1628" s="5" t="s">
        <v>14</v>
      </c>
      <c r="D1628" s="23">
        <v>288.45999999999998</v>
      </c>
      <c r="E1628" s="23">
        <v>100.24</v>
      </c>
      <c r="F1628" s="23">
        <v>188.22</v>
      </c>
      <c r="G1628" s="5" t="s">
        <v>20</v>
      </c>
      <c r="H1628" s="5" t="s">
        <v>3</v>
      </c>
      <c r="I1628" s="5" t="s">
        <v>22</v>
      </c>
      <c r="J1628" s="6">
        <f>Table1[[#This Row],[Profit]]/Table1[[#This Row],[Sales]]</f>
        <v>0.65249947999722668</v>
      </c>
      <c r="K1628" s="5" t="str">
        <f t="shared" si="25"/>
        <v>Low</v>
      </c>
      <c r="L1628" s="5" t="str">
        <f>TEXT(Table1[[#This Row],[Order_Date]],"MMM")</f>
        <v>Dec</v>
      </c>
      <c r="M1628" s="5" t="str">
        <f>IF(Table1[[#This Row],[Profit]]&gt;=1000,"Excellent",IF(Table1[[#This Row],[Profit]]&gt;=500,"Good", IF(Table1[[#This Row],[Profit]]&lt;500,"Low")))</f>
        <v>Low</v>
      </c>
      <c r="N1628" s="7" t="str">
        <f>TEXT(Table1[[#This Row],[Order_Date]],"YYY")</f>
        <v>2025</v>
      </c>
    </row>
    <row r="1629" spans="1:14" x14ac:dyDescent="0.3">
      <c r="A1629" s="4">
        <v>45993</v>
      </c>
      <c r="B1629" s="5" t="s">
        <v>18</v>
      </c>
      <c r="C1629" s="5" t="s">
        <v>14</v>
      </c>
      <c r="D1629" s="23">
        <v>386.82</v>
      </c>
      <c r="E1629" s="23">
        <v>175.68</v>
      </c>
      <c r="F1629" s="23">
        <v>211.14</v>
      </c>
      <c r="G1629" s="5" t="s">
        <v>32</v>
      </c>
      <c r="H1629" s="5" t="s">
        <v>28</v>
      </c>
      <c r="I1629" s="5" t="s">
        <v>22</v>
      </c>
      <c r="J1629" s="6">
        <f>Table1[[#This Row],[Profit]]/Table1[[#This Row],[Sales]]</f>
        <v>0.54583527221963701</v>
      </c>
      <c r="K1629" s="5" t="str">
        <f t="shared" si="25"/>
        <v>Low</v>
      </c>
      <c r="L1629" s="5" t="str">
        <f>TEXT(Table1[[#This Row],[Order_Date]],"MMM")</f>
        <v>Dec</v>
      </c>
      <c r="M1629" s="5" t="str">
        <f>IF(Table1[[#This Row],[Profit]]&gt;=1000,"Excellent",IF(Table1[[#This Row],[Profit]]&gt;=500,"Good", IF(Table1[[#This Row],[Profit]]&lt;500,"Low")))</f>
        <v>Low</v>
      </c>
      <c r="N1629" s="7" t="str">
        <f>TEXT(Table1[[#This Row],[Order_Date]],"YYY")</f>
        <v>2025</v>
      </c>
    </row>
    <row r="1630" spans="1:14" x14ac:dyDescent="0.3">
      <c r="A1630" s="4">
        <v>45993</v>
      </c>
      <c r="B1630" s="5" t="s">
        <v>0</v>
      </c>
      <c r="C1630" s="5" t="s">
        <v>19</v>
      </c>
      <c r="D1630" s="23">
        <v>56.17</v>
      </c>
      <c r="E1630" s="23">
        <v>13.68</v>
      </c>
      <c r="F1630" s="23">
        <v>42.49</v>
      </c>
      <c r="G1630" s="5" t="s">
        <v>32</v>
      </c>
      <c r="H1630" s="5" t="s">
        <v>29</v>
      </c>
      <c r="I1630" s="5" t="s">
        <v>22</v>
      </c>
      <c r="J1630" s="6">
        <f>Table1[[#This Row],[Profit]]/Table1[[#This Row],[Sales]]</f>
        <v>0.75645362293038987</v>
      </c>
      <c r="K1630" s="5" t="str">
        <f t="shared" si="25"/>
        <v>Low</v>
      </c>
      <c r="L1630" s="5" t="str">
        <f>TEXT(Table1[[#This Row],[Order_Date]],"MMM")</f>
        <v>Dec</v>
      </c>
      <c r="M1630" s="5" t="str">
        <f>IF(Table1[[#This Row],[Profit]]&gt;=1000,"Excellent",IF(Table1[[#This Row],[Profit]]&gt;=500,"Good", IF(Table1[[#This Row],[Profit]]&lt;500,"Low")))</f>
        <v>Low</v>
      </c>
      <c r="N1630" s="7" t="str">
        <f>TEXT(Table1[[#This Row],[Order_Date]],"YYY")</f>
        <v>2025</v>
      </c>
    </row>
    <row r="1631" spans="1:14" x14ac:dyDescent="0.3">
      <c r="A1631" s="4">
        <v>45994</v>
      </c>
      <c r="B1631" s="5" t="s">
        <v>8</v>
      </c>
      <c r="C1631" s="5" t="s">
        <v>5</v>
      </c>
      <c r="D1631" s="23">
        <v>1727.72</v>
      </c>
      <c r="E1631" s="23">
        <v>658.91</v>
      </c>
      <c r="F1631" s="23">
        <v>1068.81</v>
      </c>
      <c r="G1631" s="5" t="s">
        <v>20</v>
      </c>
      <c r="H1631" s="5" t="s">
        <v>7</v>
      </c>
      <c r="I1631" s="5" t="s">
        <v>27</v>
      </c>
      <c r="J1631" s="6">
        <f>Table1[[#This Row],[Profit]]/Table1[[#This Row],[Sales]]</f>
        <v>0.61862454564397007</v>
      </c>
      <c r="K1631" s="5" t="str">
        <f t="shared" si="25"/>
        <v>Medium</v>
      </c>
      <c r="L1631" s="5" t="str">
        <f>TEXT(Table1[[#This Row],[Order_Date]],"MMM")</f>
        <v>Dec</v>
      </c>
      <c r="M1631" s="5" t="str">
        <f>IF(Table1[[#This Row],[Profit]]&gt;=1000,"Excellent",IF(Table1[[#This Row],[Profit]]&gt;=500,"Good", IF(Table1[[#This Row],[Profit]]&lt;500,"Low")))</f>
        <v>Excellent</v>
      </c>
      <c r="N1631" s="7" t="str">
        <f>TEXT(Table1[[#This Row],[Order_Date]],"YYY")</f>
        <v>2025</v>
      </c>
    </row>
    <row r="1632" spans="1:14" x14ac:dyDescent="0.3">
      <c r="A1632" s="4">
        <v>45994</v>
      </c>
      <c r="B1632" s="5" t="s">
        <v>13</v>
      </c>
      <c r="C1632" s="5" t="s">
        <v>5</v>
      </c>
      <c r="D1632" s="23">
        <v>1571.04</v>
      </c>
      <c r="E1632" s="23">
        <v>546.23</v>
      </c>
      <c r="F1632" s="23">
        <v>1024.81</v>
      </c>
      <c r="G1632" s="5" t="s">
        <v>6</v>
      </c>
      <c r="H1632" s="5" t="s">
        <v>28</v>
      </c>
      <c r="I1632" s="5" t="s">
        <v>27</v>
      </c>
      <c r="J1632" s="6">
        <f>Table1[[#This Row],[Profit]]/Table1[[#This Row],[Sales]]</f>
        <v>0.65231311742539977</v>
      </c>
      <c r="K1632" s="5" t="str">
        <f t="shared" si="25"/>
        <v>Medium</v>
      </c>
      <c r="L1632" s="5" t="str">
        <f>TEXT(Table1[[#This Row],[Order_Date]],"MMM")</f>
        <v>Dec</v>
      </c>
      <c r="M1632" s="5" t="str">
        <f>IF(Table1[[#This Row],[Profit]]&gt;=1000,"Excellent",IF(Table1[[#This Row],[Profit]]&gt;=500,"Good", IF(Table1[[#This Row],[Profit]]&lt;500,"Low")))</f>
        <v>Excellent</v>
      </c>
      <c r="N1632" s="7" t="str">
        <f>TEXT(Table1[[#This Row],[Order_Date]],"YYY")</f>
        <v>2025</v>
      </c>
    </row>
    <row r="1633" spans="1:14" x14ac:dyDescent="0.3">
      <c r="A1633" s="4">
        <v>45995</v>
      </c>
      <c r="B1633" s="5" t="s">
        <v>13</v>
      </c>
      <c r="C1633" s="5" t="s">
        <v>19</v>
      </c>
      <c r="D1633" s="23">
        <v>39.9</v>
      </c>
      <c r="E1633" s="23">
        <v>12.95</v>
      </c>
      <c r="F1633" s="23">
        <v>26.95</v>
      </c>
      <c r="G1633" s="5" t="s">
        <v>2</v>
      </c>
      <c r="H1633" s="5" t="s">
        <v>36</v>
      </c>
      <c r="I1633" s="5" t="s">
        <v>4</v>
      </c>
      <c r="J1633" s="6">
        <f>Table1[[#This Row],[Profit]]/Table1[[#This Row],[Sales]]</f>
        <v>0.67543859649122806</v>
      </c>
      <c r="K1633" s="5" t="str">
        <f t="shared" si="25"/>
        <v>Low</v>
      </c>
      <c r="L1633" s="5" t="str">
        <f>TEXT(Table1[[#This Row],[Order_Date]],"MMM")</f>
        <v>Dec</v>
      </c>
      <c r="M1633" s="5" t="str">
        <f>IF(Table1[[#This Row],[Profit]]&gt;=1000,"Excellent",IF(Table1[[#This Row],[Profit]]&gt;=500,"Good", IF(Table1[[#This Row],[Profit]]&lt;500,"Low")))</f>
        <v>Low</v>
      </c>
      <c r="N1633" s="7" t="str">
        <f>TEXT(Table1[[#This Row],[Order_Date]],"YYY")</f>
        <v>2025</v>
      </c>
    </row>
    <row r="1634" spans="1:14" x14ac:dyDescent="0.3">
      <c r="A1634" s="4">
        <v>45997</v>
      </c>
      <c r="B1634" s="5" t="s">
        <v>0</v>
      </c>
      <c r="C1634" s="5" t="s">
        <v>19</v>
      </c>
      <c r="D1634" s="23">
        <v>36.26</v>
      </c>
      <c r="E1634" s="23">
        <v>9.44</v>
      </c>
      <c r="F1634" s="23">
        <v>26.82</v>
      </c>
      <c r="G1634" s="5" t="s">
        <v>9</v>
      </c>
      <c r="H1634" s="5" t="s">
        <v>21</v>
      </c>
      <c r="I1634" s="5" t="s">
        <v>22</v>
      </c>
      <c r="J1634" s="6">
        <f>Table1[[#This Row],[Profit]]/Table1[[#This Row],[Sales]]</f>
        <v>0.73965802537231118</v>
      </c>
      <c r="K1634" s="5" t="str">
        <f t="shared" si="25"/>
        <v>Low</v>
      </c>
      <c r="L1634" s="5" t="str">
        <f>TEXT(Table1[[#This Row],[Order_Date]],"MMM")</f>
        <v>Dec</v>
      </c>
      <c r="M1634" s="5" t="str">
        <f>IF(Table1[[#This Row],[Profit]]&gt;=1000,"Excellent",IF(Table1[[#This Row],[Profit]]&gt;=500,"Good", IF(Table1[[#This Row],[Profit]]&lt;500,"Low")))</f>
        <v>Low</v>
      </c>
      <c r="N1634" s="7" t="str">
        <f>TEXT(Table1[[#This Row],[Order_Date]],"YYY")</f>
        <v>2025</v>
      </c>
    </row>
    <row r="1635" spans="1:14" x14ac:dyDescent="0.3">
      <c r="A1635" s="4">
        <v>45997</v>
      </c>
      <c r="B1635" s="5" t="s">
        <v>18</v>
      </c>
      <c r="C1635" s="5" t="s">
        <v>23</v>
      </c>
      <c r="D1635" s="23">
        <v>50.37</v>
      </c>
      <c r="E1635" s="23">
        <v>14.4</v>
      </c>
      <c r="F1635" s="23">
        <v>35.97</v>
      </c>
      <c r="G1635" s="5" t="s">
        <v>20</v>
      </c>
      <c r="H1635" s="5" t="s">
        <v>33</v>
      </c>
      <c r="I1635" s="5" t="s">
        <v>17</v>
      </c>
      <c r="J1635" s="6">
        <f>Table1[[#This Row],[Profit]]/Table1[[#This Row],[Sales]]</f>
        <v>0.71411554496724239</v>
      </c>
      <c r="K1635" s="5" t="str">
        <f t="shared" si="25"/>
        <v>Low</v>
      </c>
      <c r="L1635" s="5" t="str">
        <f>TEXT(Table1[[#This Row],[Order_Date]],"MMM")</f>
        <v>Dec</v>
      </c>
      <c r="M1635" s="5" t="str">
        <f>IF(Table1[[#This Row],[Profit]]&gt;=1000,"Excellent",IF(Table1[[#This Row],[Profit]]&gt;=500,"Good", IF(Table1[[#This Row],[Profit]]&lt;500,"Low")))</f>
        <v>Low</v>
      </c>
      <c r="N1635" s="7" t="str">
        <f>TEXT(Table1[[#This Row],[Order_Date]],"YYY")</f>
        <v>2025</v>
      </c>
    </row>
    <row r="1636" spans="1:14" x14ac:dyDescent="0.3">
      <c r="A1636" s="4">
        <v>45998</v>
      </c>
      <c r="B1636" s="5" t="s">
        <v>16</v>
      </c>
      <c r="C1636" s="5" t="s">
        <v>1</v>
      </c>
      <c r="D1636" s="23">
        <v>1294.6199999999999</v>
      </c>
      <c r="E1636" s="23">
        <v>797.82</v>
      </c>
      <c r="F1636" s="23">
        <v>496.8</v>
      </c>
      <c r="G1636" s="5" t="s">
        <v>6</v>
      </c>
      <c r="H1636" s="5" t="s">
        <v>36</v>
      </c>
      <c r="I1636" s="5" t="s">
        <v>25</v>
      </c>
      <c r="J1636" s="6">
        <f>Table1[[#This Row],[Profit]]/Table1[[#This Row],[Sales]]</f>
        <v>0.38374194744403767</v>
      </c>
      <c r="K1636" s="5" t="str">
        <f t="shared" si="25"/>
        <v>Low</v>
      </c>
      <c r="L1636" s="5" t="str">
        <f>TEXT(Table1[[#This Row],[Order_Date]],"MMM")</f>
        <v>Dec</v>
      </c>
      <c r="M1636" s="5" t="str">
        <f>IF(Table1[[#This Row],[Profit]]&gt;=1000,"Excellent",IF(Table1[[#This Row],[Profit]]&gt;=500,"Good", IF(Table1[[#This Row],[Profit]]&lt;500,"Low")))</f>
        <v>Low</v>
      </c>
      <c r="N1636" s="7" t="str">
        <f>TEXT(Table1[[#This Row],[Order_Date]],"YYY")</f>
        <v>2025</v>
      </c>
    </row>
    <row r="1637" spans="1:14" x14ac:dyDescent="0.3">
      <c r="A1637" s="4">
        <v>45998</v>
      </c>
      <c r="B1637" s="5" t="s">
        <v>8</v>
      </c>
      <c r="C1637" s="5" t="s">
        <v>19</v>
      </c>
      <c r="D1637" s="23">
        <v>120.6</v>
      </c>
      <c r="E1637" s="23">
        <v>28.33</v>
      </c>
      <c r="F1637" s="23">
        <v>92.27</v>
      </c>
      <c r="G1637" s="5" t="s">
        <v>6</v>
      </c>
      <c r="H1637" s="5" t="s">
        <v>34</v>
      </c>
      <c r="I1637" s="5" t="s">
        <v>25</v>
      </c>
      <c r="J1637" s="6">
        <f>Table1[[#This Row],[Profit]]/Table1[[#This Row],[Sales]]</f>
        <v>0.76509121061359864</v>
      </c>
      <c r="K1637" s="5" t="str">
        <f t="shared" si="25"/>
        <v>Low</v>
      </c>
      <c r="L1637" s="5" t="str">
        <f>TEXT(Table1[[#This Row],[Order_Date]],"MMM")</f>
        <v>Dec</v>
      </c>
      <c r="M1637" s="5" t="str">
        <f>IF(Table1[[#This Row],[Profit]]&gt;=1000,"Excellent",IF(Table1[[#This Row],[Profit]]&gt;=500,"Good", IF(Table1[[#This Row],[Profit]]&lt;500,"Low")))</f>
        <v>Low</v>
      </c>
      <c r="N1637" s="7" t="str">
        <f>TEXT(Table1[[#This Row],[Order_Date]],"YYY")</f>
        <v>2025</v>
      </c>
    </row>
    <row r="1638" spans="1:14" x14ac:dyDescent="0.3">
      <c r="A1638" s="4">
        <v>45999</v>
      </c>
      <c r="B1638" s="5" t="s">
        <v>8</v>
      </c>
      <c r="C1638" s="5" t="s">
        <v>14</v>
      </c>
      <c r="D1638" s="23">
        <v>238.4</v>
      </c>
      <c r="E1638" s="23">
        <v>130.74</v>
      </c>
      <c r="F1638" s="23">
        <v>107.66</v>
      </c>
      <c r="G1638" s="5" t="s">
        <v>2</v>
      </c>
      <c r="H1638" s="5" t="s">
        <v>24</v>
      </c>
      <c r="I1638" s="5" t="s">
        <v>25</v>
      </c>
      <c r="J1638" s="6">
        <f>Table1[[#This Row],[Profit]]/Table1[[#This Row],[Sales]]</f>
        <v>0.45159395973154359</v>
      </c>
      <c r="K1638" s="5" t="str">
        <f t="shared" si="25"/>
        <v>Low</v>
      </c>
      <c r="L1638" s="5" t="str">
        <f>TEXT(Table1[[#This Row],[Order_Date]],"MMM")</f>
        <v>Dec</v>
      </c>
      <c r="M1638" s="5" t="str">
        <f>IF(Table1[[#This Row],[Profit]]&gt;=1000,"Excellent",IF(Table1[[#This Row],[Profit]]&gt;=500,"Good", IF(Table1[[#This Row],[Profit]]&lt;500,"Low")))</f>
        <v>Low</v>
      </c>
      <c r="N1638" s="7" t="str">
        <f>TEXT(Table1[[#This Row],[Order_Date]],"YYY")</f>
        <v>2025</v>
      </c>
    </row>
    <row r="1639" spans="1:14" x14ac:dyDescent="0.3">
      <c r="A1639" s="4">
        <v>46000</v>
      </c>
      <c r="B1639" s="5" t="s">
        <v>16</v>
      </c>
      <c r="C1639" s="5" t="s">
        <v>23</v>
      </c>
      <c r="D1639" s="23">
        <v>78.209999999999994</v>
      </c>
      <c r="E1639" s="23">
        <v>36.97</v>
      </c>
      <c r="F1639" s="23">
        <v>41.24</v>
      </c>
      <c r="G1639" s="5" t="s">
        <v>9</v>
      </c>
      <c r="H1639" s="5" t="s">
        <v>12</v>
      </c>
      <c r="I1639" s="5" t="s">
        <v>22</v>
      </c>
      <c r="J1639" s="6">
        <f>Table1[[#This Row],[Profit]]/Table1[[#This Row],[Sales]]</f>
        <v>0.52729829945019824</v>
      </c>
      <c r="K1639" s="5" t="str">
        <f t="shared" si="25"/>
        <v>Low</v>
      </c>
      <c r="L1639" s="5" t="str">
        <f>TEXT(Table1[[#This Row],[Order_Date]],"MMM")</f>
        <v>Dec</v>
      </c>
      <c r="M1639" s="5" t="str">
        <f>IF(Table1[[#This Row],[Profit]]&gt;=1000,"Excellent",IF(Table1[[#This Row],[Profit]]&gt;=500,"Good", IF(Table1[[#This Row],[Profit]]&lt;500,"Low")))</f>
        <v>Low</v>
      </c>
      <c r="N1639" s="7" t="str">
        <f>TEXT(Table1[[#This Row],[Order_Date]],"YYY")</f>
        <v>2025</v>
      </c>
    </row>
    <row r="1640" spans="1:14" x14ac:dyDescent="0.3">
      <c r="A1640" s="4">
        <v>46000</v>
      </c>
      <c r="B1640" s="5" t="s">
        <v>16</v>
      </c>
      <c r="C1640" s="5" t="s">
        <v>14</v>
      </c>
      <c r="D1640" s="23">
        <v>371.26</v>
      </c>
      <c r="E1640" s="23">
        <v>131.69999999999999</v>
      </c>
      <c r="F1640" s="23">
        <v>239.56</v>
      </c>
      <c r="G1640" s="5" t="s">
        <v>9</v>
      </c>
      <c r="H1640" s="5" t="s">
        <v>33</v>
      </c>
      <c r="I1640" s="5" t="s">
        <v>4</v>
      </c>
      <c r="J1640" s="6">
        <f>Table1[[#This Row],[Profit]]/Table1[[#This Row],[Sales]]</f>
        <v>0.64526208048268063</v>
      </c>
      <c r="K1640" s="5" t="str">
        <f t="shared" si="25"/>
        <v>Low</v>
      </c>
      <c r="L1640" s="5" t="str">
        <f>TEXT(Table1[[#This Row],[Order_Date]],"MMM")</f>
        <v>Dec</v>
      </c>
      <c r="M1640" s="5" t="str">
        <f>IF(Table1[[#This Row],[Profit]]&gt;=1000,"Excellent",IF(Table1[[#This Row],[Profit]]&gt;=500,"Good", IF(Table1[[#This Row],[Profit]]&lt;500,"Low")))</f>
        <v>Low</v>
      </c>
      <c r="N1640" s="7" t="str">
        <f>TEXT(Table1[[#This Row],[Order_Date]],"YYY")</f>
        <v>2025</v>
      </c>
    </row>
    <row r="1641" spans="1:14" x14ac:dyDescent="0.3">
      <c r="A1641" s="4">
        <v>46000</v>
      </c>
      <c r="B1641" s="5" t="s">
        <v>16</v>
      </c>
      <c r="C1641" s="5" t="s">
        <v>5</v>
      </c>
      <c r="D1641" s="23">
        <v>580.17999999999995</v>
      </c>
      <c r="E1641" s="23">
        <v>243.41</v>
      </c>
      <c r="F1641" s="23">
        <v>336.77</v>
      </c>
      <c r="G1641" s="5" t="s">
        <v>20</v>
      </c>
      <c r="H1641" s="5" t="s">
        <v>28</v>
      </c>
      <c r="I1641" s="5" t="s">
        <v>17</v>
      </c>
      <c r="J1641" s="6">
        <f>Table1[[#This Row],[Profit]]/Table1[[#This Row],[Sales]]</f>
        <v>0.58045778896204625</v>
      </c>
      <c r="K1641" s="5" t="str">
        <f t="shared" si="25"/>
        <v>Low</v>
      </c>
      <c r="L1641" s="5" t="str">
        <f>TEXT(Table1[[#This Row],[Order_Date]],"MMM")</f>
        <v>Dec</v>
      </c>
      <c r="M1641" s="5" t="str">
        <f>IF(Table1[[#This Row],[Profit]]&gt;=1000,"Excellent",IF(Table1[[#This Row],[Profit]]&gt;=500,"Good", IF(Table1[[#This Row],[Profit]]&lt;500,"Low")))</f>
        <v>Low</v>
      </c>
      <c r="N1641" s="7" t="str">
        <f>TEXT(Table1[[#This Row],[Order_Date]],"YYY")</f>
        <v>2025</v>
      </c>
    </row>
    <row r="1642" spans="1:14" x14ac:dyDescent="0.3">
      <c r="A1642" s="4">
        <v>46002</v>
      </c>
      <c r="B1642" s="5" t="s">
        <v>13</v>
      </c>
      <c r="C1642" s="5" t="s">
        <v>19</v>
      </c>
      <c r="D1642" s="23">
        <v>146.71</v>
      </c>
      <c r="E1642" s="23">
        <v>33.159999999999997</v>
      </c>
      <c r="F1642" s="23">
        <v>113.55</v>
      </c>
      <c r="G1642" s="5" t="s">
        <v>20</v>
      </c>
      <c r="H1642" s="5" t="s">
        <v>10</v>
      </c>
      <c r="I1642" s="5" t="s">
        <v>25</v>
      </c>
      <c r="J1642" s="6">
        <f>Table1[[#This Row],[Profit]]/Table1[[#This Row],[Sales]]</f>
        <v>0.7739758707654556</v>
      </c>
      <c r="K1642" s="5" t="str">
        <f t="shared" si="25"/>
        <v>Low</v>
      </c>
      <c r="L1642" s="5" t="str">
        <f>TEXT(Table1[[#This Row],[Order_Date]],"MMM")</f>
        <v>Dec</v>
      </c>
      <c r="M1642" s="5" t="str">
        <f>IF(Table1[[#This Row],[Profit]]&gt;=1000,"Excellent",IF(Table1[[#This Row],[Profit]]&gt;=500,"Good", IF(Table1[[#This Row],[Profit]]&lt;500,"Low")))</f>
        <v>Low</v>
      </c>
      <c r="N1642" s="7" t="str">
        <f>TEXT(Table1[[#This Row],[Order_Date]],"YYY")</f>
        <v>2025</v>
      </c>
    </row>
    <row r="1643" spans="1:14" x14ac:dyDescent="0.3">
      <c r="A1643" s="4">
        <v>46002</v>
      </c>
      <c r="B1643" s="5" t="s">
        <v>8</v>
      </c>
      <c r="C1643" s="5" t="s">
        <v>26</v>
      </c>
      <c r="D1643" s="23">
        <v>301.64999999999998</v>
      </c>
      <c r="E1643" s="23">
        <v>79.989999999999995</v>
      </c>
      <c r="F1643" s="23">
        <v>221.66</v>
      </c>
      <c r="G1643" s="5" t="s">
        <v>9</v>
      </c>
      <c r="H1643" s="5" t="s">
        <v>34</v>
      </c>
      <c r="I1643" s="5" t="s">
        <v>4</v>
      </c>
      <c r="J1643" s="6">
        <f>Table1[[#This Row],[Profit]]/Table1[[#This Row],[Sales]]</f>
        <v>0.73482512846013592</v>
      </c>
      <c r="K1643" s="5" t="str">
        <f t="shared" si="25"/>
        <v>Low</v>
      </c>
      <c r="L1643" s="5" t="str">
        <f>TEXT(Table1[[#This Row],[Order_Date]],"MMM")</f>
        <v>Dec</v>
      </c>
      <c r="M1643" s="5" t="str">
        <f>IF(Table1[[#This Row],[Profit]]&gt;=1000,"Excellent",IF(Table1[[#This Row],[Profit]]&gt;=500,"Good", IF(Table1[[#This Row],[Profit]]&lt;500,"Low")))</f>
        <v>Low</v>
      </c>
      <c r="N1643" s="7" t="str">
        <f>TEXT(Table1[[#This Row],[Order_Date]],"YYY")</f>
        <v>2025</v>
      </c>
    </row>
    <row r="1644" spans="1:14" x14ac:dyDescent="0.3">
      <c r="A1644" s="4">
        <v>46002</v>
      </c>
      <c r="B1644" s="5" t="s">
        <v>0</v>
      </c>
      <c r="C1644" s="5" t="s">
        <v>1</v>
      </c>
      <c r="D1644" s="23">
        <v>1097.7</v>
      </c>
      <c r="E1644" s="23">
        <v>701.16</v>
      </c>
      <c r="F1644" s="23">
        <v>396.54</v>
      </c>
      <c r="G1644" s="5" t="s">
        <v>32</v>
      </c>
      <c r="H1644" s="5" t="s">
        <v>34</v>
      </c>
      <c r="I1644" s="5" t="s">
        <v>17</v>
      </c>
      <c r="J1644" s="6">
        <f>Table1[[#This Row],[Profit]]/Table1[[#This Row],[Sales]]</f>
        <v>0.36124624214266193</v>
      </c>
      <c r="K1644" s="5" t="str">
        <f t="shared" si="25"/>
        <v>Low</v>
      </c>
      <c r="L1644" s="5" t="str">
        <f>TEXT(Table1[[#This Row],[Order_Date]],"MMM")</f>
        <v>Dec</v>
      </c>
      <c r="M1644" s="5" t="str">
        <f>IF(Table1[[#This Row],[Profit]]&gt;=1000,"Excellent",IF(Table1[[#This Row],[Profit]]&gt;=500,"Good", IF(Table1[[#This Row],[Profit]]&lt;500,"Low")))</f>
        <v>Low</v>
      </c>
      <c r="N1644" s="7" t="str">
        <f>TEXT(Table1[[#This Row],[Order_Date]],"YYY")</f>
        <v>2025</v>
      </c>
    </row>
    <row r="1645" spans="1:14" x14ac:dyDescent="0.3">
      <c r="A1645" s="4">
        <v>46002</v>
      </c>
      <c r="B1645" s="5" t="s">
        <v>13</v>
      </c>
      <c r="C1645" s="5" t="s">
        <v>19</v>
      </c>
      <c r="D1645" s="23">
        <v>23.16</v>
      </c>
      <c r="E1645" s="23">
        <v>8.69</v>
      </c>
      <c r="F1645" s="23">
        <v>14.47</v>
      </c>
      <c r="G1645" s="5" t="s">
        <v>20</v>
      </c>
      <c r="H1645" s="5" t="s">
        <v>37</v>
      </c>
      <c r="I1645" s="5" t="s">
        <v>17</v>
      </c>
      <c r="J1645" s="6">
        <f>Table1[[#This Row],[Profit]]/Table1[[#This Row],[Sales]]</f>
        <v>0.62478411053540595</v>
      </c>
      <c r="K1645" s="5" t="str">
        <f t="shared" si="25"/>
        <v>Low</v>
      </c>
      <c r="L1645" s="5" t="str">
        <f>TEXT(Table1[[#This Row],[Order_Date]],"MMM")</f>
        <v>Dec</v>
      </c>
      <c r="M1645" s="5" t="str">
        <f>IF(Table1[[#This Row],[Profit]]&gt;=1000,"Excellent",IF(Table1[[#This Row],[Profit]]&gt;=500,"Good", IF(Table1[[#This Row],[Profit]]&lt;500,"Low")))</f>
        <v>Low</v>
      </c>
      <c r="N1645" s="7" t="str">
        <f>TEXT(Table1[[#This Row],[Order_Date]],"YYY")</f>
        <v>2025</v>
      </c>
    </row>
    <row r="1646" spans="1:14" x14ac:dyDescent="0.3">
      <c r="A1646" s="4">
        <v>46002</v>
      </c>
      <c r="B1646" s="5" t="s">
        <v>16</v>
      </c>
      <c r="C1646" s="5" t="s">
        <v>23</v>
      </c>
      <c r="D1646" s="23">
        <v>717.3</v>
      </c>
      <c r="E1646" s="23">
        <v>345.08</v>
      </c>
      <c r="F1646" s="23">
        <v>372.22</v>
      </c>
      <c r="G1646" s="5" t="s">
        <v>32</v>
      </c>
      <c r="H1646" s="5" t="s">
        <v>7</v>
      </c>
      <c r="I1646" s="5" t="s">
        <v>11</v>
      </c>
      <c r="J1646" s="6">
        <f>Table1[[#This Row],[Profit]]/Table1[[#This Row],[Sales]]</f>
        <v>0.51891816534225577</v>
      </c>
      <c r="K1646" s="5" t="str">
        <f t="shared" si="25"/>
        <v>Low</v>
      </c>
      <c r="L1646" s="5" t="str">
        <f>TEXT(Table1[[#This Row],[Order_Date]],"MMM")</f>
        <v>Dec</v>
      </c>
      <c r="M1646" s="5" t="str">
        <f>IF(Table1[[#This Row],[Profit]]&gt;=1000,"Excellent",IF(Table1[[#This Row],[Profit]]&gt;=500,"Good", IF(Table1[[#This Row],[Profit]]&lt;500,"Low")))</f>
        <v>Low</v>
      </c>
      <c r="N1646" s="7" t="str">
        <f>TEXT(Table1[[#This Row],[Order_Date]],"YYY")</f>
        <v>2025</v>
      </c>
    </row>
    <row r="1647" spans="1:14" x14ac:dyDescent="0.3">
      <c r="A1647" s="4">
        <v>46002</v>
      </c>
      <c r="B1647" s="5" t="s">
        <v>13</v>
      </c>
      <c r="C1647" s="5" t="s">
        <v>26</v>
      </c>
      <c r="D1647" s="23">
        <v>1197.17</v>
      </c>
      <c r="E1647" s="23">
        <v>340.89</v>
      </c>
      <c r="F1647" s="23">
        <v>856.28</v>
      </c>
      <c r="G1647" s="5" t="s">
        <v>2</v>
      </c>
      <c r="H1647" s="5" t="s">
        <v>28</v>
      </c>
      <c r="I1647" s="5" t="s">
        <v>4</v>
      </c>
      <c r="J1647" s="6">
        <f>Table1[[#This Row],[Profit]]/Table1[[#This Row],[Sales]]</f>
        <v>0.71525347277329032</v>
      </c>
      <c r="K1647" s="5" t="str">
        <f t="shared" si="25"/>
        <v>Low</v>
      </c>
      <c r="L1647" s="5" t="str">
        <f>TEXT(Table1[[#This Row],[Order_Date]],"MMM")</f>
        <v>Dec</v>
      </c>
      <c r="M1647" s="5" t="str">
        <f>IF(Table1[[#This Row],[Profit]]&gt;=1000,"Excellent",IF(Table1[[#This Row],[Profit]]&gt;=500,"Good", IF(Table1[[#This Row],[Profit]]&lt;500,"Low")))</f>
        <v>Good</v>
      </c>
      <c r="N1647" s="7" t="str">
        <f>TEXT(Table1[[#This Row],[Order_Date]],"YYY")</f>
        <v>2025</v>
      </c>
    </row>
    <row r="1648" spans="1:14" x14ac:dyDescent="0.3">
      <c r="A1648" s="4">
        <v>46002</v>
      </c>
      <c r="B1648" s="5" t="s">
        <v>16</v>
      </c>
      <c r="C1648" s="5" t="s">
        <v>19</v>
      </c>
      <c r="D1648" s="23">
        <v>128.13999999999999</v>
      </c>
      <c r="E1648" s="23">
        <v>42.67</v>
      </c>
      <c r="F1648" s="23">
        <v>85.47</v>
      </c>
      <c r="G1648" s="5" t="s">
        <v>32</v>
      </c>
      <c r="H1648" s="5" t="s">
        <v>10</v>
      </c>
      <c r="I1648" s="5" t="s">
        <v>22</v>
      </c>
      <c r="J1648" s="6">
        <f>Table1[[#This Row],[Profit]]/Table1[[#This Row],[Sales]]</f>
        <v>0.66700483845793668</v>
      </c>
      <c r="K1648" s="5" t="str">
        <f t="shared" si="25"/>
        <v>Low</v>
      </c>
      <c r="L1648" s="5" t="str">
        <f>TEXT(Table1[[#This Row],[Order_Date]],"MMM")</f>
        <v>Dec</v>
      </c>
      <c r="M1648" s="5" t="str">
        <f>IF(Table1[[#This Row],[Profit]]&gt;=1000,"Excellent",IF(Table1[[#This Row],[Profit]]&gt;=500,"Good", IF(Table1[[#This Row],[Profit]]&lt;500,"Low")))</f>
        <v>Low</v>
      </c>
      <c r="N1648" s="7" t="str">
        <f>TEXT(Table1[[#This Row],[Order_Date]],"YYY")</f>
        <v>2025</v>
      </c>
    </row>
    <row r="1649" spans="1:14" x14ac:dyDescent="0.3">
      <c r="A1649" s="4">
        <v>46004</v>
      </c>
      <c r="B1649" s="5" t="s">
        <v>0</v>
      </c>
      <c r="C1649" s="5" t="s">
        <v>14</v>
      </c>
      <c r="D1649" s="23">
        <v>21.23</v>
      </c>
      <c r="E1649" s="23">
        <v>7.84</v>
      </c>
      <c r="F1649" s="23">
        <v>13.39</v>
      </c>
      <c r="G1649" s="5" t="s">
        <v>6</v>
      </c>
      <c r="H1649" s="5" t="s">
        <v>28</v>
      </c>
      <c r="I1649" s="5" t="s">
        <v>22</v>
      </c>
      <c r="J1649" s="6">
        <f>Table1[[#This Row],[Profit]]/Table1[[#This Row],[Sales]]</f>
        <v>0.63071125765426284</v>
      </c>
      <c r="K1649" s="5" t="str">
        <f t="shared" si="25"/>
        <v>Low</v>
      </c>
      <c r="L1649" s="5" t="str">
        <f>TEXT(Table1[[#This Row],[Order_Date]],"MMM")</f>
        <v>Dec</v>
      </c>
      <c r="M1649" s="5" t="str">
        <f>IF(Table1[[#This Row],[Profit]]&gt;=1000,"Excellent",IF(Table1[[#This Row],[Profit]]&gt;=500,"Good", IF(Table1[[#This Row],[Profit]]&lt;500,"Low")))</f>
        <v>Low</v>
      </c>
      <c r="N1649" s="7" t="str">
        <f>TEXT(Table1[[#This Row],[Order_Date]],"YYY")</f>
        <v>2025</v>
      </c>
    </row>
    <row r="1650" spans="1:14" x14ac:dyDescent="0.3">
      <c r="A1650" s="4">
        <v>46004</v>
      </c>
      <c r="B1650" s="5" t="s">
        <v>18</v>
      </c>
      <c r="C1650" s="5" t="s">
        <v>14</v>
      </c>
      <c r="D1650" s="23">
        <v>336.96</v>
      </c>
      <c r="E1650" s="23">
        <v>164.05</v>
      </c>
      <c r="F1650" s="23">
        <v>172.91</v>
      </c>
      <c r="G1650" s="5" t="s">
        <v>6</v>
      </c>
      <c r="H1650" s="5" t="s">
        <v>3</v>
      </c>
      <c r="I1650" s="5" t="s">
        <v>27</v>
      </c>
      <c r="J1650" s="6">
        <f>Table1[[#This Row],[Profit]]/Table1[[#This Row],[Sales]]</f>
        <v>0.51314696106362778</v>
      </c>
      <c r="K1650" s="5" t="str">
        <f t="shared" si="25"/>
        <v>Low</v>
      </c>
      <c r="L1650" s="5" t="str">
        <f>TEXT(Table1[[#This Row],[Order_Date]],"MMM")</f>
        <v>Dec</v>
      </c>
      <c r="M1650" s="5" t="str">
        <f>IF(Table1[[#This Row],[Profit]]&gt;=1000,"Excellent",IF(Table1[[#This Row],[Profit]]&gt;=500,"Good", IF(Table1[[#This Row],[Profit]]&lt;500,"Low")))</f>
        <v>Low</v>
      </c>
      <c r="N1650" s="7" t="str">
        <f>TEXT(Table1[[#This Row],[Order_Date]],"YYY")</f>
        <v>2025</v>
      </c>
    </row>
    <row r="1651" spans="1:14" x14ac:dyDescent="0.3">
      <c r="A1651" s="4">
        <v>46005</v>
      </c>
      <c r="B1651" s="5" t="s">
        <v>13</v>
      </c>
      <c r="C1651" s="5" t="s">
        <v>31</v>
      </c>
      <c r="D1651" s="23">
        <v>17.34</v>
      </c>
      <c r="E1651" s="23">
        <v>5.67</v>
      </c>
      <c r="F1651" s="23">
        <v>11.67</v>
      </c>
      <c r="G1651" s="5" t="s">
        <v>2</v>
      </c>
      <c r="H1651" s="5" t="s">
        <v>36</v>
      </c>
      <c r="I1651" s="5" t="s">
        <v>11</v>
      </c>
      <c r="J1651" s="6">
        <f>Table1[[#This Row],[Profit]]/Table1[[#This Row],[Sales]]</f>
        <v>0.67301038062283736</v>
      </c>
      <c r="K1651" s="5" t="str">
        <f t="shared" si="25"/>
        <v>Low</v>
      </c>
      <c r="L1651" s="5" t="str">
        <f>TEXT(Table1[[#This Row],[Order_Date]],"MMM")</f>
        <v>Dec</v>
      </c>
      <c r="M1651" s="5" t="str">
        <f>IF(Table1[[#This Row],[Profit]]&gt;=1000,"Excellent",IF(Table1[[#This Row],[Profit]]&gt;=500,"Good", IF(Table1[[#This Row],[Profit]]&lt;500,"Low")))</f>
        <v>Low</v>
      </c>
      <c r="N1651" s="7" t="str">
        <f>TEXT(Table1[[#This Row],[Order_Date]],"YYY")</f>
        <v>2025</v>
      </c>
    </row>
    <row r="1652" spans="1:14" x14ac:dyDescent="0.3">
      <c r="A1652" s="4">
        <v>46005</v>
      </c>
      <c r="B1652" s="5" t="s">
        <v>8</v>
      </c>
      <c r="C1652" s="5" t="s">
        <v>5</v>
      </c>
      <c r="D1652" s="23">
        <v>1021.76</v>
      </c>
      <c r="E1652" s="23">
        <v>474.12</v>
      </c>
      <c r="F1652" s="23">
        <v>547.64</v>
      </c>
      <c r="G1652" s="5" t="s">
        <v>9</v>
      </c>
      <c r="H1652" s="5" t="s">
        <v>12</v>
      </c>
      <c r="I1652" s="5" t="s">
        <v>27</v>
      </c>
      <c r="J1652" s="6">
        <f>Table1[[#This Row],[Profit]]/Table1[[#This Row],[Sales]]</f>
        <v>0.53597713748825559</v>
      </c>
      <c r="K1652" s="5" t="str">
        <f t="shared" si="25"/>
        <v>Low</v>
      </c>
      <c r="L1652" s="5" t="str">
        <f>TEXT(Table1[[#This Row],[Order_Date]],"MMM")</f>
        <v>Dec</v>
      </c>
      <c r="M1652" s="5" t="str">
        <f>IF(Table1[[#This Row],[Profit]]&gt;=1000,"Excellent",IF(Table1[[#This Row],[Profit]]&gt;=500,"Good", IF(Table1[[#This Row],[Profit]]&lt;500,"Low")))</f>
        <v>Good</v>
      </c>
      <c r="N1652" s="7" t="str">
        <f>TEXT(Table1[[#This Row],[Order_Date]],"YYY")</f>
        <v>2025</v>
      </c>
    </row>
    <row r="1653" spans="1:14" x14ac:dyDescent="0.3">
      <c r="A1653" s="4">
        <v>46006</v>
      </c>
      <c r="B1653" s="5" t="s">
        <v>0</v>
      </c>
      <c r="C1653" s="5" t="s">
        <v>5</v>
      </c>
      <c r="D1653" s="23">
        <v>1868.49</v>
      </c>
      <c r="E1653" s="23">
        <v>750.66</v>
      </c>
      <c r="F1653" s="23">
        <v>1117.83</v>
      </c>
      <c r="G1653" s="5" t="s">
        <v>9</v>
      </c>
      <c r="H1653" s="5" t="s">
        <v>28</v>
      </c>
      <c r="I1653" s="5" t="s">
        <v>11</v>
      </c>
      <c r="J1653" s="6">
        <f>Table1[[#This Row],[Profit]]/Table1[[#This Row],[Sales]]</f>
        <v>0.5982531348843183</v>
      </c>
      <c r="K1653" s="5" t="str">
        <f t="shared" si="25"/>
        <v>Medium</v>
      </c>
      <c r="L1653" s="5" t="str">
        <f>TEXT(Table1[[#This Row],[Order_Date]],"MMM")</f>
        <v>Dec</v>
      </c>
      <c r="M1653" s="5" t="str">
        <f>IF(Table1[[#This Row],[Profit]]&gt;=1000,"Excellent",IF(Table1[[#This Row],[Profit]]&gt;=500,"Good", IF(Table1[[#This Row],[Profit]]&lt;500,"Low")))</f>
        <v>Excellent</v>
      </c>
      <c r="N1653" s="7" t="str">
        <f>TEXT(Table1[[#This Row],[Order_Date]],"YYY")</f>
        <v>2025</v>
      </c>
    </row>
    <row r="1654" spans="1:14" x14ac:dyDescent="0.3">
      <c r="A1654" s="4">
        <v>46006</v>
      </c>
      <c r="B1654" s="5" t="s">
        <v>18</v>
      </c>
      <c r="C1654" s="5" t="s">
        <v>5</v>
      </c>
      <c r="D1654" s="23">
        <v>2128.2199999999998</v>
      </c>
      <c r="E1654" s="23">
        <v>771.03</v>
      </c>
      <c r="F1654" s="23">
        <v>1357.19</v>
      </c>
      <c r="G1654" s="5" t="s">
        <v>2</v>
      </c>
      <c r="H1654" s="5" t="s">
        <v>7</v>
      </c>
      <c r="I1654" s="5" t="s">
        <v>27</v>
      </c>
      <c r="J1654" s="6">
        <f>Table1[[#This Row],[Profit]]/Table1[[#This Row],[Sales]]</f>
        <v>0.63771132683651133</v>
      </c>
      <c r="K1654" s="5" t="str">
        <f t="shared" si="25"/>
        <v>High</v>
      </c>
      <c r="L1654" s="5" t="str">
        <f>TEXT(Table1[[#This Row],[Order_Date]],"MMM")</f>
        <v>Dec</v>
      </c>
      <c r="M1654" s="5" t="str">
        <f>IF(Table1[[#This Row],[Profit]]&gt;=1000,"Excellent",IF(Table1[[#This Row],[Profit]]&gt;=500,"Good", IF(Table1[[#This Row],[Profit]]&lt;500,"Low")))</f>
        <v>Excellent</v>
      </c>
      <c r="N1654" s="7" t="str">
        <f>TEXT(Table1[[#This Row],[Order_Date]],"YYY")</f>
        <v>2025</v>
      </c>
    </row>
    <row r="1655" spans="1:14" x14ac:dyDescent="0.3">
      <c r="A1655" s="4">
        <v>46006</v>
      </c>
      <c r="B1655" s="5" t="s">
        <v>0</v>
      </c>
      <c r="C1655" s="5" t="s">
        <v>31</v>
      </c>
      <c r="D1655" s="23">
        <v>35.520000000000003</v>
      </c>
      <c r="E1655" s="23">
        <v>9.06</v>
      </c>
      <c r="F1655" s="23">
        <v>26.46</v>
      </c>
      <c r="G1655" s="5" t="s">
        <v>6</v>
      </c>
      <c r="H1655" s="5" t="s">
        <v>35</v>
      </c>
      <c r="I1655" s="5" t="s">
        <v>4</v>
      </c>
      <c r="J1655" s="6">
        <f>Table1[[#This Row],[Profit]]/Table1[[#This Row],[Sales]]</f>
        <v>0.74493243243243235</v>
      </c>
      <c r="K1655" s="5" t="str">
        <f t="shared" si="25"/>
        <v>Low</v>
      </c>
      <c r="L1655" s="5" t="str">
        <f>TEXT(Table1[[#This Row],[Order_Date]],"MMM")</f>
        <v>Dec</v>
      </c>
      <c r="M1655" s="5" t="str">
        <f>IF(Table1[[#This Row],[Profit]]&gt;=1000,"Excellent",IF(Table1[[#This Row],[Profit]]&gt;=500,"Good", IF(Table1[[#This Row],[Profit]]&lt;500,"Low")))</f>
        <v>Low</v>
      </c>
      <c r="N1655" s="7" t="str">
        <f>TEXT(Table1[[#This Row],[Order_Date]],"YYY")</f>
        <v>2025</v>
      </c>
    </row>
    <row r="1656" spans="1:14" x14ac:dyDescent="0.3">
      <c r="A1656" s="4">
        <v>46007</v>
      </c>
      <c r="B1656" s="5" t="s">
        <v>16</v>
      </c>
      <c r="C1656" s="5" t="s">
        <v>19</v>
      </c>
      <c r="D1656" s="23">
        <v>21.77</v>
      </c>
      <c r="E1656" s="23">
        <v>5.29</v>
      </c>
      <c r="F1656" s="23">
        <v>16.48</v>
      </c>
      <c r="G1656" s="5" t="s">
        <v>9</v>
      </c>
      <c r="H1656" s="5" t="s">
        <v>12</v>
      </c>
      <c r="I1656" s="5" t="s">
        <v>25</v>
      </c>
      <c r="J1656" s="6">
        <f>Table1[[#This Row],[Profit]]/Table1[[#This Row],[Sales]]</f>
        <v>0.75700505282498853</v>
      </c>
      <c r="K1656" s="5" t="str">
        <f t="shared" si="25"/>
        <v>Low</v>
      </c>
      <c r="L1656" s="5" t="str">
        <f>TEXT(Table1[[#This Row],[Order_Date]],"MMM")</f>
        <v>Dec</v>
      </c>
      <c r="M1656" s="5" t="str">
        <f>IF(Table1[[#This Row],[Profit]]&gt;=1000,"Excellent",IF(Table1[[#This Row],[Profit]]&gt;=500,"Good", IF(Table1[[#This Row],[Profit]]&lt;500,"Low")))</f>
        <v>Low</v>
      </c>
      <c r="N1656" s="7" t="str">
        <f>TEXT(Table1[[#This Row],[Order_Date]],"YYY")</f>
        <v>2025</v>
      </c>
    </row>
    <row r="1657" spans="1:14" x14ac:dyDescent="0.3">
      <c r="A1657" s="4">
        <v>46007</v>
      </c>
      <c r="B1657" s="5" t="s">
        <v>8</v>
      </c>
      <c r="C1657" s="5" t="s">
        <v>19</v>
      </c>
      <c r="D1657" s="23">
        <v>139.21</v>
      </c>
      <c r="E1657" s="23">
        <v>45.4</v>
      </c>
      <c r="F1657" s="23">
        <v>93.81</v>
      </c>
      <c r="G1657" s="5" t="s">
        <v>9</v>
      </c>
      <c r="H1657" s="5" t="s">
        <v>15</v>
      </c>
      <c r="I1657" s="5" t="s">
        <v>17</v>
      </c>
      <c r="J1657" s="6">
        <f>Table1[[#This Row],[Profit]]/Table1[[#This Row],[Sales]]</f>
        <v>0.67387400330436031</v>
      </c>
      <c r="K1657" s="5" t="str">
        <f t="shared" si="25"/>
        <v>Low</v>
      </c>
      <c r="L1657" s="5" t="str">
        <f>TEXT(Table1[[#This Row],[Order_Date]],"MMM")</f>
        <v>Dec</v>
      </c>
      <c r="M1657" s="5" t="str">
        <f>IF(Table1[[#This Row],[Profit]]&gt;=1000,"Excellent",IF(Table1[[#This Row],[Profit]]&gt;=500,"Good", IF(Table1[[#This Row],[Profit]]&lt;500,"Low")))</f>
        <v>Low</v>
      </c>
      <c r="N1657" s="7" t="str">
        <f>TEXT(Table1[[#This Row],[Order_Date]],"YYY")</f>
        <v>2025</v>
      </c>
    </row>
    <row r="1658" spans="1:14" x14ac:dyDescent="0.3">
      <c r="A1658" s="4">
        <v>46007</v>
      </c>
      <c r="B1658" s="5" t="s">
        <v>13</v>
      </c>
      <c r="C1658" s="5" t="s">
        <v>23</v>
      </c>
      <c r="D1658" s="23">
        <v>342.75</v>
      </c>
      <c r="E1658" s="23">
        <v>120.13</v>
      </c>
      <c r="F1658" s="23">
        <v>222.62</v>
      </c>
      <c r="G1658" s="5" t="s">
        <v>6</v>
      </c>
      <c r="H1658" s="5" t="s">
        <v>10</v>
      </c>
      <c r="I1658" s="5" t="s">
        <v>17</v>
      </c>
      <c r="J1658" s="6">
        <f>Table1[[#This Row],[Profit]]/Table1[[#This Row],[Sales]]</f>
        <v>0.64951130561633841</v>
      </c>
      <c r="K1658" s="5" t="str">
        <f t="shared" si="25"/>
        <v>Low</v>
      </c>
      <c r="L1658" s="5" t="str">
        <f>TEXT(Table1[[#This Row],[Order_Date]],"MMM")</f>
        <v>Dec</v>
      </c>
      <c r="M1658" s="5" t="str">
        <f>IF(Table1[[#This Row],[Profit]]&gt;=1000,"Excellent",IF(Table1[[#This Row],[Profit]]&gt;=500,"Good", IF(Table1[[#This Row],[Profit]]&lt;500,"Low")))</f>
        <v>Low</v>
      </c>
      <c r="N1658" s="7" t="str">
        <f>TEXT(Table1[[#This Row],[Order_Date]],"YYY")</f>
        <v>2025</v>
      </c>
    </row>
    <row r="1659" spans="1:14" x14ac:dyDescent="0.3">
      <c r="A1659" s="4">
        <v>46007</v>
      </c>
      <c r="B1659" s="5" t="s">
        <v>18</v>
      </c>
      <c r="C1659" s="5" t="s">
        <v>1</v>
      </c>
      <c r="D1659" s="23">
        <v>1363.2</v>
      </c>
      <c r="E1659" s="23">
        <v>885.4</v>
      </c>
      <c r="F1659" s="23">
        <v>477.8</v>
      </c>
      <c r="G1659" s="5" t="s">
        <v>6</v>
      </c>
      <c r="H1659" s="5" t="s">
        <v>37</v>
      </c>
      <c r="I1659" s="5" t="s">
        <v>25</v>
      </c>
      <c r="J1659" s="6">
        <f>Table1[[#This Row],[Profit]]/Table1[[#This Row],[Sales]]</f>
        <v>0.35049882629107981</v>
      </c>
      <c r="K1659" s="5" t="str">
        <f t="shared" si="25"/>
        <v>Low</v>
      </c>
      <c r="L1659" s="5" t="str">
        <f>TEXT(Table1[[#This Row],[Order_Date]],"MMM")</f>
        <v>Dec</v>
      </c>
      <c r="M1659" s="5" t="str">
        <f>IF(Table1[[#This Row],[Profit]]&gt;=1000,"Excellent",IF(Table1[[#This Row],[Profit]]&gt;=500,"Good", IF(Table1[[#This Row],[Profit]]&lt;500,"Low")))</f>
        <v>Low</v>
      </c>
      <c r="N1659" s="7" t="str">
        <f>TEXT(Table1[[#This Row],[Order_Date]],"YYY")</f>
        <v>2025</v>
      </c>
    </row>
    <row r="1660" spans="1:14" x14ac:dyDescent="0.3">
      <c r="A1660" s="4">
        <v>46007</v>
      </c>
      <c r="B1660" s="5" t="s">
        <v>8</v>
      </c>
      <c r="C1660" s="5" t="s">
        <v>31</v>
      </c>
      <c r="D1660" s="23">
        <v>16.41</v>
      </c>
      <c r="E1660" s="23">
        <v>5.09</v>
      </c>
      <c r="F1660" s="23">
        <v>11.32</v>
      </c>
      <c r="G1660" s="5" t="s">
        <v>32</v>
      </c>
      <c r="H1660" s="5" t="s">
        <v>10</v>
      </c>
      <c r="I1660" s="5" t="s">
        <v>27</v>
      </c>
      <c r="J1660" s="6">
        <f>Table1[[#This Row],[Profit]]/Table1[[#This Row],[Sales]]</f>
        <v>0.68982327848872638</v>
      </c>
      <c r="K1660" s="5" t="str">
        <f t="shared" si="25"/>
        <v>Low</v>
      </c>
      <c r="L1660" s="5" t="str">
        <f>TEXT(Table1[[#This Row],[Order_Date]],"MMM")</f>
        <v>Dec</v>
      </c>
      <c r="M1660" s="5" t="str">
        <f>IF(Table1[[#This Row],[Profit]]&gt;=1000,"Excellent",IF(Table1[[#This Row],[Profit]]&gt;=500,"Good", IF(Table1[[#This Row],[Profit]]&lt;500,"Low")))</f>
        <v>Low</v>
      </c>
      <c r="N1660" s="7" t="str">
        <f>TEXT(Table1[[#This Row],[Order_Date]],"YYY")</f>
        <v>2025</v>
      </c>
    </row>
    <row r="1661" spans="1:14" x14ac:dyDescent="0.3">
      <c r="A1661" s="4">
        <v>46008</v>
      </c>
      <c r="B1661" s="5" t="s">
        <v>0</v>
      </c>
      <c r="C1661" s="5" t="s">
        <v>31</v>
      </c>
      <c r="D1661" s="23">
        <v>85.14</v>
      </c>
      <c r="E1661" s="23">
        <v>29.1</v>
      </c>
      <c r="F1661" s="23">
        <v>56.04</v>
      </c>
      <c r="G1661" s="5" t="s">
        <v>32</v>
      </c>
      <c r="H1661" s="5" t="s">
        <v>30</v>
      </c>
      <c r="I1661" s="5" t="s">
        <v>27</v>
      </c>
      <c r="J1661" s="6">
        <f>Table1[[#This Row],[Profit]]/Table1[[#This Row],[Sales]]</f>
        <v>0.65821000704721633</v>
      </c>
      <c r="K1661" s="5" t="str">
        <f t="shared" si="25"/>
        <v>Low</v>
      </c>
      <c r="L1661" s="5" t="str">
        <f>TEXT(Table1[[#This Row],[Order_Date]],"MMM")</f>
        <v>Dec</v>
      </c>
      <c r="M1661" s="5" t="str">
        <f>IF(Table1[[#This Row],[Profit]]&gt;=1000,"Excellent",IF(Table1[[#This Row],[Profit]]&gt;=500,"Good", IF(Table1[[#This Row],[Profit]]&lt;500,"Low")))</f>
        <v>Low</v>
      </c>
      <c r="N1661" s="7" t="str">
        <f>TEXT(Table1[[#This Row],[Order_Date]],"YYY")</f>
        <v>2025</v>
      </c>
    </row>
    <row r="1662" spans="1:14" x14ac:dyDescent="0.3">
      <c r="A1662" s="4">
        <v>46009</v>
      </c>
      <c r="B1662" s="5" t="s">
        <v>8</v>
      </c>
      <c r="C1662" s="5" t="s">
        <v>23</v>
      </c>
      <c r="D1662" s="23">
        <v>445.52</v>
      </c>
      <c r="E1662" s="23">
        <v>208.19</v>
      </c>
      <c r="F1662" s="23">
        <v>237.33</v>
      </c>
      <c r="G1662" s="5" t="s">
        <v>9</v>
      </c>
      <c r="H1662" s="5" t="s">
        <v>7</v>
      </c>
      <c r="I1662" s="5" t="s">
        <v>27</v>
      </c>
      <c r="J1662" s="6">
        <f>Table1[[#This Row],[Profit]]/Table1[[#This Row],[Sales]]</f>
        <v>0.53270335787394507</v>
      </c>
      <c r="K1662" s="5" t="str">
        <f t="shared" si="25"/>
        <v>Low</v>
      </c>
      <c r="L1662" s="5" t="str">
        <f>TEXT(Table1[[#This Row],[Order_Date]],"MMM")</f>
        <v>Dec</v>
      </c>
      <c r="M1662" s="5" t="str">
        <f>IF(Table1[[#This Row],[Profit]]&gt;=1000,"Excellent",IF(Table1[[#This Row],[Profit]]&gt;=500,"Good", IF(Table1[[#This Row],[Profit]]&lt;500,"Low")))</f>
        <v>Low</v>
      </c>
      <c r="N1662" s="7" t="str">
        <f>TEXT(Table1[[#This Row],[Order_Date]],"YYY")</f>
        <v>2025</v>
      </c>
    </row>
    <row r="1663" spans="1:14" x14ac:dyDescent="0.3">
      <c r="A1663" s="4">
        <v>46010</v>
      </c>
      <c r="B1663" s="5" t="s">
        <v>13</v>
      </c>
      <c r="C1663" s="5" t="s">
        <v>23</v>
      </c>
      <c r="D1663" s="23">
        <v>168.52</v>
      </c>
      <c r="E1663" s="23">
        <v>78.010000000000005</v>
      </c>
      <c r="F1663" s="23">
        <v>90.51</v>
      </c>
      <c r="G1663" s="5" t="s">
        <v>32</v>
      </c>
      <c r="H1663" s="5" t="s">
        <v>30</v>
      </c>
      <c r="I1663" s="5" t="s">
        <v>22</v>
      </c>
      <c r="J1663" s="6">
        <f>Table1[[#This Row],[Profit]]/Table1[[#This Row],[Sales]]</f>
        <v>0.53708758604319962</v>
      </c>
      <c r="K1663" s="5" t="str">
        <f t="shared" si="25"/>
        <v>Low</v>
      </c>
      <c r="L1663" s="5" t="str">
        <f>TEXT(Table1[[#This Row],[Order_Date]],"MMM")</f>
        <v>Dec</v>
      </c>
      <c r="M1663" s="5" t="str">
        <f>IF(Table1[[#This Row],[Profit]]&gt;=1000,"Excellent",IF(Table1[[#This Row],[Profit]]&gt;=500,"Good", IF(Table1[[#This Row],[Profit]]&lt;500,"Low")))</f>
        <v>Low</v>
      </c>
      <c r="N1663" s="7" t="str">
        <f>TEXT(Table1[[#This Row],[Order_Date]],"YYY")</f>
        <v>2025</v>
      </c>
    </row>
    <row r="1664" spans="1:14" x14ac:dyDescent="0.3">
      <c r="A1664" s="4">
        <v>46011</v>
      </c>
      <c r="B1664" s="5" t="s">
        <v>0</v>
      </c>
      <c r="C1664" s="5" t="s">
        <v>19</v>
      </c>
      <c r="D1664" s="23">
        <v>36.86</v>
      </c>
      <c r="E1664" s="23">
        <v>8.8800000000000008</v>
      </c>
      <c r="F1664" s="23">
        <v>27.98</v>
      </c>
      <c r="G1664" s="5" t="s">
        <v>6</v>
      </c>
      <c r="H1664" s="5" t="s">
        <v>10</v>
      </c>
      <c r="I1664" s="5" t="s">
        <v>4</v>
      </c>
      <c r="J1664" s="6">
        <f>Table1[[#This Row],[Profit]]/Table1[[#This Row],[Sales]]</f>
        <v>0.75908844275637555</v>
      </c>
      <c r="K1664" s="5" t="str">
        <f t="shared" si="25"/>
        <v>Low</v>
      </c>
      <c r="L1664" s="5" t="str">
        <f>TEXT(Table1[[#This Row],[Order_Date]],"MMM")</f>
        <v>Dec</v>
      </c>
      <c r="M1664" s="5" t="str">
        <f>IF(Table1[[#This Row],[Profit]]&gt;=1000,"Excellent",IF(Table1[[#This Row],[Profit]]&gt;=500,"Good", IF(Table1[[#This Row],[Profit]]&lt;500,"Low")))</f>
        <v>Low</v>
      </c>
      <c r="N1664" s="7" t="str">
        <f>TEXT(Table1[[#This Row],[Order_Date]],"YYY")</f>
        <v>2025</v>
      </c>
    </row>
    <row r="1665" spans="1:14" x14ac:dyDescent="0.3">
      <c r="A1665" s="4">
        <v>46011</v>
      </c>
      <c r="B1665" s="5" t="s">
        <v>13</v>
      </c>
      <c r="C1665" s="5" t="s">
        <v>23</v>
      </c>
      <c r="D1665" s="23">
        <v>138.63</v>
      </c>
      <c r="E1665" s="23">
        <v>46.66</v>
      </c>
      <c r="F1665" s="23">
        <v>91.97</v>
      </c>
      <c r="G1665" s="5" t="s">
        <v>2</v>
      </c>
      <c r="H1665" s="5" t="s">
        <v>37</v>
      </c>
      <c r="I1665" s="5" t="s">
        <v>25</v>
      </c>
      <c r="J1665" s="6">
        <f>Table1[[#This Row],[Profit]]/Table1[[#This Row],[Sales]]</f>
        <v>0.66342061602827673</v>
      </c>
      <c r="K1665" s="5" t="str">
        <f t="shared" si="25"/>
        <v>Low</v>
      </c>
      <c r="L1665" s="5" t="str">
        <f>TEXT(Table1[[#This Row],[Order_Date]],"MMM")</f>
        <v>Dec</v>
      </c>
      <c r="M1665" s="5" t="str">
        <f>IF(Table1[[#This Row],[Profit]]&gt;=1000,"Excellent",IF(Table1[[#This Row],[Profit]]&gt;=500,"Good", IF(Table1[[#This Row],[Profit]]&lt;500,"Low")))</f>
        <v>Low</v>
      </c>
      <c r="N1665" s="7" t="str">
        <f>TEXT(Table1[[#This Row],[Order_Date]],"YYY")</f>
        <v>2025</v>
      </c>
    </row>
    <row r="1666" spans="1:14" x14ac:dyDescent="0.3">
      <c r="A1666" s="4">
        <v>46012</v>
      </c>
      <c r="B1666" s="5" t="s">
        <v>13</v>
      </c>
      <c r="C1666" s="5" t="s">
        <v>23</v>
      </c>
      <c r="D1666" s="23">
        <v>697.06</v>
      </c>
      <c r="E1666" s="23">
        <v>286.22000000000003</v>
      </c>
      <c r="F1666" s="23">
        <v>410.84</v>
      </c>
      <c r="G1666" s="5" t="s">
        <v>32</v>
      </c>
      <c r="H1666" s="5" t="s">
        <v>12</v>
      </c>
      <c r="I1666" s="5" t="s">
        <v>25</v>
      </c>
      <c r="J1666" s="6">
        <f>Table1[[#This Row],[Profit]]/Table1[[#This Row],[Sales]]</f>
        <v>0.58938972254899147</v>
      </c>
      <c r="K1666" s="5" t="str">
        <f t="shared" ref="K1666:K1729" si="26">IF(D1666&gt;=2000,"High",IF(D1666&gt;=1500,"Medium","Low"))</f>
        <v>Low</v>
      </c>
      <c r="L1666" s="5" t="str">
        <f>TEXT(Table1[[#This Row],[Order_Date]],"MMM")</f>
        <v>Dec</v>
      </c>
      <c r="M1666" s="5" t="str">
        <f>IF(Table1[[#This Row],[Profit]]&gt;=1000,"Excellent",IF(Table1[[#This Row],[Profit]]&gt;=500,"Good", IF(Table1[[#This Row],[Profit]]&lt;500,"Low")))</f>
        <v>Low</v>
      </c>
      <c r="N1666" s="7" t="str">
        <f>TEXT(Table1[[#This Row],[Order_Date]],"YYY")</f>
        <v>2025</v>
      </c>
    </row>
    <row r="1667" spans="1:14" x14ac:dyDescent="0.3">
      <c r="A1667" s="4">
        <v>46012</v>
      </c>
      <c r="B1667" s="5" t="s">
        <v>0</v>
      </c>
      <c r="C1667" s="5" t="s">
        <v>5</v>
      </c>
      <c r="D1667" s="23">
        <v>204.93</v>
      </c>
      <c r="E1667" s="23">
        <v>88.13</v>
      </c>
      <c r="F1667" s="23">
        <v>116.8</v>
      </c>
      <c r="G1667" s="5" t="s">
        <v>9</v>
      </c>
      <c r="H1667" s="5" t="s">
        <v>12</v>
      </c>
      <c r="I1667" s="5" t="s">
        <v>22</v>
      </c>
      <c r="J1667" s="6">
        <f>Table1[[#This Row],[Profit]]/Table1[[#This Row],[Sales]]</f>
        <v>0.56995071487825111</v>
      </c>
      <c r="K1667" s="5" t="str">
        <f t="shared" si="26"/>
        <v>Low</v>
      </c>
      <c r="L1667" s="5" t="str">
        <f>TEXT(Table1[[#This Row],[Order_Date]],"MMM")</f>
        <v>Dec</v>
      </c>
      <c r="M1667" s="5" t="str">
        <f>IF(Table1[[#This Row],[Profit]]&gt;=1000,"Excellent",IF(Table1[[#This Row],[Profit]]&gt;=500,"Good", IF(Table1[[#This Row],[Profit]]&lt;500,"Low")))</f>
        <v>Low</v>
      </c>
      <c r="N1667" s="7" t="str">
        <f>TEXT(Table1[[#This Row],[Order_Date]],"YYY")</f>
        <v>2025</v>
      </c>
    </row>
    <row r="1668" spans="1:14" x14ac:dyDescent="0.3">
      <c r="A1668" s="4">
        <v>46012</v>
      </c>
      <c r="B1668" s="5" t="s">
        <v>18</v>
      </c>
      <c r="C1668" s="5" t="s">
        <v>31</v>
      </c>
      <c r="D1668" s="23">
        <v>69.63</v>
      </c>
      <c r="E1668" s="23">
        <v>22.55</v>
      </c>
      <c r="F1668" s="23">
        <v>47.08</v>
      </c>
      <c r="G1668" s="5" t="s">
        <v>32</v>
      </c>
      <c r="H1668" s="5" t="s">
        <v>30</v>
      </c>
      <c r="I1668" s="5" t="s">
        <v>22</v>
      </c>
      <c r="J1668" s="6">
        <f>Table1[[#This Row],[Profit]]/Table1[[#This Row],[Sales]]</f>
        <v>0.67614533965244872</v>
      </c>
      <c r="K1668" s="5" t="str">
        <f t="shared" si="26"/>
        <v>Low</v>
      </c>
      <c r="L1668" s="5" t="str">
        <f>TEXT(Table1[[#This Row],[Order_Date]],"MMM")</f>
        <v>Dec</v>
      </c>
      <c r="M1668" s="5" t="str">
        <f>IF(Table1[[#This Row],[Profit]]&gt;=1000,"Excellent",IF(Table1[[#This Row],[Profit]]&gt;=500,"Good", IF(Table1[[#This Row],[Profit]]&lt;500,"Low")))</f>
        <v>Low</v>
      </c>
      <c r="N1668" s="7" t="str">
        <f>TEXT(Table1[[#This Row],[Order_Date]],"YYY")</f>
        <v>2025</v>
      </c>
    </row>
    <row r="1669" spans="1:14" x14ac:dyDescent="0.3">
      <c r="A1669" s="4">
        <v>46014</v>
      </c>
      <c r="B1669" s="5" t="s">
        <v>18</v>
      </c>
      <c r="C1669" s="5" t="s">
        <v>5</v>
      </c>
      <c r="D1669" s="23">
        <v>642.98</v>
      </c>
      <c r="E1669" s="23">
        <v>286.95</v>
      </c>
      <c r="F1669" s="23">
        <v>356.03</v>
      </c>
      <c r="G1669" s="5" t="s">
        <v>32</v>
      </c>
      <c r="H1669" s="5" t="s">
        <v>37</v>
      </c>
      <c r="I1669" s="5" t="s">
        <v>11</v>
      </c>
      <c r="J1669" s="6">
        <f>Table1[[#This Row],[Profit]]/Table1[[#This Row],[Sales]]</f>
        <v>0.55371862266322436</v>
      </c>
      <c r="K1669" s="5" t="str">
        <f t="shared" si="26"/>
        <v>Low</v>
      </c>
      <c r="L1669" s="5" t="str">
        <f>TEXT(Table1[[#This Row],[Order_Date]],"MMM")</f>
        <v>Dec</v>
      </c>
      <c r="M1669" s="5" t="str">
        <f>IF(Table1[[#This Row],[Profit]]&gt;=1000,"Excellent",IF(Table1[[#This Row],[Profit]]&gt;=500,"Good", IF(Table1[[#This Row],[Profit]]&lt;500,"Low")))</f>
        <v>Low</v>
      </c>
      <c r="N1669" s="7" t="str">
        <f>TEXT(Table1[[#This Row],[Order_Date]],"YYY")</f>
        <v>2025</v>
      </c>
    </row>
    <row r="1670" spans="1:14" x14ac:dyDescent="0.3">
      <c r="A1670" s="4">
        <v>46014</v>
      </c>
      <c r="B1670" s="5" t="s">
        <v>0</v>
      </c>
      <c r="C1670" s="5" t="s">
        <v>31</v>
      </c>
      <c r="D1670" s="23">
        <v>32.36</v>
      </c>
      <c r="E1670" s="23">
        <v>8.7799999999999994</v>
      </c>
      <c r="F1670" s="23">
        <v>23.58</v>
      </c>
      <c r="G1670" s="5" t="s">
        <v>9</v>
      </c>
      <c r="H1670" s="5" t="s">
        <v>37</v>
      </c>
      <c r="I1670" s="5" t="s">
        <v>22</v>
      </c>
      <c r="J1670" s="6">
        <f>Table1[[#This Row],[Profit]]/Table1[[#This Row],[Sales]]</f>
        <v>0.72867737948084055</v>
      </c>
      <c r="K1670" s="5" t="str">
        <f t="shared" si="26"/>
        <v>Low</v>
      </c>
      <c r="L1670" s="5" t="str">
        <f>TEXT(Table1[[#This Row],[Order_Date]],"MMM")</f>
        <v>Dec</v>
      </c>
      <c r="M1670" s="5" t="str">
        <f>IF(Table1[[#This Row],[Profit]]&gt;=1000,"Excellent",IF(Table1[[#This Row],[Profit]]&gt;=500,"Good", IF(Table1[[#This Row],[Profit]]&lt;500,"Low")))</f>
        <v>Low</v>
      </c>
      <c r="N1670" s="7" t="str">
        <f>TEXT(Table1[[#This Row],[Order_Date]],"YYY")</f>
        <v>2025</v>
      </c>
    </row>
    <row r="1671" spans="1:14" x14ac:dyDescent="0.3">
      <c r="A1671" s="4">
        <v>46014</v>
      </c>
      <c r="B1671" s="5" t="s">
        <v>8</v>
      </c>
      <c r="C1671" s="5" t="s">
        <v>1</v>
      </c>
      <c r="D1671" s="23">
        <v>454.99</v>
      </c>
      <c r="E1671" s="23">
        <v>231.08</v>
      </c>
      <c r="F1671" s="23">
        <v>223.91</v>
      </c>
      <c r="G1671" s="5" t="s">
        <v>6</v>
      </c>
      <c r="H1671" s="5" t="s">
        <v>15</v>
      </c>
      <c r="I1671" s="5" t="s">
        <v>22</v>
      </c>
      <c r="J1671" s="6">
        <f>Table1[[#This Row],[Profit]]/Table1[[#This Row],[Sales]]</f>
        <v>0.49212070594958129</v>
      </c>
      <c r="K1671" s="5" t="str">
        <f t="shared" si="26"/>
        <v>Low</v>
      </c>
      <c r="L1671" s="5" t="str">
        <f>TEXT(Table1[[#This Row],[Order_Date]],"MMM")</f>
        <v>Dec</v>
      </c>
      <c r="M1671" s="5" t="str">
        <f>IF(Table1[[#This Row],[Profit]]&gt;=1000,"Excellent",IF(Table1[[#This Row],[Profit]]&gt;=500,"Good", IF(Table1[[#This Row],[Profit]]&lt;500,"Low")))</f>
        <v>Low</v>
      </c>
      <c r="N1671" s="7" t="str">
        <f>TEXT(Table1[[#This Row],[Order_Date]],"YYY")</f>
        <v>2025</v>
      </c>
    </row>
    <row r="1672" spans="1:14" x14ac:dyDescent="0.3">
      <c r="A1672" s="4">
        <v>46015</v>
      </c>
      <c r="B1672" s="5" t="s">
        <v>13</v>
      </c>
      <c r="C1672" s="5" t="s">
        <v>14</v>
      </c>
      <c r="D1672" s="23">
        <v>329.88</v>
      </c>
      <c r="E1672" s="23">
        <v>110.55</v>
      </c>
      <c r="F1672" s="23">
        <v>219.33</v>
      </c>
      <c r="G1672" s="5" t="s">
        <v>20</v>
      </c>
      <c r="H1672" s="5" t="s">
        <v>37</v>
      </c>
      <c r="I1672" s="5" t="s">
        <v>27</v>
      </c>
      <c r="J1672" s="6">
        <f>Table1[[#This Row],[Profit]]/Table1[[#This Row],[Sales]]</f>
        <v>0.66487813750454716</v>
      </c>
      <c r="K1672" s="5" t="str">
        <f t="shared" si="26"/>
        <v>Low</v>
      </c>
      <c r="L1672" s="5" t="str">
        <f>TEXT(Table1[[#This Row],[Order_Date]],"MMM")</f>
        <v>Dec</v>
      </c>
      <c r="M1672" s="5" t="str">
        <f>IF(Table1[[#This Row],[Profit]]&gt;=1000,"Excellent",IF(Table1[[#This Row],[Profit]]&gt;=500,"Good", IF(Table1[[#This Row],[Profit]]&lt;500,"Low")))</f>
        <v>Low</v>
      </c>
      <c r="N1672" s="7" t="str">
        <f>TEXT(Table1[[#This Row],[Order_Date]],"YYY")</f>
        <v>2025</v>
      </c>
    </row>
    <row r="1673" spans="1:14" x14ac:dyDescent="0.3">
      <c r="A1673" s="4">
        <v>46015</v>
      </c>
      <c r="B1673" s="5" t="s">
        <v>8</v>
      </c>
      <c r="C1673" s="5" t="s">
        <v>31</v>
      </c>
      <c r="D1673" s="23">
        <v>53.1</v>
      </c>
      <c r="E1673" s="23">
        <v>18.8</v>
      </c>
      <c r="F1673" s="23">
        <v>34.299999999999997</v>
      </c>
      <c r="G1673" s="5" t="s">
        <v>32</v>
      </c>
      <c r="H1673" s="5" t="s">
        <v>29</v>
      </c>
      <c r="I1673" s="5" t="s">
        <v>27</v>
      </c>
      <c r="J1673" s="6">
        <f>Table1[[#This Row],[Profit]]/Table1[[#This Row],[Sales]]</f>
        <v>0.64595103578154422</v>
      </c>
      <c r="K1673" s="5" t="str">
        <f t="shared" si="26"/>
        <v>Low</v>
      </c>
      <c r="L1673" s="5" t="str">
        <f>TEXT(Table1[[#This Row],[Order_Date]],"MMM")</f>
        <v>Dec</v>
      </c>
      <c r="M1673" s="5" t="str">
        <f>IF(Table1[[#This Row],[Profit]]&gt;=1000,"Excellent",IF(Table1[[#This Row],[Profit]]&gt;=500,"Good", IF(Table1[[#This Row],[Profit]]&lt;500,"Low")))</f>
        <v>Low</v>
      </c>
      <c r="N1673" s="7" t="str">
        <f>TEXT(Table1[[#This Row],[Order_Date]],"YYY")</f>
        <v>2025</v>
      </c>
    </row>
    <row r="1674" spans="1:14" x14ac:dyDescent="0.3">
      <c r="A1674" s="4">
        <v>46015</v>
      </c>
      <c r="B1674" s="5" t="s">
        <v>8</v>
      </c>
      <c r="C1674" s="5" t="s">
        <v>23</v>
      </c>
      <c r="D1674" s="23">
        <v>852.76</v>
      </c>
      <c r="E1674" s="23">
        <v>334.91</v>
      </c>
      <c r="F1674" s="23">
        <v>517.85</v>
      </c>
      <c r="G1674" s="5" t="s">
        <v>6</v>
      </c>
      <c r="H1674" s="5" t="s">
        <v>10</v>
      </c>
      <c r="I1674" s="5" t="s">
        <v>4</v>
      </c>
      <c r="J1674" s="6">
        <f>Table1[[#This Row],[Profit]]/Table1[[#This Row],[Sales]]</f>
        <v>0.60726347389652424</v>
      </c>
      <c r="K1674" s="5" t="str">
        <f t="shared" si="26"/>
        <v>Low</v>
      </c>
      <c r="L1674" s="5" t="str">
        <f>TEXT(Table1[[#This Row],[Order_Date]],"MMM")</f>
        <v>Dec</v>
      </c>
      <c r="M1674" s="5" t="str">
        <f>IF(Table1[[#This Row],[Profit]]&gt;=1000,"Excellent",IF(Table1[[#This Row],[Profit]]&gt;=500,"Good", IF(Table1[[#This Row],[Profit]]&lt;500,"Low")))</f>
        <v>Good</v>
      </c>
      <c r="N1674" s="7" t="str">
        <f>TEXT(Table1[[#This Row],[Order_Date]],"YYY")</f>
        <v>2025</v>
      </c>
    </row>
    <row r="1675" spans="1:14" x14ac:dyDescent="0.3">
      <c r="A1675" s="4">
        <v>46016</v>
      </c>
      <c r="B1675" s="5" t="s">
        <v>8</v>
      </c>
      <c r="C1675" s="5" t="s">
        <v>23</v>
      </c>
      <c r="D1675" s="23">
        <v>233.14</v>
      </c>
      <c r="E1675" s="23">
        <v>81.42</v>
      </c>
      <c r="F1675" s="23">
        <v>151.72</v>
      </c>
      <c r="G1675" s="5" t="s">
        <v>9</v>
      </c>
      <c r="H1675" s="5" t="s">
        <v>36</v>
      </c>
      <c r="I1675" s="5" t="s">
        <v>11</v>
      </c>
      <c r="J1675" s="6">
        <f>Table1[[#This Row],[Profit]]/Table1[[#This Row],[Sales]]</f>
        <v>0.65076777901689975</v>
      </c>
      <c r="K1675" s="5" t="str">
        <f t="shared" si="26"/>
        <v>Low</v>
      </c>
      <c r="L1675" s="5" t="str">
        <f>TEXT(Table1[[#This Row],[Order_Date]],"MMM")</f>
        <v>Dec</v>
      </c>
      <c r="M1675" s="5" t="str">
        <f>IF(Table1[[#This Row],[Profit]]&gt;=1000,"Excellent",IF(Table1[[#This Row],[Profit]]&gt;=500,"Good", IF(Table1[[#This Row],[Profit]]&lt;500,"Low")))</f>
        <v>Low</v>
      </c>
      <c r="N1675" s="7" t="str">
        <f>TEXT(Table1[[#This Row],[Order_Date]],"YYY")</f>
        <v>2025</v>
      </c>
    </row>
    <row r="1676" spans="1:14" x14ac:dyDescent="0.3">
      <c r="A1676" s="4">
        <v>46016</v>
      </c>
      <c r="B1676" s="5" t="s">
        <v>13</v>
      </c>
      <c r="C1676" s="5" t="s">
        <v>5</v>
      </c>
      <c r="D1676" s="23">
        <v>542.79</v>
      </c>
      <c r="E1676" s="23">
        <v>210.33</v>
      </c>
      <c r="F1676" s="23">
        <v>332.46</v>
      </c>
      <c r="G1676" s="5" t="s">
        <v>32</v>
      </c>
      <c r="H1676" s="5" t="s">
        <v>7</v>
      </c>
      <c r="I1676" s="5" t="s">
        <v>27</v>
      </c>
      <c r="J1676" s="6">
        <f>Table1[[#This Row],[Profit]]/Table1[[#This Row],[Sales]]</f>
        <v>0.61250207262477196</v>
      </c>
      <c r="K1676" s="5" t="str">
        <f t="shared" si="26"/>
        <v>Low</v>
      </c>
      <c r="L1676" s="5" t="str">
        <f>TEXT(Table1[[#This Row],[Order_Date]],"MMM")</f>
        <v>Dec</v>
      </c>
      <c r="M1676" s="5" t="str">
        <f>IF(Table1[[#This Row],[Profit]]&gt;=1000,"Excellent",IF(Table1[[#This Row],[Profit]]&gt;=500,"Good", IF(Table1[[#This Row],[Profit]]&lt;500,"Low")))</f>
        <v>Low</v>
      </c>
      <c r="N1676" s="7" t="str">
        <f>TEXT(Table1[[#This Row],[Order_Date]],"YYY")</f>
        <v>2025</v>
      </c>
    </row>
    <row r="1677" spans="1:14" x14ac:dyDescent="0.3">
      <c r="A1677" s="4">
        <v>46016</v>
      </c>
      <c r="B1677" s="5" t="s">
        <v>16</v>
      </c>
      <c r="C1677" s="5" t="s">
        <v>26</v>
      </c>
      <c r="D1677" s="23">
        <v>1061.78</v>
      </c>
      <c r="E1677" s="23">
        <v>442.52</v>
      </c>
      <c r="F1677" s="23">
        <v>619.26</v>
      </c>
      <c r="G1677" s="5" t="s">
        <v>6</v>
      </c>
      <c r="H1677" s="5" t="s">
        <v>30</v>
      </c>
      <c r="I1677" s="5" t="s">
        <v>17</v>
      </c>
      <c r="J1677" s="6">
        <f>Table1[[#This Row],[Profit]]/Table1[[#This Row],[Sales]]</f>
        <v>0.58322816402644617</v>
      </c>
      <c r="K1677" s="5" t="str">
        <f t="shared" si="26"/>
        <v>Low</v>
      </c>
      <c r="L1677" s="5" t="str">
        <f>TEXT(Table1[[#This Row],[Order_Date]],"MMM")</f>
        <v>Dec</v>
      </c>
      <c r="M1677" s="5" t="str">
        <f>IF(Table1[[#This Row],[Profit]]&gt;=1000,"Excellent",IF(Table1[[#This Row],[Profit]]&gt;=500,"Good", IF(Table1[[#This Row],[Profit]]&lt;500,"Low")))</f>
        <v>Good</v>
      </c>
      <c r="N1677" s="7" t="str">
        <f>TEXT(Table1[[#This Row],[Order_Date]],"YYY")</f>
        <v>2025</v>
      </c>
    </row>
    <row r="1678" spans="1:14" x14ac:dyDescent="0.3">
      <c r="A1678" s="4">
        <v>46017</v>
      </c>
      <c r="B1678" s="5" t="s">
        <v>16</v>
      </c>
      <c r="C1678" s="5" t="s">
        <v>31</v>
      </c>
      <c r="D1678" s="23">
        <v>297.02999999999997</v>
      </c>
      <c r="E1678" s="23">
        <v>112.73</v>
      </c>
      <c r="F1678" s="23">
        <v>184.3</v>
      </c>
      <c r="G1678" s="5" t="s">
        <v>9</v>
      </c>
      <c r="H1678" s="5" t="s">
        <v>12</v>
      </c>
      <c r="I1678" s="5" t="s">
        <v>25</v>
      </c>
      <c r="J1678" s="6">
        <f>Table1[[#This Row],[Profit]]/Table1[[#This Row],[Sales]]</f>
        <v>0.62047604619062058</v>
      </c>
      <c r="K1678" s="5" t="str">
        <f t="shared" si="26"/>
        <v>Low</v>
      </c>
      <c r="L1678" s="5" t="str">
        <f>TEXT(Table1[[#This Row],[Order_Date]],"MMM")</f>
        <v>Dec</v>
      </c>
      <c r="M1678" s="5" t="str">
        <f>IF(Table1[[#This Row],[Profit]]&gt;=1000,"Excellent",IF(Table1[[#This Row],[Profit]]&gt;=500,"Good", IF(Table1[[#This Row],[Profit]]&lt;500,"Low")))</f>
        <v>Low</v>
      </c>
      <c r="N1678" s="7" t="str">
        <f>TEXT(Table1[[#This Row],[Order_Date]],"YYY")</f>
        <v>2025</v>
      </c>
    </row>
    <row r="1679" spans="1:14" x14ac:dyDescent="0.3">
      <c r="A1679" s="4">
        <v>46019</v>
      </c>
      <c r="B1679" s="5" t="s">
        <v>8</v>
      </c>
      <c r="C1679" s="5" t="s">
        <v>31</v>
      </c>
      <c r="D1679" s="23">
        <v>87.45</v>
      </c>
      <c r="E1679" s="23">
        <v>32.69</v>
      </c>
      <c r="F1679" s="23">
        <v>54.76</v>
      </c>
      <c r="G1679" s="5" t="s">
        <v>6</v>
      </c>
      <c r="H1679" s="5" t="s">
        <v>29</v>
      </c>
      <c r="I1679" s="5" t="s">
        <v>11</v>
      </c>
      <c r="J1679" s="6">
        <f>Table1[[#This Row],[Profit]]/Table1[[#This Row],[Sales]]</f>
        <v>0.62618639222412809</v>
      </c>
      <c r="K1679" s="5" t="str">
        <f t="shared" si="26"/>
        <v>Low</v>
      </c>
      <c r="L1679" s="5" t="str">
        <f>TEXT(Table1[[#This Row],[Order_Date]],"MMM")</f>
        <v>Dec</v>
      </c>
      <c r="M1679" s="5" t="str">
        <f>IF(Table1[[#This Row],[Profit]]&gt;=1000,"Excellent",IF(Table1[[#This Row],[Profit]]&gt;=500,"Good", IF(Table1[[#This Row],[Profit]]&lt;500,"Low")))</f>
        <v>Low</v>
      </c>
      <c r="N1679" s="7" t="str">
        <f>TEXT(Table1[[#This Row],[Order_Date]],"YYY")</f>
        <v>2025</v>
      </c>
    </row>
    <row r="1680" spans="1:14" x14ac:dyDescent="0.3">
      <c r="A1680" s="4">
        <v>46019</v>
      </c>
      <c r="B1680" s="5" t="s">
        <v>13</v>
      </c>
      <c r="C1680" s="5" t="s">
        <v>23</v>
      </c>
      <c r="D1680" s="23">
        <v>709.96</v>
      </c>
      <c r="E1680" s="23">
        <v>291.8</v>
      </c>
      <c r="F1680" s="23">
        <v>418.16</v>
      </c>
      <c r="G1680" s="5" t="s">
        <v>9</v>
      </c>
      <c r="H1680" s="5" t="s">
        <v>10</v>
      </c>
      <c r="I1680" s="5" t="s">
        <v>27</v>
      </c>
      <c r="J1680" s="6">
        <f>Table1[[#This Row],[Profit]]/Table1[[#This Row],[Sales]]</f>
        <v>0.58899092906642625</v>
      </c>
      <c r="K1680" s="5" t="str">
        <f t="shared" si="26"/>
        <v>Low</v>
      </c>
      <c r="L1680" s="5" t="str">
        <f>TEXT(Table1[[#This Row],[Order_Date]],"MMM")</f>
        <v>Dec</v>
      </c>
      <c r="M1680" s="5" t="str">
        <f>IF(Table1[[#This Row],[Profit]]&gt;=1000,"Excellent",IF(Table1[[#This Row],[Profit]]&gt;=500,"Good", IF(Table1[[#This Row],[Profit]]&lt;500,"Low")))</f>
        <v>Low</v>
      </c>
      <c r="N1680" s="7" t="str">
        <f>TEXT(Table1[[#This Row],[Order_Date]],"YYY")</f>
        <v>2025</v>
      </c>
    </row>
    <row r="1681" spans="1:14" x14ac:dyDescent="0.3">
      <c r="A1681" s="4">
        <v>46019</v>
      </c>
      <c r="B1681" s="5" t="s">
        <v>0</v>
      </c>
      <c r="C1681" s="5" t="s">
        <v>5</v>
      </c>
      <c r="D1681" s="23">
        <v>745.1</v>
      </c>
      <c r="E1681" s="23">
        <v>285.87</v>
      </c>
      <c r="F1681" s="23">
        <v>459.23</v>
      </c>
      <c r="G1681" s="5" t="s">
        <v>2</v>
      </c>
      <c r="H1681" s="5" t="s">
        <v>37</v>
      </c>
      <c r="I1681" s="5" t="s">
        <v>17</v>
      </c>
      <c r="J1681" s="6">
        <f>Table1[[#This Row],[Profit]]/Table1[[#This Row],[Sales]]</f>
        <v>0.61633337807005772</v>
      </c>
      <c r="K1681" s="5" t="str">
        <f t="shared" si="26"/>
        <v>Low</v>
      </c>
      <c r="L1681" s="5" t="str">
        <f>TEXT(Table1[[#This Row],[Order_Date]],"MMM")</f>
        <v>Dec</v>
      </c>
      <c r="M1681" s="5" t="str">
        <f>IF(Table1[[#This Row],[Profit]]&gt;=1000,"Excellent",IF(Table1[[#This Row],[Profit]]&gt;=500,"Good", IF(Table1[[#This Row],[Profit]]&lt;500,"Low")))</f>
        <v>Low</v>
      </c>
      <c r="N1681" s="7" t="str">
        <f>TEXT(Table1[[#This Row],[Order_Date]],"YYY")</f>
        <v>2025</v>
      </c>
    </row>
    <row r="1682" spans="1:14" x14ac:dyDescent="0.3">
      <c r="A1682" s="4">
        <v>46020</v>
      </c>
      <c r="B1682" s="5" t="s">
        <v>16</v>
      </c>
      <c r="C1682" s="5" t="s">
        <v>23</v>
      </c>
      <c r="D1682" s="23">
        <v>655.77</v>
      </c>
      <c r="E1682" s="23">
        <v>255.06</v>
      </c>
      <c r="F1682" s="23">
        <v>400.71</v>
      </c>
      <c r="G1682" s="5" t="s">
        <v>20</v>
      </c>
      <c r="H1682" s="5" t="s">
        <v>29</v>
      </c>
      <c r="I1682" s="5" t="s">
        <v>22</v>
      </c>
      <c r="J1682" s="6">
        <f>Table1[[#This Row],[Profit]]/Table1[[#This Row],[Sales]]</f>
        <v>0.61105265565670885</v>
      </c>
      <c r="K1682" s="5" t="str">
        <f t="shared" si="26"/>
        <v>Low</v>
      </c>
      <c r="L1682" s="5" t="str">
        <f>TEXT(Table1[[#This Row],[Order_Date]],"MMM")</f>
        <v>Dec</v>
      </c>
      <c r="M1682" s="5" t="str">
        <f>IF(Table1[[#This Row],[Profit]]&gt;=1000,"Excellent",IF(Table1[[#This Row],[Profit]]&gt;=500,"Good", IF(Table1[[#This Row],[Profit]]&lt;500,"Low")))</f>
        <v>Low</v>
      </c>
      <c r="N1682" s="7" t="str">
        <f>TEXT(Table1[[#This Row],[Order_Date]],"YYY")</f>
        <v>2025</v>
      </c>
    </row>
    <row r="1683" spans="1:14" x14ac:dyDescent="0.3">
      <c r="A1683" s="4">
        <v>46021</v>
      </c>
      <c r="B1683" s="5" t="s">
        <v>16</v>
      </c>
      <c r="C1683" s="5" t="s">
        <v>26</v>
      </c>
      <c r="D1683" s="23">
        <v>203.12</v>
      </c>
      <c r="E1683" s="23">
        <v>50.81</v>
      </c>
      <c r="F1683" s="23">
        <v>152.31</v>
      </c>
      <c r="G1683" s="5" t="s">
        <v>32</v>
      </c>
      <c r="H1683" s="5" t="s">
        <v>30</v>
      </c>
      <c r="I1683" s="5" t="s">
        <v>22</v>
      </c>
      <c r="J1683" s="6">
        <f>Table1[[#This Row],[Profit]]/Table1[[#This Row],[Sales]]</f>
        <v>0.74985230405671521</v>
      </c>
      <c r="K1683" s="5" t="str">
        <f t="shared" si="26"/>
        <v>Low</v>
      </c>
      <c r="L1683" s="5" t="str">
        <f>TEXT(Table1[[#This Row],[Order_Date]],"MMM")</f>
        <v>Dec</v>
      </c>
      <c r="M1683" s="5" t="str">
        <f>IF(Table1[[#This Row],[Profit]]&gt;=1000,"Excellent",IF(Table1[[#This Row],[Profit]]&gt;=500,"Good", IF(Table1[[#This Row],[Profit]]&lt;500,"Low")))</f>
        <v>Low</v>
      </c>
      <c r="N1683" s="7" t="str">
        <f>TEXT(Table1[[#This Row],[Order_Date]],"YYY")</f>
        <v>2025</v>
      </c>
    </row>
    <row r="1684" spans="1:14" x14ac:dyDescent="0.3">
      <c r="A1684" s="4">
        <v>46021</v>
      </c>
      <c r="B1684" s="5" t="s">
        <v>13</v>
      </c>
      <c r="C1684" s="5" t="s">
        <v>5</v>
      </c>
      <c r="D1684" s="23">
        <v>1420.2</v>
      </c>
      <c r="E1684" s="23">
        <v>426.95</v>
      </c>
      <c r="F1684" s="23">
        <v>993.25</v>
      </c>
      <c r="G1684" s="5" t="s">
        <v>6</v>
      </c>
      <c r="H1684" s="5" t="s">
        <v>21</v>
      </c>
      <c r="I1684" s="5" t="s">
        <v>11</v>
      </c>
      <c r="J1684" s="6">
        <f>Table1[[#This Row],[Profit]]/Table1[[#This Row],[Sales]]</f>
        <v>0.6993733277003239</v>
      </c>
      <c r="K1684" s="5" t="str">
        <f t="shared" si="26"/>
        <v>Low</v>
      </c>
      <c r="L1684" s="5" t="str">
        <f>TEXT(Table1[[#This Row],[Order_Date]],"MMM")</f>
        <v>Dec</v>
      </c>
      <c r="M1684" s="5" t="str">
        <f>IF(Table1[[#This Row],[Profit]]&gt;=1000,"Excellent",IF(Table1[[#This Row],[Profit]]&gt;=500,"Good", IF(Table1[[#This Row],[Profit]]&lt;500,"Low")))</f>
        <v>Good</v>
      </c>
      <c r="N1684" s="7" t="str">
        <f>TEXT(Table1[[#This Row],[Order_Date]],"YYY")</f>
        <v>2025</v>
      </c>
    </row>
    <row r="1685" spans="1:14" x14ac:dyDescent="0.3">
      <c r="A1685" s="4">
        <v>46022</v>
      </c>
      <c r="B1685" s="5" t="s">
        <v>8</v>
      </c>
      <c r="C1685" s="5" t="s">
        <v>26</v>
      </c>
      <c r="D1685" s="23">
        <v>488.22</v>
      </c>
      <c r="E1685" s="23">
        <v>205.22</v>
      </c>
      <c r="F1685" s="23">
        <v>283</v>
      </c>
      <c r="G1685" s="5" t="s">
        <v>9</v>
      </c>
      <c r="H1685" s="5" t="s">
        <v>12</v>
      </c>
      <c r="I1685" s="5" t="s">
        <v>4</v>
      </c>
      <c r="J1685" s="6">
        <f>Table1[[#This Row],[Profit]]/Table1[[#This Row],[Sales]]</f>
        <v>0.57965671213797054</v>
      </c>
      <c r="K1685" s="5" t="str">
        <f t="shared" si="26"/>
        <v>Low</v>
      </c>
      <c r="L1685" s="5" t="str">
        <f>TEXT(Table1[[#This Row],[Order_Date]],"MMM")</f>
        <v>Dec</v>
      </c>
      <c r="M1685" s="5" t="str">
        <f>IF(Table1[[#This Row],[Profit]]&gt;=1000,"Excellent",IF(Table1[[#This Row],[Profit]]&gt;=500,"Good", IF(Table1[[#This Row],[Profit]]&lt;500,"Low")))</f>
        <v>Low</v>
      </c>
      <c r="N1685" s="7" t="str">
        <f>TEXT(Table1[[#This Row],[Order_Date]],"YYY")</f>
        <v>2025</v>
      </c>
    </row>
    <row r="1686" spans="1:14" x14ac:dyDescent="0.3">
      <c r="A1686" s="4">
        <v>46022</v>
      </c>
      <c r="B1686" s="5" t="s">
        <v>13</v>
      </c>
      <c r="C1686" s="5" t="s">
        <v>31</v>
      </c>
      <c r="D1686" s="23">
        <v>90.66</v>
      </c>
      <c r="E1686" s="23">
        <v>24.59</v>
      </c>
      <c r="F1686" s="23">
        <v>66.069999999999993</v>
      </c>
      <c r="G1686" s="5" t="s">
        <v>32</v>
      </c>
      <c r="H1686" s="5" t="s">
        <v>28</v>
      </c>
      <c r="I1686" s="5" t="s">
        <v>17</v>
      </c>
      <c r="J1686" s="6">
        <f>Table1[[#This Row],[Profit]]/Table1[[#This Row],[Sales]]</f>
        <v>0.72876682108978597</v>
      </c>
      <c r="K1686" s="5" t="str">
        <f t="shared" si="26"/>
        <v>Low</v>
      </c>
      <c r="L1686" s="5" t="str">
        <f>TEXT(Table1[[#This Row],[Order_Date]],"MMM")</f>
        <v>Dec</v>
      </c>
      <c r="M1686" s="5" t="str">
        <f>IF(Table1[[#This Row],[Profit]]&gt;=1000,"Excellent",IF(Table1[[#This Row],[Profit]]&gt;=500,"Good", IF(Table1[[#This Row],[Profit]]&lt;500,"Low")))</f>
        <v>Low</v>
      </c>
      <c r="N1686" s="7" t="str">
        <f>TEXT(Table1[[#This Row],[Order_Date]],"YYY")</f>
        <v>2025</v>
      </c>
    </row>
    <row r="1687" spans="1:14" x14ac:dyDescent="0.3">
      <c r="A1687" s="4">
        <v>46022</v>
      </c>
      <c r="B1687" s="5" t="s">
        <v>8</v>
      </c>
      <c r="C1687" s="5" t="s">
        <v>5</v>
      </c>
      <c r="D1687" s="23">
        <v>1560.47</v>
      </c>
      <c r="E1687" s="23">
        <v>565.29</v>
      </c>
      <c r="F1687" s="23">
        <v>995.18</v>
      </c>
      <c r="G1687" s="5" t="s">
        <v>2</v>
      </c>
      <c r="H1687" s="5" t="s">
        <v>37</v>
      </c>
      <c r="I1687" s="5" t="s">
        <v>11</v>
      </c>
      <c r="J1687" s="6">
        <f>Table1[[#This Row],[Profit]]/Table1[[#This Row],[Sales]]</f>
        <v>0.63774375668868988</v>
      </c>
      <c r="K1687" s="5" t="str">
        <f t="shared" si="26"/>
        <v>Medium</v>
      </c>
      <c r="L1687" s="5" t="str">
        <f>TEXT(Table1[[#This Row],[Order_Date]],"MMM")</f>
        <v>Dec</v>
      </c>
      <c r="M1687" s="5" t="str">
        <f>IF(Table1[[#This Row],[Profit]]&gt;=1000,"Excellent",IF(Table1[[#This Row],[Profit]]&gt;=500,"Good", IF(Table1[[#This Row],[Profit]]&lt;500,"Low")))</f>
        <v>Good</v>
      </c>
      <c r="N1687" s="7" t="str">
        <f>TEXT(Table1[[#This Row],[Order_Date]],"YYY")</f>
        <v>2025</v>
      </c>
    </row>
    <row r="1688" spans="1:14" x14ac:dyDescent="0.3">
      <c r="A1688" s="4">
        <v>46023</v>
      </c>
      <c r="B1688" s="5" t="s">
        <v>18</v>
      </c>
      <c r="C1688" s="5" t="s">
        <v>23</v>
      </c>
      <c r="D1688" s="23">
        <v>414.98</v>
      </c>
      <c r="E1688" s="23">
        <v>192.54</v>
      </c>
      <c r="F1688" s="23">
        <v>222.44</v>
      </c>
      <c r="G1688" s="5" t="s">
        <v>2</v>
      </c>
      <c r="H1688" s="5" t="s">
        <v>33</v>
      </c>
      <c r="I1688" s="5" t="s">
        <v>17</v>
      </c>
      <c r="J1688" s="6">
        <f>Table1[[#This Row],[Profit]]/Table1[[#This Row],[Sales]]</f>
        <v>0.53602583257024428</v>
      </c>
      <c r="K1688" s="5" t="str">
        <f t="shared" si="26"/>
        <v>Low</v>
      </c>
      <c r="L1688" s="5" t="str">
        <f>TEXT(Table1[[#This Row],[Order_Date]],"MMM")</f>
        <v>Jan</v>
      </c>
      <c r="M1688" s="5" t="str">
        <f>IF(Table1[[#This Row],[Profit]]&gt;=1000,"Excellent",IF(Table1[[#This Row],[Profit]]&gt;=500,"Good", IF(Table1[[#This Row],[Profit]]&lt;500,"Low")))</f>
        <v>Low</v>
      </c>
      <c r="N1688" s="7" t="str">
        <f>TEXT(Table1[[#This Row],[Order_Date]],"YYY")</f>
        <v>2026</v>
      </c>
    </row>
    <row r="1689" spans="1:14" x14ac:dyDescent="0.3">
      <c r="A1689" s="4">
        <v>46024</v>
      </c>
      <c r="B1689" s="5" t="s">
        <v>0</v>
      </c>
      <c r="C1689" s="5" t="s">
        <v>23</v>
      </c>
      <c r="D1689" s="23">
        <v>345.54</v>
      </c>
      <c r="E1689" s="23">
        <v>98.2</v>
      </c>
      <c r="F1689" s="23">
        <v>247.34</v>
      </c>
      <c r="G1689" s="5" t="s">
        <v>6</v>
      </c>
      <c r="H1689" s="5" t="s">
        <v>28</v>
      </c>
      <c r="I1689" s="5" t="s">
        <v>11</v>
      </c>
      <c r="J1689" s="6">
        <f>Table1[[#This Row],[Profit]]/Table1[[#This Row],[Sales]]</f>
        <v>0.71580714244371124</v>
      </c>
      <c r="K1689" s="5" t="str">
        <f t="shared" si="26"/>
        <v>Low</v>
      </c>
      <c r="L1689" s="5" t="str">
        <f>TEXT(Table1[[#This Row],[Order_Date]],"MMM")</f>
        <v>Jan</v>
      </c>
      <c r="M1689" s="5" t="str">
        <f>IF(Table1[[#This Row],[Profit]]&gt;=1000,"Excellent",IF(Table1[[#This Row],[Profit]]&gt;=500,"Good", IF(Table1[[#This Row],[Profit]]&lt;500,"Low")))</f>
        <v>Low</v>
      </c>
      <c r="N1689" s="7" t="str">
        <f>TEXT(Table1[[#This Row],[Order_Date]],"YYY")</f>
        <v>2026</v>
      </c>
    </row>
    <row r="1690" spans="1:14" x14ac:dyDescent="0.3">
      <c r="A1690" s="4">
        <v>46025</v>
      </c>
      <c r="B1690" s="5" t="s">
        <v>8</v>
      </c>
      <c r="C1690" s="5" t="s">
        <v>26</v>
      </c>
      <c r="D1690" s="23">
        <v>880.38</v>
      </c>
      <c r="E1690" s="23">
        <v>252.3</v>
      </c>
      <c r="F1690" s="23">
        <v>628.08000000000004</v>
      </c>
      <c r="G1690" s="5" t="s">
        <v>2</v>
      </c>
      <c r="H1690" s="5" t="s">
        <v>33</v>
      </c>
      <c r="I1690" s="5" t="s">
        <v>22</v>
      </c>
      <c r="J1690" s="6">
        <f>Table1[[#This Row],[Profit]]/Table1[[#This Row],[Sales]]</f>
        <v>0.71341920534314729</v>
      </c>
      <c r="K1690" s="5" t="str">
        <f t="shared" si="26"/>
        <v>Low</v>
      </c>
      <c r="L1690" s="5" t="str">
        <f>TEXT(Table1[[#This Row],[Order_Date]],"MMM")</f>
        <v>Jan</v>
      </c>
      <c r="M1690" s="5" t="str">
        <f>IF(Table1[[#This Row],[Profit]]&gt;=1000,"Excellent",IF(Table1[[#This Row],[Profit]]&gt;=500,"Good", IF(Table1[[#This Row],[Profit]]&lt;500,"Low")))</f>
        <v>Good</v>
      </c>
      <c r="N1690" s="7" t="str">
        <f>TEXT(Table1[[#This Row],[Order_Date]],"YYY")</f>
        <v>2026</v>
      </c>
    </row>
    <row r="1691" spans="1:14" x14ac:dyDescent="0.3">
      <c r="A1691" s="4">
        <v>46025</v>
      </c>
      <c r="B1691" s="5" t="s">
        <v>0</v>
      </c>
      <c r="C1691" s="5" t="s">
        <v>19</v>
      </c>
      <c r="D1691" s="23">
        <v>76.11</v>
      </c>
      <c r="E1691" s="23">
        <v>28.77</v>
      </c>
      <c r="F1691" s="23">
        <v>47.34</v>
      </c>
      <c r="G1691" s="5" t="s">
        <v>6</v>
      </c>
      <c r="H1691" s="5" t="s">
        <v>3</v>
      </c>
      <c r="I1691" s="5" t="s">
        <v>4</v>
      </c>
      <c r="J1691" s="6">
        <f>Table1[[#This Row],[Profit]]/Table1[[#This Row],[Sales]]</f>
        <v>0.62199448167126536</v>
      </c>
      <c r="K1691" s="5" t="str">
        <f t="shared" si="26"/>
        <v>Low</v>
      </c>
      <c r="L1691" s="5" t="str">
        <f>TEXT(Table1[[#This Row],[Order_Date]],"MMM")</f>
        <v>Jan</v>
      </c>
      <c r="M1691" s="5" t="str">
        <f>IF(Table1[[#This Row],[Profit]]&gt;=1000,"Excellent",IF(Table1[[#This Row],[Profit]]&gt;=500,"Good", IF(Table1[[#This Row],[Profit]]&lt;500,"Low")))</f>
        <v>Low</v>
      </c>
      <c r="N1691" s="7" t="str">
        <f>TEXT(Table1[[#This Row],[Order_Date]],"YYY")</f>
        <v>2026</v>
      </c>
    </row>
    <row r="1692" spans="1:14" x14ac:dyDescent="0.3">
      <c r="A1692" s="4">
        <v>46025</v>
      </c>
      <c r="B1692" s="5" t="s">
        <v>8</v>
      </c>
      <c r="C1692" s="5" t="s">
        <v>19</v>
      </c>
      <c r="D1692" s="23">
        <v>10.62</v>
      </c>
      <c r="E1692" s="23">
        <v>3.47</v>
      </c>
      <c r="F1692" s="23">
        <v>7.15</v>
      </c>
      <c r="G1692" s="5" t="s">
        <v>32</v>
      </c>
      <c r="H1692" s="5" t="s">
        <v>36</v>
      </c>
      <c r="I1692" s="5" t="s">
        <v>27</v>
      </c>
      <c r="J1692" s="6">
        <f>Table1[[#This Row],[Profit]]/Table1[[#This Row],[Sales]]</f>
        <v>0.67325800376647837</v>
      </c>
      <c r="K1692" s="5" t="str">
        <f t="shared" si="26"/>
        <v>Low</v>
      </c>
      <c r="L1692" s="5" t="str">
        <f>TEXT(Table1[[#This Row],[Order_Date]],"MMM")</f>
        <v>Jan</v>
      </c>
      <c r="M1692" s="5" t="str">
        <f>IF(Table1[[#This Row],[Profit]]&gt;=1000,"Excellent",IF(Table1[[#This Row],[Profit]]&gt;=500,"Good", IF(Table1[[#This Row],[Profit]]&lt;500,"Low")))</f>
        <v>Low</v>
      </c>
      <c r="N1692" s="7" t="str">
        <f>TEXT(Table1[[#This Row],[Order_Date]],"YYY")</f>
        <v>2026</v>
      </c>
    </row>
    <row r="1693" spans="1:14" x14ac:dyDescent="0.3">
      <c r="A1693" s="4">
        <v>46027</v>
      </c>
      <c r="B1693" s="5" t="s">
        <v>0</v>
      </c>
      <c r="C1693" s="5" t="s">
        <v>19</v>
      </c>
      <c r="D1693" s="23">
        <v>46.41</v>
      </c>
      <c r="E1693" s="23">
        <v>11.1</v>
      </c>
      <c r="F1693" s="23">
        <v>35.31</v>
      </c>
      <c r="G1693" s="5" t="s">
        <v>2</v>
      </c>
      <c r="H1693" s="5" t="s">
        <v>34</v>
      </c>
      <c r="I1693" s="5" t="s">
        <v>25</v>
      </c>
      <c r="J1693" s="6">
        <f>Table1[[#This Row],[Profit]]/Table1[[#This Row],[Sales]]</f>
        <v>0.76082740788623149</v>
      </c>
      <c r="K1693" s="5" t="str">
        <f t="shared" si="26"/>
        <v>Low</v>
      </c>
      <c r="L1693" s="5" t="str">
        <f>TEXT(Table1[[#This Row],[Order_Date]],"MMM")</f>
        <v>Jan</v>
      </c>
      <c r="M1693" s="5" t="str">
        <f>IF(Table1[[#This Row],[Profit]]&gt;=1000,"Excellent",IF(Table1[[#This Row],[Profit]]&gt;=500,"Good", IF(Table1[[#This Row],[Profit]]&lt;500,"Low")))</f>
        <v>Low</v>
      </c>
      <c r="N1693" s="7" t="str">
        <f>TEXT(Table1[[#This Row],[Order_Date]],"YYY")</f>
        <v>2026</v>
      </c>
    </row>
    <row r="1694" spans="1:14" x14ac:dyDescent="0.3">
      <c r="A1694" s="4">
        <v>46027</v>
      </c>
      <c r="B1694" s="5" t="s">
        <v>13</v>
      </c>
      <c r="C1694" s="5" t="s">
        <v>26</v>
      </c>
      <c r="D1694" s="23">
        <v>492.68</v>
      </c>
      <c r="E1694" s="23">
        <v>161.78</v>
      </c>
      <c r="F1694" s="23">
        <v>330.9</v>
      </c>
      <c r="G1694" s="5" t="s">
        <v>9</v>
      </c>
      <c r="H1694" s="5" t="s">
        <v>3</v>
      </c>
      <c r="I1694" s="5" t="s">
        <v>4</v>
      </c>
      <c r="J1694" s="6">
        <f>Table1[[#This Row],[Profit]]/Table1[[#This Row],[Sales]]</f>
        <v>0.67163270276853126</v>
      </c>
      <c r="K1694" s="5" t="str">
        <f t="shared" si="26"/>
        <v>Low</v>
      </c>
      <c r="L1694" s="5" t="str">
        <f>TEXT(Table1[[#This Row],[Order_Date]],"MMM")</f>
        <v>Jan</v>
      </c>
      <c r="M1694" s="5" t="str">
        <f>IF(Table1[[#This Row],[Profit]]&gt;=1000,"Excellent",IF(Table1[[#This Row],[Profit]]&gt;=500,"Good", IF(Table1[[#This Row],[Profit]]&lt;500,"Low")))</f>
        <v>Low</v>
      </c>
      <c r="N1694" s="7" t="str">
        <f>TEXT(Table1[[#This Row],[Order_Date]],"YYY")</f>
        <v>2026</v>
      </c>
    </row>
    <row r="1695" spans="1:14" x14ac:dyDescent="0.3">
      <c r="A1695" s="4">
        <v>46027</v>
      </c>
      <c r="B1695" s="5" t="s">
        <v>8</v>
      </c>
      <c r="C1695" s="5" t="s">
        <v>23</v>
      </c>
      <c r="D1695" s="23">
        <v>583.15</v>
      </c>
      <c r="E1695" s="23">
        <v>265.47000000000003</v>
      </c>
      <c r="F1695" s="23">
        <v>317.68</v>
      </c>
      <c r="G1695" s="5" t="s">
        <v>9</v>
      </c>
      <c r="H1695" s="5" t="s">
        <v>15</v>
      </c>
      <c r="I1695" s="5" t="s">
        <v>4</v>
      </c>
      <c r="J1695" s="6">
        <f>Table1[[#This Row],[Profit]]/Table1[[#This Row],[Sales]]</f>
        <v>0.54476549772785732</v>
      </c>
      <c r="K1695" s="5" t="str">
        <f t="shared" si="26"/>
        <v>Low</v>
      </c>
      <c r="L1695" s="5" t="str">
        <f>TEXT(Table1[[#This Row],[Order_Date]],"MMM")</f>
        <v>Jan</v>
      </c>
      <c r="M1695" s="5" t="str">
        <f>IF(Table1[[#This Row],[Profit]]&gt;=1000,"Excellent",IF(Table1[[#This Row],[Profit]]&gt;=500,"Good", IF(Table1[[#This Row],[Profit]]&lt;500,"Low")))</f>
        <v>Low</v>
      </c>
      <c r="N1695" s="7" t="str">
        <f>TEXT(Table1[[#This Row],[Order_Date]],"YYY")</f>
        <v>2026</v>
      </c>
    </row>
    <row r="1696" spans="1:14" x14ac:dyDescent="0.3">
      <c r="A1696" s="4">
        <v>46029</v>
      </c>
      <c r="B1696" s="5" t="s">
        <v>0</v>
      </c>
      <c r="C1696" s="5" t="s">
        <v>31</v>
      </c>
      <c r="D1696" s="23">
        <v>207.64</v>
      </c>
      <c r="E1696" s="23">
        <v>69.91</v>
      </c>
      <c r="F1696" s="23">
        <v>137.72999999999999</v>
      </c>
      <c r="G1696" s="5" t="s">
        <v>20</v>
      </c>
      <c r="H1696" s="5" t="s">
        <v>36</v>
      </c>
      <c r="I1696" s="5" t="s">
        <v>11</v>
      </c>
      <c r="J1696" s="6">
        <f>Table1[[#This Row],[Profit]]/Table1[[#This Row],[Sales]]</f>
        <v>0.66331150067424383</v>
      </c>
      <c r="K1696" s="5" t="str">
        <f t="shared" si="26"/>
        <v>Low</v>
      </c>
      <c r="L1696" s="5" t="str">
        <f>TEXT(Table1[[#This Row],[Order_Date]],"MMM")</f>
        <v>Jan</v>
      </c>
      <c r="M1696" s="5" t="str">
        <f>IF(Table1[[#This Row],[Profit]]&gt;=1000,"Excellent",IF(Table1[[#This Row],[Profit]]&gt;=500,"Good", IF(Table1[[#This Row],[Profit]]&lt;500,"Low")))</f>
        <v>Low</v>
      </c>
      <c r="N1696" s="7" t="str">
        <f>TEXT(Table1[[#This Row],[Order_Date]],"YYY")</f>
        <v>2026</v>
      </c>
    </row>
    <row r="1697" spans="1:14" x14ac:dyDescent="0.3">
      <c r="A1697" s="4">
        <v>46030</v>
      </c>
      <c r="B1697" s="5" t="s">
        <v>0</v>
      </c>
      <c r="C1697" s="5" t="s">
        <v>5</v>
      </c>
      <c r="D1697" s="23">
        <v>798.02</v>
      </c>
      <c r="E1697" s="23">
        <v>299.5</v>
      </c>
      <c r="F1697" s="23">
        <v>498.52</v>
      </c>
      <c r="G1697" s="5" t="s">
        <v>2</v>
      </c>
      <c r="H1697" s="5" t="s">
        <v>24</v>
      </c>
      <c r="I1697" s="5" t="s">
        <v>11</v>
      </c>
      <c r="J1697" s="6">
        <f>Table1[[#This Row],[Profit]]/Table1[[#This Row],[Sales]]</f>
        <v>0.62469612290418786</v>
      </c>
      <c r="K1697" s="5" t="str">
        <f t="shared" si="26"/>
        <v>Low</v>
      </c>
      <c r="L1697" s="5" t="str">
        <f>TEXT(Table1[[#This Row],[Order_Date]],"MMM")</f>
        <v>Jan</v>
      </c>
      <c r="M1697" s="5" t="str">
        <f>IF(Table1[[#This Row],[Profit]]&gt;=1000,"Excellent",IF(Table1[[#This Row],[Profit]]&gt;=500,"Good", IF(Table1[[#This Row],[Profit]]&lt;500,"Low")))</f>
        <v>Low</v>
      </c>
      <c r="N1697" s="7" t="str">
        <f>TEXT(Table1[[#This Row],[Order_Date]],"YYY")</f>
        <v>2026</v>
      </c>
    </row>
    <row r="1698" spans="1:14" x14ac:dyDescent="0.3">
      <c r="A1698" s="4">
        <v>46031</v>
      </c>
      <c r="B1698" s="5" t="s">
        <v>8</v>
      </c>
      <c r="C1698" s="5" t="s">
        <v>23</v>
      </c>
      <c r="D1698" s="23">
        <v>463.66</v>
      </c>
      <c r="E1698" s="23">
        <v>199.59</v>
      </c>
      <c r="F1698" s="23">
        <v>264.07</v>
      </c>
      <c r="G1698" s="5" t="s">
        <v>2</v>
      </c>
      <c r="H1698" s="5" t="s">
        <v>33</v>
      </c>
      <c r="I1698" s="5" t="s">
        <v>11</v>
      </c>
      <c r="J1698" s="6">
        <f>Table1[[#This Row],[Profit]]/Table1[[#This Row],[Sales]]</f>
        <v>0.5695337100461545</v>
      </c>
      <c r="K1698" s="5" t="str">
        <f t="shared" si="26"/>
        <v>Low</v>
      </c>
      <c r="L1698" s="5" t="str">
        <f>TEXT(Table1[[#This Row],[Order_Date]],"MMM")</f>
        <v>Jan</v>
      </c>
      <c r="M1698" s="5" t="str">
        <f>IF(Table1[[#This Row],[Profit]]&gt;=1000,"Excellent",IF(Table1[[#This Row],[Profit]]&gt;=500,"Good", IF(Table1[[#This Row],[Profit]]&lt;500,"Low")))</f>
        <v>Low</v>
      </c>
      <c r="N1698" s="7" t="str">
        <f>TEXT(Table1[[#This Row],[Order_Date]],"YYY")</f>
        <v>2026</v>
      </c>
    </row>
    <row r="1699" spans="1:14" x14ac:dyDescent="0.3">
      <c r="A1699" s="4">
        <v>46031</v>
      </c>
      <c r="B1699" s="5" t="s">
        <v>0</v>
      </c>
      <c r="C1699" s="5" t="s">
        <v>5</v>
      </c>
      <c r="D1699" s="23">
        <v>2366.19</v>
      </c>
      <c r="E1699" s="23">
        <v>981.34</v>
      </c>
      <c r="F1699" s="23">
        <v>1384.85</v>
      </c>
      <c r="G1699" s="5" t="s">
        <v>2</v>
      </c>
      <c r="H1699" s="5" t="s">
        <v>21</v>
      </c>
      <c r="I1699" s="5" t="s">
        <v>25</v>
      </c>
      <c r="J1699" s="6">
        <f>Table1[[#This Row],[Profit]]/Table1[[#This Row],[Sales]]</f>
        <v>0.58526576479488113</v>
      </c>
      <c r="K1699" s="5" t="str">
        <f t="shared" si="26"/>
        <v>High</v>
      </c>
      <c r="L1699" s="5" t="str">
        <f>TEXT(Table1[[#This Row],[Order_Date]],"MMM")</f>
        <v>Jan</v>
      </c>
      <c r="M1699" s="5" t="str">
        <f>IF(Table1[[#This Row],[Profit]]&gt;=1000,"Excellent",IF(Table1[[#This Row],[Profit]]&gt;=500,"Good", IF(Table1[[#This Row],[Profit]]&lt;500,"Low")))</f>
        <v>Excellent</v>
      </c>
      <c r="N1699" s="7" t="str">
        <f>TEXT(Table1[[#This Row],[Order_Date]],"YYY")</f>
        <v>2026</v>
      </c>
    </row>
    <row r="1700" spans="1:14" x14ac:dyDescent="0.3">
      <c r="A1700" s="4">
        <v>46032</v>
      </c>
      <c r="B1700" s="5" t="s">
        <v>18</v>
      </c>
      <c r="C1700" s="5" t="s">
        <v>14</v>
      </c>
      <c r="D1700" s="23">
        <v>50.49</v>
      </c>
      <c r="E1700" s="23">
        <v>15.6</v>
      </c>
      <c r="F1700" s="23">
        <v>34.89</v>
      </c>
      <c r="G1700" s="5" t="s">
        <v>20</v>
      </c>
      <c r="H1700" s="5" t="s">
        <v>37</v>
      </c>
      <c r="I1700" s="5" t="s">
        <v>11</v>
      </c>
      <c r="J1700" s="6">
        <f>Table1[[#This Row],[Profit]]/Table1[[#This Row],[Sales]]</f>
        <v>0.69102792632204391</v>
      </c>
      <c r="K1700" s="5" t="str">
        <f t="shared" si="26"/>
        <v>Low</v>
      </c>
      <c r="L1700" s="5" t="str">
        <f>TEXT(Table1[[#This Row],[Order_Date]],"MMM")</f>
        <v>Jan</v>
      </c>
      <c r="M1700" s="5" t="str">
        <f>IF(Table1[[#This Row],[Profit]]&gt;=1000,"Excellent",IF(Table1[[#This Row],[Profit]]&gt;=500,"Good", IF(Table1[[#This Row],[Profit]]&lt;500,"Low")))</f>
        <v>Low</v>
      </c>
      <c r="N1700" s="7" t="str">
        <f>TEXT(Table1[[#This Row],[Order_Date]],"YYY")</f>
        <v>2026</v>
      </c>
    </row>
    <row r="1701" spans="1:14" x14ac:dyDescent="0.3">
      <c r="A1701" s="4">
        <v>46032</v>
      </c>
      <c r="B1701" s="5" t="s">
        <v>8</v>
      </c>
      <c r="C1701" s="5" t="s">
        <v>14</v>
      </c>
      <c r="D1701" s="23">
        <v>45.73</v>
      </c>
      <c r="E1701" s="23">
        <v>20.36</v>
      </c>
      <c r="F1701" s="23">
        <v>25.37</v>
      </c>
      <c r="G1701" s="5" t="s">
        <v>20</v>
      </c>
      <c r="H1701" s="5" t="s">
        <v>36</v>
      </c>
      <c r="I1701" s="5" t="s">
        <v>25</v>
      </c>
      <c r="J1701" s="6">
        <f>Table1[[#This Row],[Profit]]/Table1[[#This Row],[Sales]]</f>
        <v>0.55477804504701511</v>
      </c>
      <c r="K1701" s="5" t="str">
        <f t="shared" si="26"/>
        <v>Low</v>
      </c>
      <c r="L1701" s="5" t="str">
        <f>TEXT(Table1[[#This Row],[Order_Date]],"MMM")</f>
        <v>Jan</v>
      </c>
      <c r="M1701" s="5" t="str">
        <f>IF(Table1[[#This Row],[Profit]]&gt;=1000,"Excellent",IF(Table1[[#This Row],[Profit]]&gt;=500,"Good", IF(Table1[[#This Row],[Profit]]&lt;500,"Low")))</f>
        <v>Low</v>
      </c>
      <c r="N1701" s="7" t="str">
        <f>TEXT(Table1[[#This Row],[Order_Date]],"YYY")</f>
        <v>2026</v>
      </c>
    </row>
    <row r="1702" spans="1:14" x14ac:dyDescent="0.3">
      <c r="A1702" s="4">
        <v>46033</v>
      </c>
      <c r="B1702" s="5" t="s">
        <v>16</v>
      </c>
      <c r="C1702" s="5" t="s">
        <v>1</v>
      </c>
      <c r="D1702" s="23">
        <v>971.18</v>
      </c>
      <c r="E1702" s="23">
        <v>528.20000000000005</v>
      </c>
      <c r="F1702" s="23">
        <v>442.98</v>
      </c>
      <c r="G1702" s="5" t="s">
        <v>6</v>
      </c>
      <c r="H1702" s="5" t="s">
        <v>37</v>
      </c>
      <c r="I1702" s="5" t="s">
        <v>17</v>
      </c>
      <c r="J1702" s="6">
        <f>Table1[[#This Row],[Profit]]/Table1[[#This Row],[Sales]]</f>
        <v>0.45612553800531319</v>
      </c>
      <c r="K1702" s="5" t="str">
        <f t="shared" si="26"/>
        <v>Low</v>
      </c>
      <c r="L1702" s="5" t="str">
        <f>TEXT(Table1[[#This Row],[Order_Date]],"MMM")</f>
        <v>Jan</v>
      </c>
      <c r="M1702" s="5" t="str">
        <f>IF(Table1[[#This Row],[Profit]]&gt;=1000,"Excellent",IF(Table1[[#This Row],[Profit]]&gt;=500,"Good", IF(Table1[[#This Row],[Profit]]&lt;500,"Low")))</f>
        <v>Low</v>
      </c>
      <c r="N1702" s="7" t="str">
        <f>TEXT(Table1[[#This Row],[Order_Date]],"YYY")</f>
        <v>2026</v>
      </c>
    </row>
    <row r="1703" spans="1:14" x14ac:dyDescent="0.3">
      <c r="A1703" s="4">
        <v>46033</v>
      </c>
      <c r="B1703" s="5" t="s">
        <v>0</v>
      </c>
      <c r="C1703" s="5" t="s">
        <v>19</v>
      </c>
      <c r="D1703" s="23">
        <v>39.68</v>
      </c>
      <c r="E1703" s="23">
        <v>9.0399999999999991</v>
      </c>
      <c r="F1703" s="23">
        <v>30.64</v>
      </c>
      <c r="G1703" s="5" t="s">
        <v>2</v>
      </c>
      <c r="H1703" s="5" t="s">
        <v>10</v>
      </c>
      <c r="I1703" s="5" t="s">
        <v>22</v>
      </c>
      <c r="J1703" s="6">
        <f>Table1[[#This Row],[Profit]]/Table1[[#This Row],[Sales]]</f>
        <v>0.77217741935483875</v>
      </c>
      <c r="K1703" s="5" t="str">
        <f t="shared" si="26"/>
        <v>Low</v>
      </c>
      <c r="L1703" s="5" t="str">
        <f>TEXT(Table1[[#This Row],[Order_Date]],"MMM")</f>
        <v>Jan</v>
      </c>
      <c r="M1703" s="5" t="str">
        <f>IF(Table1[[#This Row],[Profit]]&gt;=1000,"Excellent",IF(Table1[[#This Row],[Profit]]&gt;=500,"Good", IF(Table1[[#This Row],[Profit]]&lt;500,"Low")))</f>
        <v>Low</v>
      </c>
      <c r="N1703" s="7" t="str">
        <f>TEXT(Table1[[#This Row],[Order_Date]],"YYY")</f>
        <v>2026</v>
      </c>
    </row>
    <row r="1704" spans="1:14" x14ac:dyDescent="0.3">
      <c r="A1704" s="4">
        <v>46035</v>
      </c>
      <c r="B1704" s="5" t="s">
        <v>13</v>
      </c>
      <c r="C1704" s="5" t="s">
        <v>5</v>
      </c>
      <c r="D1704" s="23">
        <v>2169.2800000000002</v>
      </c>
      <c r="E1704" s="23">
        <v>1046.9000000000001</v>
      </c>
      <c r="F1704" s="23">
        <v>1122.3800000000001</v>
      </c>
      <c r="G1704" s="5" t="s">
        <v>32</v>
      </c>
      <c r="H1704" s="5" t="s">
        <v>36</v>
      </c>
      <c r="I1704" s="5" t="s">
        <v>22</v>
      </c>
      <c r="J1704" s="6">
        <f>Table1[[#This Row],[Profit]]/Table1[[#This Row],[Sales]]</f>
        <v>0.51739747750405662</v>
      </c>
      <c r="K1704" s="5" t="str">
        <f t="shared" si="26"/>
        <v>High</v>
      </c>
      <c r="L1704" s="5" t="str">
        <f>TEXT(Table1[[#This Row],[Order_Date]],"MMM")</f>
        <v>Jan</v>
      </c>
      <c r="M1704" s="5" t="str">
        <f>IF(Table1[[#This Row],[Profit]]&gt;=1000,"Excellent",IF(Table1[[#This Row],[Profit]]&gt;=500,"Good", IF(Table1[[#This Row],[Profit]]&lt;500,"Low")))</f>
        <v>Excellent</v>
      </c>
      <c r="N1704" s="7" t="str">
        <f>TEXT(Table1[[#This Row],[Order_Date]],"YYY")</f>
        <v>2026</v>
      </c>
    </row>
    <row r="1705" spans="1:14" x14ac:dyDescent="0.3">
      <c r="A1705" s="4">
        <v>46035</v>
      </c>
      <c r="B1705" s="5" t="s">
        <v>18</v>
      </c>
      <c r="C1705" s="5" t="s">
        <v>5</v>
      </c>
      <c r="D1705" s="23">
        <v>1918.38</v>
      </c>
      <c r="E1705" s="23">
        <v>690.57</v>
      </c>
      <c r="F1705" s="23">
        <v>1227.81</v>
      </c>
      <c r="G1705" s="5" t="s">
        <v>9</v>
      </c>
      <c r="H1705" s="5" t="s">
        <v>33</v>
      </c>
      <c r="I1705" s="5" t="s">
        <v>4</v>
      </c>
      <c r="J1705" s="6">
        <f>Table1[[#This Row],[Profit]]/Table1[[#This Row],[Sales]]</f>
        <v>0.64002439558377378</v>
      </c>
      <c r="K1705" s="5" t="str">
        <f t="shared" si="26"/>
        <v>Medium</v>
      </c>
      <c r="L1705" s="5" t="str">
        <f>TEXT(Table1[[#This Row],[Order_Date]],"MMM")</f>
        <v>Jan</v>
      </c>
      <c r="M1705" s="5" t="str">
        <f>IF(Table1[[#This Row],[Profit]]&gt;=1000,"Excellent",IF(Table1[[#This Row],[Profit]]&gt;=500,"Good", IF(Table1[[#This Row],[Profit]]&lt;500,"Low")))</f>
        <v>Excellent</v>
      </c>
      <c r="N1705" s="7" t="str">
        <f>TEXT(Table1[[#This Row],[Order_Date]],"YYY")</f>
        <v>2026</v>
      </c>
    </row>
    <row r="1706" spans="1:14" x14ac:dyDescent="0.3">
      <c r="A1706" s="4">
        <v>46037</v>
      </c>
      <c r="B1706" s="5" t="s">
        <v>18</v>
      </c>
      <c r="C1706" s="5" t="s">
        <v>14</v>
      </c>
      <c r="D1706" s="23">
        <v>140.22999999999999</v>
      </c>
      <c r="E1706" s="23">
        <v>63.47</v>
      </c>
      <c r="F1706" s="23">
        <v>76.760000000000005</v>
      </c>
      <c r="G1706" s="5" t="s">
        <v>32</v>
      </c>
      <c r="H1706" s="5" t="s">
        <v>28</v>
      </c>
      <c r="I1706" s="5" t="s">
        <v>25</v>
      </c>
      <c r="J1706" s="6">
        <f>Table1[[#This Row],[Profit]]/Table1[[#This Row],[Sales]]</f>
        <v>0.54738643656849473</v>
      </c>
      <c r="K1706" s="5" t="str">
        <f t="shared" si="26"/>
        <v>Low</v>
      </c>
      <c r="L1706" s="5" t="str">
        <f>TEXT(Table1[[#This Row],[Order_Date]],"MMM")</f>
        <v>Jan</v>
      </c>
      <c r="M1706" s="5" t="str">
        <f>IF(Table1[[#This Row],[Profit]]&gt;=1000,"Excellent",IF(Table1[[#This Row],[Profit]]&gt;=500,"Good", IF(Table1[[#This Row],[Profit]]&lt;500,"Low")))</f>
        <v>Low</v>
      </c>
      <c r="N1706" s="7" t="str">
        <f>TEXT(Table1[[#This Row],[Order_Date]],"YYY")</f>
        <v>2026</v>
      </c>
    </row>
    <row r="1707" spans="1:14" x14ac:dyDescent="0.3">
      <c r="A1707" s="4">
        <v>46038</v>
      </c>
      <c r="B1707" s="5" t="s">
        <v>18</v>
      </c>
      <c r="C1707" s="5" t="s">
        <v>19</v>
      </c>
      <c r="D1707" s="23">
        <v>36.049999999999997</v>
      </c>
      <c r="E1707" s="23">
        <v>8.82</v>
      </c>
      <c r="F1707" s="23">
        <v>27.23</v>
      </c>
      <c r="G1707" s="5" t="s">
        <v>9</v>
      </c>
      <c r="H1707" s="5" t="s">
        <v>35</v>
      </c>
      <c r="I1707" s="5" t="s">
        <v>25</v>
      </c>
      <c r="J1707" s="6">
        <f>Table1[[#This Row],[Profit]]/Table1[[#This Row],[Sales]]</f>
        <v>0.75533980582524274</v>
      </c>
      <c r="K1707" s="5" t="str">
        <f t="shared" si="26"/>
        <v>Low</v>
      </c>
      <c r="L1707" s="5" t="str">
        <f>TEXT(Table1[[#This Row],[Order_Date]],"MMM")</f>
        <v>Jan</v>
      </c>
      <c r="M1707" s="5" t="str">
        <f>IF(Table1[[#This Row],[Profit]]&gt;=1000,"Excellent",IF(Table1[[#This Row],[Profit]]&gt;=500,"Good", IF(Table1[[#This Row],[Profit]]&lt;500,"Low")))</f>
        <v>Low</v>
      </c>
      <c r="N1707" s="7" t="str">
        <f>TEXT(Table1[[#This Row],[Order_Date]],"YYY")</f>
        <v>2026</v>
      </c>
    </row>
    <row r="1708" spans="1:14" x14ac:dyDescent="0.3">
      <c r="A1708" s="4">
        <v>46038</v>
      </c>
      <c r="B1708" s="5" t="s">
        <v>18</v>
      </c>
      <c r="C1708" s="5" t="s">
        <v>26</v>
      </c>
      <c r="D1708" s="23">
        <v>313.7</v>
      </c>
      <c r="E1708" s="23">
        <v>104.47</v>
      </c>
      <c r="F1708" s="23">
        <v>209.23</v>
      </c>
      <c r="G1708" s="5" t="s">
        <v>20</v>
      </c>
      <c r="H1708" s="5" t="s">
        <v>15</v>
      </c>
      <c r="I1708" s="5" t="s">
        <v>4</v>
      </c>
      <c r="J1708" s="6">
        <f>Table1[[#This Row],[Profit]]/Table1[[#This Row],[Sales]]</f>
        <v>0.66697481670385717</v>
      </c>
      <c r="K1708" s="5" t="str">
        <f t="shared" si="26"/>
        <v>Low</v>
      </c>
      <c r="L1708" s="5" t="str">
        <f>TEXT(Table1[[#This Row],[Order_Date]],"MMM")</f>
        <v>Jan</v>
      </c>
      <c r="M1708" s="5" t="str">
        <f>IF(Table1[[#This Row],[Profit]]&gt;=1000,"Excellent",IF(Table1[[#This Row],[Profit]]&gt;=500,"Good", IF(Table1[[#This Row],[Profit]]&lt;500,"Low")))</f>
        <v>Low</v>
      </c>
      <c r="N1708" s="7" t="str">
        <f>TEXT(Table1[[#This Row],[Order_Date]],"YYY")</f>
        <v>2026</v>
      </c>
    </row>
    <row r="1709" spans="1:14" x14ac:dyDescent="0.3">
      <c r="A1709" s="4">
        <v>46039</v>
      </c>
      <c r="B1709" s="5" t="s">
        <v>8</v>
      </c>
      <c r="C1709" s="5" t="s">
        <v>1</v>
      </c>
      <c r="D1709" s="23">
        <v>775.95</v>
      </c>
      <c r="E1709" s="23">
        <v>508.29</v>
      </c>
      <c r="F1709" s="23">
        <v>267.66000000000003</v>
      </c>
      <c r="G1709" s="5" t="s">
        <v>20</v>
      </c>
      <c r="H1709" s="5" t="s">
        <v>10</v>
      </c>
      <c r="I1709" s="5" t="s">
        <v>11</v>
      </c>
      <c r="J1709" s="6">
        <f>Table1[[#This Row],[Profit]]/Table1[[#This Row],[Sales]]</f>
        <v>0.34494490624395902</v>
      </c>
      <c r="K1709" s="5" t="str">
        <f t="shared" si="26"/>
        <v>Low</v>
      </c>
      <c r="L1709" s="5" t="str">
        <f>TEXT(Table1[[#This Row],[Order_Date]],"MMM")</f>
        <v>Jan</v>
      </c>
      <c r="M1709" s="5" t="str">
        <f>IF(Table1[[#This Row],[Profit]]&gt;=1000,"Excellent",IF(Table1[[#This Row],[Profit]]&gt;=500,"Good", IF(Table1[[#This Row],[Profit]]&lt;500,"Low")))</f>
        <v>Low</v>
      </c>
      <c r="N1709" s="7" t="str">
        <f>TEXT(Table1[[#This Row],[Order_Date]],"YYY")</f>
        <v>2026</v>
      </c>
    </row>
    <row r="1710" spans="1:14" x14ac:dyDescent="0.3">
      <c r="A1710" s="4">
        <v>46039</v>
      </c>
      <c r="B1710" s="5" t="s">
        <v>13</v>
      </c>
      <c r="C1710" s="5" t="s">
        <v>19</v>
      </c>
      <c r="D1710" s="23">
        <v>106.09</v>
      </c>
      <c r="E1710" s="23">
        <v>40.31</v>
      </c>
      <c r="F1710" s="23">
        <v>65.78</v>
      </c>
      <c r="G1710" s="5" t="s">
        <v>9</v>
      </c>
      <c r="H1710" s="5" t="s">
        <v>3</v>
      </c>
      <c r="I1710" s="5" t="s">
        <v>4</v>
      </c>
      <c r="J1710" s="6">
        <f>Table1[[#This Row],[Profit]]/Table1[[#This Row],[Sales]]</f>
        <v>0.62003958902818357</v>
      </c>
      <c r="K1710" s="5" t="str">
        <f t="shared" si="26"/>
        <v>Low</v>
      </c>
      <c r="L1710" s="5" t="str">
        <f>TEXT(Table1[[#This Row],[Order_Date]],"MMM")</f>
        <v>Jan</v>
      </c>
      <c r="M1710" s="5" t="str">
        <f>IF(Table1[[#This Row],[Profit]]&gt;=1000,"Excellent",IF(Table1[[#This Row],[Profit]]&gt;=500,"Good", IF(Table1[[#This Row],[Profit]]&lt;500,"Low")))</f>
        <v>Low</v>
      </c>
      <c r="N1710" s="7" t="str">
        <f>TEXT(Table1[[#This Row],[Order_Date]],"YYY")</f>
        <v>2026</v>
      </c>
    </row>
    <row r="1711" spans="1:14" x14ac:dyDescent="0.3">
      <c r="A1711" s="4">
        <v>46041</v>
      </c>
      <c r="B1711" s="5" t="s">
        <v>13</v>
      </c>
      <c r="C1711" s="5" t="s">
        <v>31</v>
      </c>
      <c r="D1711" s="23">
        <v>202.06</v>
      </c>
      <c r="E1711" s="23">
        <v>67.83</v>
      </c>
      <c r="F1711" s="23">
        <v>134.22999999999999</v>
      </c>
      <c r="G1711" s="5" t="s">
        <v>9</v>
      </c>
      <c r="H1711" s="5" t="s">
        <v>29</v>
      </c>
      <c r="I1711" s="5" t="s">
        <v>4</v>
      </c>
      <c r="J1711" s="6">
        <f>Table1[[#This Row],[Profit]]/Table1[[#This Row],[Sales]]</f>
        <v>0.66430763139661486</v>
      </c>
      <c r="K1711" s="5" t="str">
        <f t="shared" si="26"/>
        <v>Low</v>
      </c>
      <c r="L1711" s="5" t="str">
        <f>TEXT(Table1[[#This Row],[Order_Date]],"MMM")</f>
        <v>Jan</v>
      </c>
      <c r="M1711" s="5" t="str">
        <f>IF(Table1[[#This Row],[Profit]]&gt;=1000,"Excellent",IF(Table1[[#This Row],[Profit]]&gt;=500,"Good", IF(Table1[[#This Row],[Profit]]&lt;500,"Low")))</f>
        <v>Low</v>
      </c>
      <c r="N1711" s="7" t="str">
        <f>TEXT(Table1[[#This Row],[Order_Date]],"YYY")</f>
        <v>2026</v>
      </c>
    </row>
    <row r="1712" spans="1:14" x14ac:dyDescent="0.3">
      <c r="A1712" s="4">
        <v>46042</v>
      </c>
      <c r="B1712" s="5" t="s">
        <v>18</v>
      </c>
      <c r="C1712" s="5" t="s">
        <v>14</v>
      </c>
      <c r="D1712" s="23">
        <v>297.25</v>
      </c>
      <c r="E1712" s="23">
        <v>140.26</v>
      </c>
      <c r="F1712" s="23">
        <v>156.99</v>
      </c>
      <c r="G1712" s="5" t="s">
        <v>6</v>
      </c>
      <c r="H1712" s="5" t="s">
        <v>7</v>
      </c>
      <c r="I1712" s="5" t="s">
        <v>27</v>
      </c>
      <c r="J1712" s="6">
        <f>Table1[[#This Row],[Profit]]/Table1[[#This Row],[Sales]]</f>
        <v>0.52814129520605557</v>
      </c>
      <c r="K1712" s="5" t="str">
        <f t="shared" si="26"/>
        <v>Low</v>
      </c>
      <c r="L1712" s="5" t="str">
        <f>TEXT(Table1[[#This Row],[Order_Date]],"MMM")</f>
        <v>Jan</v>
      </c>
      <c r="M1712" s="5" t="str">
        <f>IF(Table1[[#This Row],[Profit]]&gt;=1000,"Excellent",IF(Table1[[#This Row],[Profit]]&gt;=500,"Good", IF(Table1[[#This Row],[Profit]]&lt;500,"Low")))</f>
        <v>Low</v>
      </c>
      <c r="N1712" s="7" t="str">
        <f>TEXT(Table1[[#This Row],[Order_Date]],"YYY")</f>
        <v>2026</v>
      </c>
    </row>
    <row r="1713" spans="1:14" x14ac:dyDescent="0.3">
      <c r="A1713" s="4">
        <v>46042</v>
      </c>
      <c r="B1713" s="5" t="s">
        <v>8</v>
      </c>
      <c r="C1713" s="5" t="s">
        <v>26</v>
      </c>
      <c r="D1713" s="23">
        <v>927.44</v>
      </c>
      <c r="E1713" s="23">
        <v>245.8</v>
      </c>
      <c r="F1713" s="23">
        <v>681.64</v>
      </c>
      <c r="G1713" s="5" t="s">
        <v>9</v>
      </c>
      <c r="H1713" s="5" t="s">
        <v>37</v>
      </c>
      <c r="I1713" s="5" t="s">
        <v>25</v>
      </c>
      <c r="J1713" s="6">
        <f>Table1[[#This Row],[Profit]]/Table1[[#This Row],[Sales]]</f>
        <v>0.73496937807297502</v>
      </c>
      <c r="K1713" s="5" t="str">
        <f t="shared" si="26"/>
        <v>Low</v>
      </c>
      <c r="L1713" s="5" t="str">
        <f>TEXT(Table1[[#This Row],[Order_Date]],"MMM")</f>
        <v>Jan</v>
      </c>
      <c r="M1713" s="5" t="str">
        <f>IF(Table1[[#This Row],[Profit]]&gt;=1000,"Excellent",IF(Table1[[#This Row],[Profit]]&gt;=500,"Good", IF(Table1[[#This Row],[Profit]]&lt;500,"Low")))</f>
        <v>Good</v>
      </c>
      <c r="N1713" s="7" t="str">
        <f>TEXT(Table1[[#This Row],[Order_Date]],"YYY")</f>
        <v>2026</v>
      </c>
    </row>
    <row r="1714" spans="1:14" x14ac:dyDescent="0.3">
      <c r="A1714" s="4">
        <v>46042</v>
      </c>
      <c r="B1714" s="5" t="s">
        <v>8</v>
      </c>
      <c r="C1714" s="5" t="s">
        <v>23</v>
      </c>
      <c r="D1714" s="23">
        <v>75.33</v>
      </c>
      <c r="E1714" s="23">
        <v>27.03</v>
      </c>
      <c r="F1714" s="23">
        <v>48.3</v>
      </c>
      <c r="G1714" s="5" t="s">
        <v>2</v>
      </c>
      <c r="H1714" s="5" t="s">
        <v>36</v>
      </c>
      <c r="I1714" s="5" t="s">
        <v>11</v>
      </c>
      <c r="J1714" s="6">
        <f>Table1[[#This Row],[Profit]]/Table1[[#This Row],[Sales]]</f>
        <v>0.64117881322182391</v>
      </c>
      <c r="K1714" s="5" t="str">
        <f t="shared" si="26"/>
        <v>Low</v>
      </c>
      <c r="L1714" s="5" t="str">
        <f>TEXT(Table1[[#This Row],[Order_Date]],"MMM")</f>
        <v>Jan</v>
      </c>
      <c r="M1714" s="5" t="str">
        <f>IF(Table1[[#This Row],[Profit]]&gt;=1000,"Excellent",IF(Table1[[#This Row],[Profit]]&gt;=500,"Good", IF(Table1[[#This Row],[Profit]]&lt;500,"Low")))</f>
        <v>Low</v>
      </c>
      <c r="N1714" s="7" t="str">
        <f>TEXT(Table1[[#This Row],[Order_Date]],"YYY")</f>
        <v>2026</v>
      </c>
    </row>
    <row r="1715" spans="1:14" x14ac:dyDescent="0.3">
      <c r="A1715" s="4">
        <v>46042</v>
      </c>
      <c r="B1715" s="5" t="s">
        <v>18</v>
      </c>
      <c r="C1715" s="5" t="s">
        <v>5</v>
      </c>
      <c r="D1715" s="23">
        <v>1152.6099999999999</v>
      </c>
      <c r="E1715" s="23">
        <v>459.05</v>
      </c>
      <c r="F1715" s="23">
        <v>693.56</v>
      </c>
      <c r="G1715" s="5" t="s">
        <v>20</v>
      </c>
      <c r="H1715" s="5" t="s">
        <v>12</v>
      </c>
      <c r="I1715" s="5" t="s">
        <v>25</v>
      </c>
      <c r="J1715" s="6">
        <f>Table1[[#This Row],[Profit]]/Table1[[#This Row],[Sales]]</f>
        <v>0.60172998672577893</v>
      </c>
      <c r="K1715" s="5" t="str">
        <f t="shared" si="26"/>
        <v>Low</v>
      </c>
      <c r="L1715" s="5" t="str">
        <f>TEXT(Table1[[#This Row],[Order_Date]],"MMM")</f>
        <v>Jan</v>
      </c>
      <c r="M1715" s="5" t="str">
        <f>IF(Table1[[#This Row],[Profit]]&gt;=1000,"Excellent",IF(Table1[[#This Row],[Profit]]&gt;=500,"Good", IF(Table1[[#This Row],[Profit]]&lt;500,"Low")))</f>
        <v>Good</v>
      </c>
      <c r="N1715" s="7" t="str">
        <f>TEXT(Table1[[#This Row],[Order_Date]],"YYY")</f>
        <v>2026</v>
      </c>
    </row>
    <row r="1716" spans="1:14" x14ac:dyDescent="0.3">
      <c r="A1716" s="4">
        <v>46043</v>
      </c>
      <c r="B1716" s="5" t="s">
        <v>8</v>
      </c>
      <c r="C1716" s="5" t="s">
        <v>23</v>
      </c>
      <c r="D1716" s="23">
        <v>585.08000000000004</v>
      </c>
      <c r="E1716" s="23">
        <v>243.75</v>
      </c>
      <c r="F1716" s="23">
        <v>341.33</v>
      </c>
      <c r="G1716" s="5" t="s">
        <v>9</v>
      </c>
      <c r="H1716" s="5" t="s">
        <v>10</v>
      </c>
      <c r="I1716" s="5" t="s">
        <v>25</v>
      </c>
      <c r="J1716" s="6">
        <f>Table1[[#This Row],[Profit]]/Table1[[#This Row],[Sales]]</f>
        <v>0.58339030559923422</v>
      </c>
      <c r="K1716" s="5" t="str">
        <f t="shared" si="26"/>
        <v>Low</v>
      </c>
      <c r="L1716" s="5" t="str">
        <f>TEXT(Table1[[#This Row],[Order_Date]],"MMM")</f>
        <v>Jan</v>
      </c>
      <c r="M1716" s="5" t="str">
        <f>IF(Table1[[#This Row],[Profit]]&gt;=1000,"Excellent",IF(Table1[[#This Row],[Profit]]&gt;=500,"Good", IF(Table1[[#This Row],[Profit]]&lt;500,"Low")))</f>
        <v>Low</v>
      </c>
      <c r="N1716" s="7" t="str">
        <f>TEXT(Table1[[#This Row],[Order_Date]],"YYY")</f>
        <v>2026</v>
      </c>
    </row>
    <row r="1717" spans="1:14" x14ac:dyDescent="0.3">
      <c r="A1717" s="4">
        <v>46044</v>
      </c>
      <c r="B1717" s="5" t="s">
        <v>8</v>
      </c>
      <c r="C1717" s="5" t="s">
        <v>31</v>
      </c>
      <c r="D1717" s="23">
        <v>216.38</v>
      </c>
      <c r="E1717" s="23">
        <v>50.7</v>
      </c>
      <c r="F1717" s="23">
        <v>165.68</v>
      </c>
      <c r="G1717" s="5" t="s">
        <v>32</v>
      </c>
      <c r="H1717" s="5" t="s">
        <v>30</v>
      </c>
      <c r="I1717" s="5" t="s">
        <v>25</v>
      </c>
      <c r="J1717" s="6">
        <f>Table1[[#This Row],[Profit]]/Table1[[#This Row],[Sales]]</f>
        <v>0.76568998983270176</v>
      </c>
      <c r="K1717" s="5" t="str">
        <f t="shared" si="26"/>
        <v>Low</v>
      </c>
      <c r="L1717" s="5" t="str">
        <f>TEXT(Table1[[#This Row],[Order_Date]],"MMM")</f>
        <v>Jan</v>
      </c>
      <c r="M1717" s="5" t="str">
        <f>IF(Table1[[#This Row],[Profit]]&gt;=1000,"Excellent",IF(Table1[[#This Row],[Profit]]&gt;=500,"Good", IF(Table1[[#This Row],[Profit]]&lt;500,"Low")))</f>
        <v>Low</v>
      </c>
      <c r="N1717" s="7" t="str">
        <f>TEXT(Table1[[#This Row],[Order_Date]],"YYY")</f>
        <v>2026</v>
      </c>
    </row>
    <row r="1718" spans="1:14" x14ac:dyDescent="0.3">
      <c r="A1718" s="4">
        <v>46044</v>
      </c>
      <c r="B1718" s="5" t="s">
        <v>16</v>
      </c>
      <c r="C1718" s="5" t="s">
        <v>1</v>
      </c>
      <c r="D1718" s="23">
        <v>1252.8</v>
      </c>
      <c r="E1718" s="23">
        <v>589.08000000000004</v>
      </c>
      <c r="F1718" s="23">
        <v>663.72</v>
      </c>
      <c r="G1718" s="5" t="s">
        <v>20</v>
      </c>
      <c r="H1718" s="5" t="s">
        <v>12</v>
      </c>
      <c r="I1718" s="5" t="s">
        <v>11</v>
      </c>
      <c r="J1718" s="6">
        <f>Table1[[#This Row],[Profit]]/Table1[[#This Row],[Sales]]</f>
        <v>0.5297892720306514</v>
      </c>
      <c r="K1718" s="5" t="str">
        <f t="shared" si="26"/>
        <v>Low</v>
      </c>
      <c r="L1718" s="5" t="str">
        <f>TEXT(Table1[[#This Row],[Order_Date]],"MMM")</f>
        <v>Jan</v>
      </c>
      <c r="M1718" s="5" t="str">
        <f>IF(Table1[[#This Row],[Profit]]&gt;=1000,"Excellent",IF(Table1[[#This Row],[Profit]]&gt;=500,"Good", IF(Table1[[#This Row],[Profit]]&lt;500,"Low")))</f>
        <v>Good</v>
      </c>
      <c r="N1718" s="7" t="str">
        <f>TEXT(Table1[[#This Row],[Order_Date]],"YYY")</f>
        <v>2026</v>
      </c>
    </row>
    <row r="1719" spans="1:14" x14ac:dyDescent="0.3">
      <c r="A1719" s="4">
        <v>46044</v>
      </c>
      <c r="B1719" s="5" t="s">
        <v>18</v>
      </c>
      <c r="C1719" s="5" t="s">
        <v>31</v>
      </c>
      <c r="D1719" s="23">
        <v>147.30000000000001</v>
      </c>
      <c r="E1719" s="23">
        <v>33.14</v>
      </c>
      <c r="F1719" s="23">
        <v>114.16</v>
      </c>
      <c r="G1719" s="5" t="s">
        <v>20</v>
      </c>
      <c r="H1719" s="5" t="s">
        <v>36</v>
      </c>
      <c r="I1719" s="5" t="s">
        <v>25</v>
      </c>
      <c r="J1719" s="6">
        <f>Table1[[#This Row],[Profit]]/Table1[[#This Row],[Sales]]</f>
        <v>0.77501697216564824</v>
      </c>
      <c r="K1719" s="5" t="str">
        <f t="shared" si="26"/>
        <v>Low</v>
      </c>
      <c r="L1719" s="5" t="str">
        <f>TEXT(Table1[[#This Row],[Order_Date]],"MMM")</f>
        <v>Jan</v>
      </c>
      <c r="M1719" s="5" t="str">
        <f>IF(Table1[[#This Row],[Profit]]&gt;=1000,"Excellent",IF(Table1[[#This Row],[Profit]]&gt;=500,"Good", IF(Table1[[#This Row],[Profit]]&lt;500,"Low")))</f>
        <v>Low</v>
      </c>
      <c r="N1719" s="7" t="str">
        <f>TEXT(Table1[[#This Row],[Order_Date]],"YYY")</f>
        <v>2026</v>
      </c>
    </row>
    <row r="1720" spans="1:14" x14ac:dyDescent="0.3">
      <c r="A1720" s="4">
        <v>46045</v>
      </c>
      <c r="B1720" s="5" t="s">
        <v>8</v>
      </c>
      <c r="C1720" s="5" t="s">
        <v>26</v>
      </c>
      <c r="D1720" s="23">
        <v>1179.6199999999999</v>
      </c>
      <c r="E1720" s="23">
        <v>454.37</v>
      </c>
      <c r="F1720" s="23">
        <v>725.25</v>
      </c>
      <c r="G1720" s="5" t="s">
        <v>20</v>
      </c>
      <c r="H1720" s="5" t="s">
        <v>7</v>
      </c>
      <c r="I1720" s="5" t="s">
        <v>27</v>
      </c>
      <c r="J1720" s="6">
        <f>Table1[[#This Row],[Profit]]/Table1[[#This Row],[Sales]]</f>
        <v>0.61481663586578739</v>
      </c>
      <c r="K1720" s="5" t="str">
        <f t="shared" si="26"/>
        <v>Low</v>
      </c>
      <c r="L1720" s="5" t="str">
        <f>TEXT(Table1[[#This Row],[Order_Date]],"MMM")</f>
        <v>Jan</v>
      </c>
      <c r="M1720" s="5" t="str">
        <f>IF(Table1[[#This Row],[Profit]]&gt;=1000,"Excellent",IF(Table1[[#This Row],[Profit]]&gt;=500,"Good", IF(Table1[[#This Row],[Profit]]&lt;500,"Low")))</f>
        <v>Good</v>
      </c>
      <c r="N1720" s="7" t="str">
        <f>TEXT(Table1[[#This Row],[Order_Date]],"YYY")</f>
        <v>2026</v>
      </c>
    </row>
    <row r="1721" spans="1:14" x14ac:dyDescent="0.3">
      <c r="A1721" s="4">
        <v>46045</v>
      </c>
      <c r="B1721" s="5" t="s">
        <v>0</v>
      </c>
      <c r="C1721" s="5" t="s">
        <v>14</v>
      </c>
      <c r="D1721" s="23">
        <v>161.91999999999999</v>
      </c>
      <c r="E1721" s="23">
        <v>70.53</v>
      </c>
      <c r="F1721" s="23">
        <v>91.39</v>
      </c>
      <c r="G1721" s="5" t="s">
        <v>9</v>
      </c>
      <c r="H1721" s="5" t="s">
        <v>7</v>
      </c>
      <c r="I1721" s="5" t="s">
        <v>27</v>
      </c>
      <c r="J1721" s="6">
        <f>Table1[[#This Row],[Profit]]/Table1[[#This Row],[Sales]]</f>
        <v>0.5644145256916997</v>
      </c>
      <c r="K1721" s="5" t="str">
        <f t="shared" si="26"/>
        <v>Low</v>
      </c>
      <c r="L1721" s="5" t="str">
        <f>TEXT(Table1[[#This Row],[Order_Date]],"MMM")</f>
        <v>Jan</v>
      </c>
      <c r="M1721" s="5" t="str">
        <f>IF(Table1[[#This Row],[Profit]]&gt;=1000,"Excellent",IF(Table1[[#This Row],[Profit]]&gt;=500,"Good", IF(Table1[[#This Row],[Profit]]&lt;500,"Low")))</f>
        <v>Low</v>
      </c>
      <c r="N1721" s="7" t="str">
        <f>TEXT(Table1[[#This Row],[Order_Date]],"YYY")</f>
        <v>2026</v>
      </c>
    </row>
    <row r="1722" spans="1:14" x14ac:dyDescent="0.3">
      <c r="A1722" s="4">
        <v>46045</v>
      </c>
      <c r="B1722" s="5" t="s">
        <v>16</v>
      </c>
      <c r="C1722" s="5" t="s">
        <v>14</v>
      </c>
      <c r="D1722" s="23">
        <v>63.51</v>
      </c>
      <c r="E1722" s="23">
        <v>21.33</v>
      </c>
      <c r="F1722" s="23">
        <v>42.18</v>
      </c>
      <c r="G1722" s="5" t="s">
        <v>32</v>
      </c>
      <c r="H1722" s="5" t="s">
        <v>15</v>
      </c>
      <c r="I1722" s="5" t="s">
        <v>17</v>
      </c>
      <c r="J1722" s="6">
        <f>Table1[[#This Row],[Profit]]/Table1[[#This Row],[Sales]]</f>
        <v>0.66414737836561177</v>
      </c>
      <c r="K1722" s="5" t="str">
        <f t="shared" si="26"/>
        <v>Low</v>
      </c>
      <c r="L1722" s="5" t="str">
        <f>TEXT(Table1[[#This Row],[Order_Date]],"MMM")</f>
        <v>Jan</v>
      </c>
      <c r="M1722" s="5" t="str">
        <f>IF(Table1[[#This Row],[Profit]]&gt;=1000,"Excellent",IF(Table1[[#This Row],[Profit]]&gt;=500,"Good", IF(Table1[[#This Row],[Profit]]&lt;500,"Low")))</f>
        <v>Low</v>
      </c>
      <c r="N1722" s="7" t="str">
        <f>TEXT(Table1[[#This Row],[Order_Date]],"YYY")</f>
        <v>2026</v>
      </c>
    </row>
    <row r="1723" spans="1:14" x14ac:dyDescent="0.3">
      <c r="A1723" s="4">
        <v>46046</v>
      </c>
      <c r="B1723" s="5" t="s">
        <v>18</v>
      </c>
      <c r="C1723" s="5" t="s">
        <v>1</v>
      </c>
      <c r="D1723" s="23">
        <v>884.72</v>
      </c>
      <c r="E1723" s="23">
        <v>460.42</v>
      </c>
      <c r="F1723" s="23">
        <v>424.3</v>
      </c>
      <c r="G1723" s="5" t="s">
        <v>2</v>
      </c>
      <c r="H1723" s="5" t="s">
        <v>29</v>
      </c>
      <c r="I1723" s="5" t="s">
        <v>17</v>
      </c>
      <c r="J1723" s="6">
        <f>Table1[[#This Row],[Profit]]/Table1[[#This Row],[Sales]]</f>
        <v>0.47958676191337374</v>
      </c>
      <c r="K1723" s="5" t="str">
        <f t="shared" si="26"/>
        <v>Low</v>
      </c>
      <c r="L1723" s="5" t="str">
        <f>TEXT(Table1[[#This Row],[Order_Date]],"MMM")</f>
        <v>Jan</v>
      </c>
      <c r="M1723" s="5" t="str">
        <f>IF(Table1[[#This Row],[Profit]]&gt;=1000,"Excellent",IF(Table1[[#This Row],[Profit]]&gt;=500,"Good", IF(Table1[[#This Row],[Profit]]&lt;500,"Low")))</f>
        <v>Low</v>
      </c>
      <c r="N1723" s="7" t="str">
        <f>TEXT(Table1[[#This Row],[Order_Date]],"YYY")</f>
        <v>2026</v>
      </c>
    </row>
    <row r="1724" spans="1:14" x14ac:dyDescent="0.3">
      <c r="A1724" s="4">
        <v>46047</v>
      </c>
      <c r="B1724" s="5" t="s">
        <v>0</v>
      </c>
      <c r="C1724" s="5" t="s">
        <v>19</v>
      </c>
      <c r="D1724" s="23">
        <v>46.09</v>
      </c>
      <c r="E1724" s="23">
        <v>12.82</v>
      </c>
      <c r="F1724" s="23">
        <v>33.270000000000003</v>
      </c>
      <c r="G1724" s="5" t="s">
        <v>32</v>
      </c>
      <c r="H1724" s="5" t="s">
        <v>3</v>
      </c>
      <c r="I1724" s="5" t="s">
        <v>27</v>
      </c>
      <c r="J1724" s="6">
        <f>Table1[[#This Row],[Profit]]/Table1[[#This Row],[Sales]]</f>
        <v>0.72184855717075291</v>
      </c>
      <c r="K1724" s="5" t="str">
        <f t="shared" si="26"/>
        <v>Low</v>
      </c>
      <c r="L1724" s="5" t="str">
        <f>TEXT(Table1[[#This Row],[Order_Date]],"MMM")</f>
        <v>Jan</v>
      </c>
      <c r="M1724" s="5" t="str">
        <f>IF(Table1[[#This Row],[Profit]]&gt;=1000,"Excellent",IF(Table1[[#This Row],[Profit]]&gt;=500,"Good", IF(Table1[[#This Row],[Profit]]&lt;500,"Low")))</f>
        <v>Low</v>
      </c>
      <c r="N1724" s="7" t="str">
        <f>TEXT(Table1[[#This Row],[Order_Date]],"YYY")</f>
        <v>2026</v>
      </c>
    </row>
    <row r="1725" spans="1:14" x14ac:dyDescent="0.3">
      <c r="A1725" s="4">
        <v>46049</v>
      </c>
      <c r="B1725" s="5" t="s">
        <v>8</v>
      </c>
      <c r="C1725" s="5" t="s">
        <v>1</v>
      </c>
      <c r="D1725" s="23">
        <v>259.02999999999997</v>
      </c>
      <c r="E1725" s="23">
        <v>124.92</v>
      </c>
      <c r="F1725" s="23">
        <v>134.11000000000001</v>
      </c>
      <c r="G1725" s="5" t="s">
        <v>9</v>
      </c>
      <c r="H1725" s="5" t="s">
        <v>30</v>
      </c>
      <c r="I1725" s="5" t="s">
        <v>17</v>
      </c>
      <c r="J1725" s="6">
        <f>Table1[[#This Row],[Profit]]/Table1[[#This Row],[Sales]]</f>
        <v>0.51773925800100384</v>
      </c>
      <c r="K1725" s="5" t="str">
        <f t="shared" si="26"/>
        <v>Low</v>
      </c>
      <c r="L1725" s="5" t="str">
        <f>TEXT(Table1[[#This Row],[Order_Date]],"MMM")</f>
        <v>Jan</v>
      </c>
      <c r="M1725" s="5" t="str">
        <f>IF(Table1[[#This Row],[Profit]]&gt;=1000,"Excellent",IF(Table1[[#This Row],[Profit]]&gt;=500,"Good", IF(Table1[[#This Row],[Profit]]&lt;500,"Low")))</f>
        <v>Low</v>
      </c>
      <c r="N1725" s="7" t="str">
        <f>TEXT(Table1[[#This Row],[Order_Date]],"YYY")</f>
        <v>2026</v>
      </c>
    </row>
    <row r="1726" spans="1:14" x14ac:dyDescent="0.3">
      <c r="A1726" s="4">
        <v>46049</v>
      </c>
      <c r="B1726" s="5" t="s">
        <v>8</v>
      </c>
      <c r="C1726" s="5" t="s">
        <v>5</v>
      </c>
      <c r="D1726" s="23">
        <v>581.61</v>
      </c>
      <c r="E1726" s="23">
        <v>225.22</v>
      </c>
      <c r="F1726" s="23">
        <v>356.39</v>
      </c>
      <c r="G1726" s="5" t="s">
        <v>6</v>
      </c>
      <c r="H1726" s="5" t="s">
        <v>33</v>
      </c>
      <c r="I1726" s="5" t="s">
        <v>4</v>
      </c>
      <c r="J1726" s="6">
        <f>Table1[[#This Row],[Profit]]/Table1[[#This Row],[Sales]]</f>
        <v>0.61276456732174478</v>
      </c>
      <c r="K1726" s="5" t="str">
        <f t="shared" si="26"/>
        <v>Low</v>
      </c>
      <c r="L1726" s="5" t="str">
        <f>TEXT(Table1[[#This Row],[Order_Date]],"MMM")</f>
        <v>Jan</v>
      </c>
      <c r="M1726" s="5" t="str">
        <f>IF(Table1[[#This Row],[Profit]]&gt;=1000,"Excellent",IF(Table1[[#This Row],[Profit]]&gt;=500,"Good", IF(Table1[[#This Row],[Profit]]&lt;500,"Low")))</f>
        <v>Low</v>
      </c>
      <c r="N1726" s="7" t="str">
        <f>TEXT(Table1[[#This Row],[Order_Date]],"YYY")</f>
        <v>2026</v>
      </c>
    </row>
    <row r="1727" spans="1:14" x14ac:dyDescent="0.3">
      <c r="A1727" s="4">
        <v>46050</v>
      </c>
      <c r="B1727" s="5" t="s">
        <v>16</v>
      </c>
      <c r="C1727" s="5" t="s">
        <v>19</v>
      </c>
      <c r="D1727" s="23">
        <v>24.52</v>
      </c>
      <c r="E1727" s="23">
        <v>8.2200000000000006</v>
      </c>
      <c r="F1727" s="23">
        <v>16.3</v>
      </c>
      <c r="G1727" s="5" t="s">
        <v>20</v>
      </c>
      <c r="H1727" s="5" t="s">
        <v>33</v>
      </c>
      <c r="I1727" s="5" t="s">
        <v>25</v>
      </c>
      <c r="J1727" s="6">
        <f>Table1[[#This Row],[Profit]]/Table1[[#This Row],[Sales]]</f>
        <v>0.66476345840130513</v>
      </c>
      <c r="K1727" s="5" t="str">
        <f t="shared" si="26"/>
        <v>Low</v>
      </c>
      <c r="L1727" s="5" t="str">
        <f>TEXT(Table1[[#This Row],[Order_Date]],"MMM")</f>
        <v>Jan</v>
      </c>
      <c r="M1727" s="5" t="str">
        <f>IF(Table1[[#This Row],[Profit]]&gt;=1000,"Excellent",IF(Table1[[#This Row],[Profit]]&gt;=500,"Good", IF(Table1[[#This Row],[Profit]]&lt;500,"Low")))</f>
        <v>Low</v>
      </c>
      <c r="N1727" s="7" t="str">
        <f>TEXT(Table1[[#This Row],[Order_Date]],"YYY")</f>
        <v>2026</v>
      </c>
    </row>
    <row r="1728" spans="1:14" x14ac:dyDescent="0.3">
      <c r="A1728" s="4">
        <v>46051</v>
      </c>
      <c r="B1728" s="5" t="s">
        <v>8</v>
      </c>
      <c r="C1728" s="5" t="s">
        <v>5</v>
      </c>
      <c r="D1728" s="23">
        <v>1709.68</v>
      </c>
      <c r="E1728" s="23">
        <v>687.47</v>
      </c>
      <c r="F1728" s="23">
        <v>1022.21</v>
      </c>
      <c r="G1728" s="5" t="s">
        <v>6</v>
      </c>
      <c r="H1728" s="5" t="s">
        <v>3</v>
      </c>
      <c r="I1728" s="5" t="s">
        <v>17</v>
      </c>
      <c r="J1728" s="6">
        <f>Table1[[#This Row],[Profit]]/Table1[[#This Row],[Sales]]</f>
        <v>0.59789551261054696</v>
      </c>
      <c r="K1728" s="5" t="str">
        <f t="shared" si="26"/>
        <v>Medium</v>
      </c>
      <c r="L1728" s="5" t="str">
        <f>TEXT(Table1[[#This Row],[Order_Date]],"MMM")</f>
        <v>Jan</v>
      </c>
      <c r="M1728" s="5" t="str">
        <f>IF(Table1[[#This Row],[Profit]]&gt;=1000,"Excellent",IF(Table1[[#This Row],[Profit]]&gt;=500,"Good", IF(Table1[[#This Row],[Profit]]&lt;500,"Low")))</f>
        <v>Excellent</v>
      </c>
      <c r="N1728" s="7" t="str">
        <f>TEXT(Table1[[#This Row],[Order_Date]],"YYY")</f>
        <v>2026</v>
      </c>
    </row>
    <row r="1729" spans="1:14" x14ac:dyDescent="0.3">
      <c r="A1729" s="4">
        <v>46051</v>
      </c>
      <c r="B1729" s="5" t="s">
        <v>0</v>
      </c>
      <c r="C1729" s="5" t="s">
        <v>5</v>
      </c>
      <c r="D1729" s="23">
        <v>2169.75</v>
      </c>
      <c r="E1729" s="23">
        <v>1006.61</v>
      </c>
      <c r="F1729" s="23">
        <v>1163.1400000000001</v>
      </c>
      <c r="G1729" s="5" t="s">
        <v>32</v>
      </c>
      <c r="H1729" s="5" t="s">
        <v>29</v>
      </c>
      <c r="I1729" s="5" t="s">
        <v>27</v>
      </c>
      <c r="J1729" s="6">
        <f>Table1[[#This Row],[Profit]]/Table1[[#This Row],[Sales]]</f>
        <v>0.53607097591888475</v>
      </c>
      <c r="K1729" s="5" t="str">
        <f t="shared" si="26"/>
        <v>High</v>
      </c>
      <c r="L1729" s="5" t="str">
        <f>TEXT(Table1[[#This Row],[Order_Date]],"MMM")</f>
        <v>Jan</v>
      </c>
      <c r="M1729" s="5" t="str">
        <f>IF(Table1[[#This Row],[Profit]]&gt;=1000,"Excellent",IF(Table1[[#This Row],[Profit]]&gt;=500,"Good", IF(Table1[[#This Row],[Profit]]&lt;500,"Low")))</f>
        <v>Excellent</v>
      </c>
      <c r="N1729" s="7" t="str">
        <f>TEXT(Table1[[#This Row],[Order_Date]],"YYY")</f>
        <v>2026</v>
      </c>
    </row>
    <row r="1730" spans="1:14" x14ac:dyDescent="0.3">
      <c r="A1730" s="4">
        <v>46051</v>
      </c>
      <c r="B1730" s="5" t="s">
        <v>16</v>
      </c>
      <c r="C1730" s="5" t="s">
        <v>1</v>
      </c>
      <c r="D1730" s="23">
        <v>81.16</v>
      </c>
      <c r="E1730" s="23">
        <v>51.79</v>
      </c>
      <c r="F1730" s="23">
        <v>29.37</v>
      </c>
      <c r="G1730" s="5" t="s">
        <v>20</v>
      </c>
      <c r="H1730" s="5" t="s">
        <v>12</v>
      </c>
      <c r="I1730" s="5" t="s">
        <v>27</v>
      </c>
      <c r="J1730" s="6">
        <f>Table1[[#This Row],[Profit]]/Table1[[#This Row],[Sales]]</f>
        <v>0.36187777230162643</v>
      </c>
      <c r="K1730" s="5" t="str">
        <f t="shared" ref="K1730:K1793" si="27">IF(D1730&gt;=2000,"High",IF(D1730&gt;=1500,"Medium","Low"))</f>
        <v>Low</v>
      </c>
      <c r="L1730" s="5" t="str">
        <f>TEXT(Table1[[#This Row],[Order_Date]],"MMM")</f>
        <v>Jan</v>
      </c>
      <c r="M1730" s="5" t="str">
        <f>IF(Table1[[#This Row],[Profit]]&gt;=1000,"Excellent",IF(Table1[[#This Row],[Profit]]&gt;=500,"Good", IF(Table1[[#This Row],[Profit]]&lt;500,"Low")))</f>
        <v>Low</v>
      </c>
      <c r="N1730" s="7" t="str">
        <f>TEXT(Table1[[#This Row],[Order_Date]],"YYY")</f>
        <v>2026</v>
      </c>
    </row>
    <row r="1731" spans="1:14" x14ac:dyDescent="0.3">
      <c r="A1731" s="4">
        <v>46052</v>
      </c>
      <c r="B1731" s="5" t="s">
        <v>13</v>
      </c>
      <c r="C1731" s="5" t="s">
        <v>26</v>
      </c>
      <c r="D1731" s="23">
        <v>1180.8399999999999</v>
      </c>
      <c r="E1731" s="23">
        <v>446.89</v>
      </c>
      <c r="F1731" s="23">
        <v>733.95</v>
      </c>
      <c r="G1731" s="5" t="s">
        <v>20</v>
      </c>
      <c r="H1731" s="5" t="s">
        <v>34</v>
      </c>
      <c r="I1731" s="5" t="s">
        <v>27</v>
      </c>
      <c r="J1731" s="6">
        <f>Table1[[#This Row],[Profit]]/Table1[[#This Row],[Sales]]</f>
        <v>0.62154906676603106</v>
      </c>
      <c r="K1731" s="5" t="str">
        <f t="shared" si="27"/>
        <v>Low</v>
      </c>
      <c r="L1731" s="5" t="str">
        <f>TEXT(Table1[[#This Row],[Order_Date]],"MMM")</f>
        <v>Jan</v>
      </c>
      <c r="M1731" s="5" t="str">
        <f>IF(Table1[[#This Row],[Profit]]&gt;=1000,"Excellent",IF(Table1[[#This Row],[Profit]]&gt;=500,"Good", IF(Table1[[#This Row],[Profit]]&lt;500,"Low")))</f>
        <v>Good</v>
      </c>
      <c r="N1731" s="7" t="str">
        <f>TEXT(Table1[[#This Row],[Order_Date]],"YYY")</f>
        <v>2026</v>
      </c>
    </row>
    <row r="1732" spans="1:14" x14ac:dyDescent="0.3">
      <c r="A1732" s="4">
        <v>46053</v>
      </c>
      <c r="B1732" s="5" t="s">
        <v>0</v>
      </c>
      <c r="C1732" s="5" t="s">
        <v>14</v>
      </c>
      <c r="D1732" s="23">
        <v>348.43</v>
      </c>
      <c r="E1732" s="23">
        <v>181.74</v>
      </c>
      <c r="F1732" s="23">
        <v>166.69</v>
      </c>
      <c r="G1732" s="5" t="s">
        <v>2</v>
      </c>
      <c r="H1732" s="5" t="s">
        <v>12</v>
      </c>
      <c r="I1732" s="5" t="s">
        <v>4</v>
      </c>
      <c r="J1732" s="6">
        <f>Table1[[#This Row],[Profit]]/Table1[[#This Row],[Sales]]</f>
        <v>0.47840312257842321</v>
      </c>
      <c r="K1732" s="5" t="str">
        <f t="shared" si="27"/>
        <v>Low</v>
      </c>
      <c r="L1732" s="5" t="str">
        <f>TEXT(Table1[[#This Row],[Order_Date]],"MMM")</f>
        <v>Jan</v>
      </c>
      <c r="M1732" s="5" t="str">
        <f>IF(Table1[[#This Row],[Profit]]&gt;=1000,"Excellent",IF(Table1[[#This Row],[Profit]]&gt;=500,"Good", IF(Table1[[#This Row],[Profit]]&lt;500,"Low")))</f>
        <v>Low</v>
      </c>
      <c r="N1732" s="7" t="str">
        <f>TEXT(Table1[[#This Row],[Order_Date]],"YYY")</f>
        <v>2026</v>
      </c>
    </row>
    <row r="1733" spans="1:14" x14ac:dyDescent="0.3">
      <c r="A1733" s="4">
        <v>46054</v>
      </c>
      <c r="B1733" s="5" t="s">
        <v>0</v>
      </c>
      <c r="C1733" s="5" t="s">
        <v>1</v>
      </c>
      <c r="D1733" s="23">
        <v>924.71</v>
      </c>
      <c r="E1733" s="23">
        <v>418.5</v>
      </c>
      <c r="F1733" s="23">
        <v>506.21</v>
      </c>
      <c r="G1733" s="5" t="s">
        <v>9</v>
      </c>
      <c r="H1733" s="5" t="s">
        <v>29</v>
      </c>
      <c r="I1733" s="5" t="s">
        <v>4</v>
      </c>
      <c r="J1733" s="6">
        <f>Table1[[#This Row],[Profit]]/Table1[[#This Row],[Sales]]</f>
        <v>0.54742567940219089</v>
      </c>
      <c r="K1733" s="5" t="str">
        <f t="shared" si="27"/>
        <v>Low</v>
      </c>
      <c r="L1733" s="5" t="str">
        <f>TEXT(Table1[[#This Row],[Order_Date]],"MMM")</f>
        <v>Feb</v>
      </c>
      <c r="M1733" s="5" t="str">
        <f>IF(Table1[[#This Row],[Profit]]&gt;=1000,"Excellent",IF(Table1[[#This Row],[Profit]]&gt;=500,"Good", IF(Table1[[#This Row],[Profit]]&lt;500,"Low")))</f>
        <v>Good</v>
      </c>
      <c r="N1733" s="7" t="str">
        <f>TEXT(Table1[[#This Row],[Order_Date]],"YYY")</f>
        <v>2026</v>
      </c>
    </row>
    <row r="1734" spans="1:14" x14ac:dyDescent="0.3">
      <c r="A1734" s="4">
        <v>46055</v>
      </c>
      <c r="B1734" s="5" t="s">
        <v>0</v>
      </c>
      <c r="C1734" s="5" t="s">
        <v>14</v>
      </c>
      <c r="D1734" s="23">
        <v>86.93</v>
      </c>
      <c r="E1734" s="23">
        <v>36.47</v>
      </c>
      <c r="F1734" s="23">
        <v>50.46</v>
      </c>
      <c r="G1734" s="5" t="s">
        <v>6</v>
      </c>
      <c r="H1734" s="5" t="s">
        <v>3</v>
      </c>
      <c r="I1734" s="5" t="s">
        <v>4</v>
      </c>
      <c r="J1734" s="6">
        <f>Table1[[#This Row],[Profit]]/Table1[[#This Row],[Sales]]</f>
        <v>0.58046704244794656</v>
      </c>
      <c r="K1734" s="5" t="str">
        <f t="shared" si="27"/>
        <v>Low</v>
      </c>
      <c r="L1734" s="5" t="str">
        <f>TEXT(Table1[[#This Row],[Order_Date]],"MMM")</f>
        <v>Feb</v>
      </c>
      <c r="M1734" s="5" t="str">
        <f>IF(Table1[[#This Row],[Profit]]&gt;=1000,"Excellent",IF(Table1[[#This Row],[Profit]]&gt;=500,"Good", IF(Table1[[#This Row],[Profit]]&lt;500,"Low")))</f>
        <v>Low</v>
      </c>
      <c r="N1734" s="7" t="str">
        <f>TEXT(Table1[[#This Row],[Order_Date]],"YYY")</f>
        <v>2026</v>
      </c>
    </row>
    <row r="1735" spans="1:14" x14ac:dyDescent="0.3">
      <c r="A1735" s="4">
        <v>46056</v>
      </c>
      <c r="B1735" s="5" t="s">
        <v>13</v>
      </c>
      <c r="C1735" s="5" t="s">
        <v>26</v>
      </c>
      <c r="D1735" s="23">
        <v>608.54999999999995</v>
      </c>
      <c r="E1735" s="23">
        <v>260.95999999999998</v>
      </c>
      <c r="F1735" s="23">
        <v>347.59</v>
      </c>
      <c r="G1735" s="5" t="s">
        <v>2</v>
      </c>
      <c r="H1735" s="5" t="s">
        <v>3</v>
      </c>
      <c r="I1735" s="5" t="s">
        <v>17</v>
      </c>
      <c r="J1735" s="6">
        <f>Table1[[#This Row],[Profit]]/Table1[[#This Row],[Sales]]</f>
        <v>0.57117738887519509</v>
      </c>
      <c r="K1735" s="5" t="str">
        <f t="shared" si="27"/>
        <v>Low</v>
      </c>
      <c r="L1735" s="5" t="str">
        <f>TEXT(Table1[[#This Row],[Order_Date]],"MMM")</f>
        <v>Feb</v>
      </c>
      <c r="M1735" s="5" t="str">
        <f>IF(Table1[[#This Row],[Profit]]&gt;=1000,"Excellent",IF(Table1[[#This Row],[Profit]]&gt;=500,"Good", IF(Table1[[#This Row],[Profit]]&lt;500,"Low")))</f>
        <v>Low</v>
      </c>
      <c r="N1735" s="7" t="str">
        <f>TEXT(Table1[[#This Row],[Order_Date]],"YYY")</f>
        <v>2026</v>
      </c>
    </row>
    <row r="1736" spans="1:14" x14ac:dyDescent="0.3">
      <c r="A1736" s="4">
        <v>46056</v>
      </c>
      <c r="B1736" s="5" t="s">
        <v>13</v>
      </c>
      <c r="C1736" s="5" t="s">
        <v>1</v>
      </c>
      <c r="D1736" s="23">
        <v>62.21</v>
      </c>
      <c r="E1736" s="23">
        <v>33.06</v>
      </c>
      <c r="F1736" s="23">
        <v>29.15</v>
      </c>
      <c r="G1736" s="5" t="s">
        <v>2</v>
      </c>
      <c r="H1736" s="5" t="s">
        <v>3</v>
      </c>
      <c r="I1736" s="5" t="s">
        <v>25</v>
      </c>
      <c r="J1736" s="6">
        <f>Table1[[#This Row],[Profit]]/Table1[[#This Row],[Sales]]</f>
        <v>0.46857418421475644</v>
      </c>
      <c r="K1736" s="5" t="str">
        <f t="shared" si="27"/>
        <v>Low</v>
      </c>
      <c r="L1736" s="5" t="str">
        <f>TEXT(Table1[[#This Row],[Order_Date]],"MMM")</f>
        <v>Feb</v>
      </c>
      <c r="M1736" s="5" t="str">
        <f>IF(Table1[[#This Row],[Profit]]&gt;=1000,"Excellent",IF(Table1[[#This Row],[Profit]]&gt;=500,"Good", IF(Table1[[#This Row],[Profit]]&lt;500,"Low")))</f>
        <v>Low</v>
      </c>
      <c r="N1736" s="7" t="str">
        <f>TEXT(Table1[[#This Row],[Order_Date]],"YYY")</f>
        <v>2026</v>
      </c>
    </row>
    <row r="1737" spans="1:14" x14ac:dyDescent="0.3">
      <c r="A1737" s="4">
        <v>46057</v>
      </c>
      <c r="B1737" s="5" t="s">
        <v>16</v>
      </c>
      <c r="C1737" s="5" t="s">
        <v>23</v>
      </c>
      <c r="D1737" s="23">
        <v>53.8</v>
      </c>
      <c r="E1737" s="23">
        <v>25.52</v>
      </c>
      <c r="F1737" s="23">
        <v>28.28</v>
      </c>
      <c r="G1737" s="5" t="s">
        <v>32</v>
      </c>
      <c r="H1737" s="5" t="s">
        <v>21</v>
      </c>
      <c r="I1737" s="5" t="s">
        <v>11</v>
      </c>
      <c r="J1737" s="6">
        <f>Table1[[#This Row],[Profit]]/Table1[[#This Row],[Sales]]</f>
        <v>0.52565055762081792</v>
      </c>
      <c r="K1737" s="5" t="str">
        <f t="shared" si="27"/>
        <v>Low</v>
      </c>
      <c r="L1737" s="5" t="str">
        <f>TEXT(Table1[[#This Row],[Order_Date]],"MMM")</f>
        <v>Feb</v>
      </c>
      <c r="M1737" s="5" t="str">
        <f>IF(Table1[[#This Row],[Profit]]&gt;=1000,"Excellent",IF(Table1[[#This Row],[Profit]]&gt;=500,"Good", IF(Table1[[#This Row],[Profit]]&lt;500,"Low")))</f>
        <v>Low</v>
      </c>
      <c r="N1737" s="7" t="str">
        <f>TEXT(Table1[[#This Row],[Order_Date]],"YYY")</f>
        <v>2026</v>
      </c>
    </row>
    <row r="1738" spans="1:14" x14ac:dyDescent="0.3">
      <c r="A1738" s="4">
        <v>46057</v>
      </c>
      <c r="B1738" s="5" t="s">
        <v>13</v>
      </c>
      <c r="C1738" s="5" t="s">
        <v>31</v>
      </c>
      <c r="D1738" s="23">
        <v>246.68</v>
      </c>
      <c r="E1738" s="23">
        <v>84.03</v>
      </c>
      <c r="F1738" s="23">
        <v>162.65</v>
      </c>
      <c r="G1738" s="5" t="s">
        <v>9</v>
      </c>
      <c r="H1738" s="5" t="s">
        <v>29</v>
      </c>
      <c r="I1738" s="5" t="s">
        <v>11</v>
      </c>
      <c r="J1738" s="6">
        <f>Table1[[#This Row],[Profit]]/Table1[[#This Row],[Sales]]</f>
        <v>0.65935625101345874</v>
      </c>
      <c r="K1738" s="5" t="str">
        <f t="shared" si="27"/>
        <v>Low</v>
      </c>
      <c r="L1738" s="5" t="str">
        <f>TEXT(Table1[[#This Row],[Order_Date]],"MMM")</f>
        <v>Feb</v>
      </c>
      <c r="M1738" s="5" t="str">
        <f>IF(Table1[[#This Row],[Profit]]&gt;=1000,"Excellent",IF(Table1[[#This Row],[Profit]]&gt;=500,"Good", IF(Table1[[#This Row],[Profit]]&lt;500,"Low")))</f>
        <v>Low</v>
      </c>
      <c r="N1738" s="7" t="str">
        <f>TEXT(Table1[[#This Row],[Order_Date]],"YYY")</f>
        <v>2026</v>
      </c>
    </row>
    <row r="1739" spans="1:14" x14ac:dyDescent="0.3">
      <c r="A1739" s="4">
        <v>46057</v>
      </c>
      <c r="B1739" s="5" t="s">
        <v>18</v>
      </c>
      <c r="C1739" s="5" t="s">
        <v>14</v>
      </c>
      <c r="D1739" s="23">
        <v>381.9</v>
      </c>
      <c r="E1739" s="23">
        <v>165.79</v>
      </c>
      <c r="F1739" s="23">
        <v>216.11</v>
      </c>
      <c r="G1739" s="5" t="s">
        <v>6</v>
      </c>
      <c r="H1739" s="5" t="s">
        <v>15</v>
      </c>
      <c r="I1739" s="5" t="s">
        <v>11</v>
      </c>
      <c r="J1739" s="6">
        <f>Table1[[#This Row],[Profit]]/Table1[[#This Row],[Sales]]</f>
        <v>0.5658811207122284</v>
      </c>
      <c r="K1739" s="5" t="str">
        <f t="shared" si="27"/>
        <v>Low</v>
      </c>
      <c r="L1739" s="5" t="str">
        <f>TEXT(Table1[[#This Row],[Order_Date]],"MMM")</f>
        <v>Feb</v>
      </c>
      <c r="M1739" s="5" t="str">
        <f>IF(Table1[[#This Row],[Profit]]&gt;=1000,"Excellent",IF(Table1[[#This Row],[Profit]]&gt;=500,"Good", IF(Table1[[#This Row],[Profit]]&lt;500,"Low")))</f>
        <v>Low</v>
      </c>
      <c r="N1739" s="7" t="str">
        <f>TEXT(Table1[[#This Row],[Order_Date]],"YYY")</f>
        <v>2026</v>
      </c>
    </row>
    <row r="1740" spans="1:14" x14ac:dyDescent="0.3">
      <c r="A1740" s="4">
        <v>46058</v>
      </c>
      <c r="B1740" s="5" t="s">
        <v>16</v>
      </c>
      <c r="C1740" s="5" t="s">
        <v>31</v>
      </c>
      <c r="D1740" s="23">
        <v>119.03</v>
      </c>
      <c r="E1740" s="23">
        <v>26.76</v>
      </c>
      <c r="F1740" s="23">
        <v>92.27</v>
      </c>
      <c r="G1740" s="5" t="s">
        <v>2</v>
      </c>
      <c r="H1740" s="5" t="s">
        <v>30</v>
      </c>
      <c r="I1740" s="5" t="s">
        <v>22</v>
      </c>
      <c r="J1740" s="6">
        <f>Table1[[#This Row],[Profit]]/Table1[[#This Row],[Sales]]</f>
        <v>0.77518272704360236</v>
      </c>
      <c r="K1740" s="5" t="str">
        <f t="shared" si="27"/>
        <v>Low</v>
      </c>
      <c r="L1740" s="5" t="str">
        <f>TEXT(Table1[[#This Row],[Order_Date]],"MMM")</f>
        <v>Feb</v>
      </c>
      <c r="M1740" s="5" t="str">
        <f>IF(Table1[[#This Row],[Profit]]&gt;=1000,"Excellent",IF(Table1[[#This Row],[Profit]]&gt;=500,"Good", IF(Table1[[#This Row],[Profit]]&lt;500,"Low")))</f>
        <v>Low</v>
      </c>
      <c r="N1740" s="7" t="str">
        <f>TEXT(Table1[[#This Row],[Order_Date]],"YYY")</f>
        <v>2026</v>
      </c>
    </row>
    <row r="1741" spans="1:14" x14ac:dyDescent="0.3">
      <c r="A1741" s="4">
        <v>46059</v>
      </c>
      <c r="B1741" s="5" t="s">
        <v>18</v>
      </c>
      <c r="C1741" s="5" t="s">
        <v>5</v>
      </c>
      <c r="D1741" s="23">
        <v>1890.3</v>
      </c>
      <c r="E1741" s="23">
        <v>621.62</v>
      </c>
      <c r="F1741" s="23">
        <v>1268.68</v>
      </c>
      <c r="G1741" s="5" t="s">
        <v>2</v>
      </c>
      <c r="H1741" s="5" t="s">
        <v>24</v>
      </c>
      <c r="I1741" s="5" t="s">
        <v>25</v>
      </c>
      <c r="J1741" s="6">
        <f>Table1[[#This Row],[Profit]]/Table1[[#This Row],[Sales]]</f>
        <v>0.67115272708035767</v>
      </c>
      <c r="K1741" s="5" t="str">
        <f t="shared" si="27"/>
        <v>Medium</v>
      </c>
      <c r="L1741" s="5" t="str">
        <f>TEXT(Table1[[#This Row],[Order_Date]],"MMM")</f>
        <v>Feb</v>
      </c>
      <c r="M1741" s="5" t="str">
        <f>IF(Table1[[#This Row],[Profit]]&gt;=1000,"Excellent",IF(Table1[[#This Row],[Profit]]&gt;=500,"Good", IF(Table1[[#This Row],[Profit]]&lt;500,"Low")))</f>
        <v>Excellent</v>
      </c>
      <c r="N1741" s="7" t="str">
        <f>TEXT(Table1[[#This Row],[Order_Date]],"YYY")</f>
        <v>2026</v>
      </c>
    </row>
    <row r="1742" spans="1:14" x14ac:dyDescent="0.3">
      <c r="A1742" s="4">
        <v>46060</v>
      </c>
      <c r="B1742" s="5" t="s">
        <v>8</v>
      </c>
      <c r="C1742" s="5" t="s">
        <v>5</v>
      </c>
      <c r="D1742" s="23">
        <v>1218.1099999999999</v>
      </c>
      <c r="E1742" s="23">
        <v>452.53</v>
      </c>
      <c r="F1742" s="23">
        <v>765.58</v>
      </c>
      <c r="G1742" s="5" t="s">
        <v>2</v>
      </c>
      <c r="H1742" s="5" t="s">
        <v>30</v>
      </c>
      <c r="I1742" s="5" t="s">
        <v>25</v>
      </c>
      <c r="J1742" s="6">
        <f>Table1[[#This Row],[Profit]]/Table1[[#This Row],[Sales]]</f>
        <v>0.62849824728472803</v>
      </c>
      <c r="K1742" s="5" t="str">
        <f t="shared" si="27"/>
        <v>Low</v>
      </c>
      <c r="L1742" s="5" t="str">
        <f>TEXT(Table1[[#This Row],[Order_Date]],"MMM")</f>
        <v>Feb</v>
      </c>
      <c r="M1742" s="5" t="str">
        <f>IF(Table1[[#This Row],[Profit]]&gt;=1000,"Excellent",IF(Table1[[#This Row],[Profit]]&gt;=500,"Good", IF(Table1[[#This Row],[Profit]]&lt;500,"Low")))</f>
        <v>Good</v>
      </c>
      <c r="N1742" s="7" t="str">
        <f>TEXT(Table1[[#This Row],[Order_Date]],"YYY")</f>
        <v>2026</v>
      </c>
    </row>
    <row r="1743" spans="1:14" x14ac:dyDescent="0.3">
      <c r="A1743" s="4">
        <v>46061</v>
      </c>
      <c r="B1743" s="5" t="s">
        <v>18</v>
      </c>
      <c r="C1743" s="5" t="s">
        <v>5</v>
      </c>
      <c r="D1743" s="23">
        <v>1959.44</v>
      </c>
      <c r="E1743" s="23">
        <v>788.88</v>
      </c>
      <c r="F1743" s="23">
        <v>1170.56</v>
      </c>
      <c r="G1743" s="5" t="s">
        <v>32</v>
      </c>
      <c r="H1743" s="5" t="s">
        <v>37</v>
      </c>
      <c r="I1743" s="5" t="s">
        <v>11</v>
      </c>
      <c r="J1743" s="6">
        <f>Table1[[#This Row],[Profit]]/Table1[[#This Row],[Sales]]</f>
        <v>0.59739517413138443</v>
      </c>
      <c r="K1743" s="5" t="str">
        <f t="shared" si="27"/>
        <v>Medium</v>
      </c>
      <c r="L1743" s="5" t="str">
        <f>TEXT(Table1[[#This Row],[Order_Date]],"MMM")</f>
        <v>Feb</v>
      </c>
      <c r="M1743" s="5" t="str">
        <f>IF(Table1[[#This Row],[Profit]]&gt;=1000,"Excellent",IF(Table1[[#This Row],[Profit]]&gt;=500,"Good", IF(Table1[[#This Row],[Profit]]&lt;500,"Low")))</f>
        <v>Excellent</v>
      </c>
      <c r="N1743" s="7" t="str">
        <f>TEXT(Table1[[#This Row],[Order_Date]],"YYY")</f>
        <v>2026</v>
      </c>
    </row>
    <row r="1744" spans="1:14" x14ac:dyDescent="0.3">
      <c r="A1744" s="4">
        <v>46061</v>
      </c>
      <c r="B1744" s="5" t="s">
        <v>18</v>
      </c>
      <c r="C1744" s="5" t="s">
        <v>1</v>
      </c>
      <c r="D1744" s="23">
        <v>131.22999999999999</v>
      </c>
      <c r="E1744" s="23">
        <v>74.77</v>
      </c>
      <c r="F1744" s="23">
        <v>56.46</v>
      </c>
      <c r="G1744" s="5" t="s">
        <v>20</v>
      </c>
      <c r="H1744" s="5" t="s">
        <v>33</v>
      </c>
      <c r="I1744" s="5" t="s">
        <v>11</v>
      </c>
      <c r="J1744" s="6">
        <f>Table1[[#This Row],[Profit]]/Table1[[#This Row],[Sales]]</f>
        <v>0.43023698849348474</v>
      </c>
      <c r="K1744" s="5" t="str">
        <f t="shared" si="27"/>
        <v>Low</v>
      </c>
      <c r="L1744" s="5" t="str">
        <f>TEXT(Table1[[#This Row],[Order_Date]],"MMM")</f>
        <v>Feb</v>
      </c>
      <c r="M1744" s="5" t="str">
        <f>IF(Table1[[#This Row],[Profit]]&gt;=1000,"Excellent",IF(Table1[[#This Row],[Profit]]&gt;=500,"Good", IF(Table1[[#This Row],[Profit]]&lt;500,"Low")))</f>
        <v>Low</v>
      </c>
      <c r="N1744" s="7" t="str">
        <f>TEXT(Table1[[#This Row],[Order_Date]],"YYY")</f>
        <v>2026</v>
      </c>
    </row>
    <row r="1745" spans="1:14" x14ac:dyDescent="0.3">
      <c r="A1745" s="4">
        <v>46061</v>
      </c>
      <c r="B1745" s="5" t="s">
        <v>0</v>
      </c>
      <c r="C1745" s="5" t="s">
        <v>5</v>
      </c>
      <c r="D1745" s="23">
        <v>1783.03</v>
      </c>
      <c r="E1745" s="23">
        <v>831.34</v>
      </c>
      <c r="F1745" s="23">
        <v>951.69</v>
      </c>
      <c r="G1745" s="5" t="s">
        <v>2</v>
      </c>
      <c r="H1745" s="5" t="s">
        <v>3</v>
      </c>
      <c r="I1745" s="5" t="s">
        <v>17</v>
      </c>
      <c r="J1745" s="6">
        <f>Table1[[#This Row],[Profit]]/Table1[[#This Row],[Sales]]</f>
        <v>0.53374873109257837</v>
      </c>
      <c r="K1745" s="5" t="str">
        <f t="shared" si="27"/>
        <v>Medium</v>
      </c>
      <c r="L1745" s="5" t="str">
        <f>TEXT(Table1[[#This Row],[Order_Date]],"MMM")</f>
        <v>Feb</v>
      </c>
      <c r="M1745" s="5" t="str">
        <f>IF(Table1[[#This Row],[Profit]]&gt;=1000,"Excellent",IF(Table1[[#This Row],[Profit]]&gt;=500,"Good", IF(Table1[[#This Row],[Profit]]&lt;500,"Low")))</f>
        <v>Good</v>
      </c>
      <c r="N1745" s="7" t="str">
        <f>TEXT(Table1[[#This Row],[Order_Date]],"YYY")</f>
        <v>2026</v>
      </c>
    </row>
    <row r="1746" spans="1:14" x14ac:dyDescent="0.3">
      <c r="A1746" s="4">
        <v>46061</v>
      </c>
      <c r="B1746" s="5" t="s">
        <v>0</v>
      </c>
      <c r="C1746" s="5" t="s">
        <v>23</v>
      </c>
      <c r="D1746" s="23">
        <v>188.52</v>
      </c>
      <c r="E1746" s="23">
        <v>77.959999999999994</v>
      </c>
      <c r="F1746" s="23">
        <v>110.56</v>
      </c>
      <c r="G1746" s="5" t="s">
        <v>32</v>
      </c>
      <c r="H1746" s="5" t="s">
        <v>21</v>
      </c>
      <c r="I1746" s="5" t="s">
        <v>11</v>
      </c>
      <c r="J1746" s="6">
        <f>Table1[[#This Row],[Profit]]/Table1[[#This Row],[Sales]]</f>
        <v>0.58646297475068954</v>
      </c>
      <c r="K1746" s="5" t="str">
        <f t="shared" si="27"/>
        <v>Low</v>
      </c>
      <c r="L1746" s="5" t="str">
        <f>TEXT(Table1[[#This Row],[Order_Date]],"MMM")</f>
        <v>Feb</v>
      </c>
      <c r="M1746" s="5" t="str">
        <f>IF(Table1[[#This Row],[Profit]]&gt;=1000,"Excellent",IF(Table1[[#This Row],[Profit]]&gt;=500,"Good", IF(Table1[[#This Row],[Profit]]&lt;500,"Low")))</f>
        <v>Low</v>
      </c>
      <c r="N1746" s="7" t="str">
        <f>TEXT(Table1[[#This Row],[Order_Date]],"YYY")</f>
        <v>2026</v>
      </c>
    </row>
    <row r="1747" spans="1:14" x14ac:dyDescent="0.3">
      <c r="A1747" s="4">
        <v>46062</v>
      </c>
      <c r="B1747" s="5" t="s">
        <v>16</v>
      </c>
      <c r="C1747" s="5" t="s">
        <v>23</v>
      </c>
      <c r="D1747" s="23">
        <v>454.79</v>
      </c>
      <c r="E1747" s="23">
        <v>191.8</v>
      </c>
      <c r="F1747" s="23">
        <v>262.99</v>
      </c>
      <c r="G1747" s="5" t="s">
        <v>20</v>
      </c>
      <c r="H1747" s="5" t="s">
        <v>29</v>
      </c>
      <c r="I1747" s="5" t="s">
        <v>27</v>
      </c>
      <c r="J1747" s="6">
        <f>Table1[[#This Row],[Profit]]/Table1[[#This Row],[Sales]]</f>
        <v>0.57826689241188245</v>
      </c>
      <c r="K1747" s="5" t="str">
        <f t="shared" si="27"/>
        <v>Low</v>
      </c>
      <c r="L1747" s="5" t="str">
        <f>TEXT(Table1[[#This Row],[Order_Date]],"MMM")</f>
        <v>Feb</v>
      </c>
      <c r="M1747" s="5" t="str">
        <f>IF(Table1[[#This Row],[Profit]]&gt;=1000,"Excellent",IF(Table1[[#This Row],[Profit]]&gt;=500,"Good", IF(Table1[[#This Row],[Profit]]&lt;500,"Low")))</f>
        <v>Low</v>
      </c>
      <c r="N1747" s="7" t="str">
        <f>TEXT(Table1[[#This Row],[Order_Date]],"YYY")</f>
        <v>2026</v>
      </c>
    </row>
    <row r="1748" spans="1:14" x14ac:dyDescent="0.3">
      <c r="A1748" s="4">
        <v>46063</v>
      </c>
      <c r="B1748" s="5" t="s">
        <v>18</v>
      </c>
      <c r="C1748" s="5" t="s">
        <v>19</v>
      </c>
      <c r="D1748" s="23">
        <v>109.29</v>
      </c>
      <c r="E1748" s="23">
        <v>29.85</v>
      </c>
      <c r="F1748" s="23">
        <v>79.44</v>
      </c>
      <c r="G1748" s="5" t="s">
        <v>6</v>
      </c>
      <c r="H1748" s="5" t="s">
        <v>37</v>
      </c>
      <c r="I1748" s="5" t="s">
        <v>17</v>
      </c>
      <c r="J1748" s="6">
        <f>Table1[[#This Row],[Profit]]/Table1[[#This Row],[Sales]]</f>
        <v>0.72687345594290409</v>
      </c>
      <c r="K1748" s="5" t="str">
        <f t="shared" si="27"/>
        <v>Low</v>
      </c>
      <c r="L1748" s="5" t="str">
        <f>TEXT(Table1[[#This Row],[Order_Date]],"MMM")</f>
        <v>Feb</v>
      </c>
      <c r="M1748" s="5" t="str">
        <f>IF(Table1[[#This Row],[Profit]]&gt;=1000,"Excellent",IF(Table1[[#This Row],[Profit]]&gt;=500,"Good", IF(Table1[[#This Row],[Profit]]&lt;500,"Low")))</f>
        <v>Low</v>
      </c>
      <c r="N1748" s="7" t="str">
        <f>TEXT(Table1[[#This Row],[Order_Date]],"YYY")</f>
        <v>2026</v>
      </c>
    </row>
    <row r="1749" spans="1:14" x14ac:dyDescent="0.3">
      <c r="A1749" s="4">
        <v>46064</v>
      </c>
      <c r="B1749" s="5" t="s">
        <v>16</v>
      </c>
      <c r="C1749" s="5" t="s">
        <v>14</v>
      </c>
      <c r="D1749" s="23">
        <v>261.45999999999998</v>
      </c>
      <c r="E1749" s="23">
        <v>135.71</v>
      </c>
      <c r="F1749" s="23">
        <v>125.75</v>
      </c>
      <c r="G1749" s="5" t="s">
        <v>32</v>
      </c>
      <c r="H1749" s="5" t="s">
        <v>34</v>
      </c>
      <c r="I1749" s="5" t="s">
        <v>27</v>
      </c>
      <c r="J1749" s="6">
        <f>Table1[[#This Row],[Profit]]/Table1[[#This Row],[Sales]]</f>
        <v>0.48095310946225045</v>
      </c>
      <c r="K1749" s="5" t="str">
        <f t="shared" si="27"/>
        <v>Low</v>
      </c>
      <c r="L1749" s="5" t="str">
        <f>TEXT(Table1[[#This Row],[Order_Date]],"MMM")</f>
        <v>Feb</v>
      </c>
      <c r="M1749" s="5" t="str">
        <f>IF(Table1[[#This Row],[Profit]]&gt;=1000,"Excellent",IF(Table1[[#This Row],[Profit]]&gt;=500,"Good", IF(Table1[[#This Row],[Profit]]&lt;500,"Low")))</f>
        <v>Low</v>
      </c>
      <c r="N1749" s="7" t="str">
        <f>TEXT(Table1[[#This Row],[Order_Date]],"YYY")</f>
        <v>2026</v>
      </c>
    </row>
    <row r="1750" spans="1:14" x14ac:dyDescent="0.3">
      <c r="A1750" s="4">
        <v>46065</v>
      </c>
      <c r="B1750" s="5" t="s">
        <v>18</v>
      </c>
      <c r="C1750" s="5" t="s">
        <v>1</v>
      </c>
      <c r="D1750" s="23">
        <v>314.3</v>
      </c>
      <c r="E1750" s="23">
        <v>209.41</v>
      </c>
      <c r="F1750" s="23">
        <v>104.89</v>
      </c>
      <c r="G1750" s="5" t="s">
        <v>2</v>
      </c>
      <c r="H1750" s="5" t="s">
        <v>24</v>
      </c>
      <c r="I1750" s="5" t="s">
        <v>27</v>
      </c>
      <c r="J1750" s="6">
        <f>Table1[[#This Row],[Profit]]/Table1[[#This Row],[Sales]]</f>
        <v>0.33372573973910274</v>
      </c>
      <c r="K1750" s="5" t="str">
        <f t="shared" si="27"/>
        <v>Low</v>
      </c>
      <c r="L1750" s="5" t="str">
        <f>TEXT(Table1[[#This Row],[Order_Date]],"MMM")</f>
        <v>Feb</v>
      </c>
      <c r="M1750" s="5" t="str">
        <f>IF(Table1[[#This Row],[Profit]]&gt;=1000,"Excellent",IF(Table1[[#This Row],[Profit]]&gt;=500,"Good", IF(Table1[[#This Row],[Profit]]&lt;500,"Low")))</f>
        <v>Low</v>
      </c>
      <c r="N1750" s="7" t="str">
        <f>TEXT(Table1[[#This Row],[Order_Date]],"YYY")</f>
        <v>2026</v>
      </c>
    </row>
    <row r="1751" spans="1:14" x14ac:dyDescent="0.3">
      <c r="A1751" s="4">
        <v>46065</v>
      </c>
      <c r="B1751" s="5" t="s">
        <v>13</v>
      </c>
      <c r="C1751" s="5" t="s">
        <v>26</v>
      </c>
      <c r="D1751" s="23">
        <v>277.63</v>
      </c>
      <c r="E1751" s="23">
        <v>97.75</v>
      </c>
      <c r="F1751" s="23">
        <v>179.88</v>
      </c>
      <c r="G1751" s="5" t="s">
        <v>6</v>
      </c>
      <c r="H1751" s="5" t="s">
        <v>24</v>
      </c>
      <c r="I1751" s="5" t="s">
        <v>4</v>
      </c>
      <c r="J1751" s="6">
        <f>Table1[[#This Row],[Profit]]/Table1[[#This Row],[Sales]]</f>
        <v>0.64791268955084103</v>
      </c>
      <c r="K1751" s="5" t="str">
        <f t="shared" si="27"/>
        <v>Low</v>
      </c>
      <c r="L1751" s="5" t="str">
        <f>TEXT(Table1[[#This Row],[Order_Date]],"MMM")</f>
        <v>Feb</v>
      </c>
      <c r="M1751" s="5" t="str">
        <f>IF(Table1[[#This Row],[Profit]]&gt;=1000,"Excellent",IF(Table1[[#This Row],[Profit]]&gt;=500,"Good", IF(Table1[[#This Row],[Profit]]&lt;500,"Low")))</f>
        <v>Low</v>
      </c>
      <c r="N1751" s="7" t="str">
        <f>TEXT(Table1[[#This Row],[Order_Date]],"YYY")</f>
        <v>2026</v>
      </c>
    </row>
    <row r="1752" spans="1:14" x14ac:dyDescent="0.3">
      <c r="A1752" s="4">
        <v>46066</v>
      </c>
      <c r="B1752" s="5" t="s">
        <v>13</v>
      </c>
      <c r="C1752" s="5" t="s">
        <v>23</v>
      </c>
      <c r="D1752" s="23">
        <v>350.94</v>
      </c>
      <c r="E1752" s="23">
        <v>128.69</v>
      </c>
      <c r="F1752" s="23">
        <v>222.25</v>
      </c>
      <c r="G1752" s="5" t="s">
        <v>32</v>
      </c>
      <c r="H1752" s="5" t="s">
        <v>36</v>
      </c>
      <c r="I1752" s="5" t="s">
        <v>22</v>
      </c>
      <c r="J1752" s="6">
        <f>Table1[[#This Row],[Profit]]/Table1[[#This Row],[Sales]]</f>
        <v>0.63329913945403771</v>
      </c>
      <c r="K1752" s="5" t="str">
        <f t="shared" si="27"/>
        <v>Low</v>
      </c>
      <c r="L1752" s="5" t="str">
        <f>TEXT(Table1[[#This Row],[Order_Date]],"MMM")</f>
        <v>Feb</v>
      </c>
      <c r="M1752" s="5" t="str">
        <f>IF(Table1[[#This Row],[Profit]]&gt;=1000,"Excellent",IF(Table1[[#This Row],[Profit]]&gt;=500,"Good", IF(Table1[[#This Row],[Profit]]&lt;500,"Low")))</f>
        <v>Low</v>
      </c>
      <c r="N1752" s="7" t="str">
        <f>TEXT(Table1[[#This Row],[Order_Date]],"YYY")</f>
        <v>2026</v>
      </c>
    </row>
    <row r="1753" spans="1:14" x14ac:dyDescent="0.3">
      <c r="A1753" s="4">
        <v>46067</v>
      </c>
      <c r="B1753" s="5" t="s">
        <v>18</v>
      </c>
      <c r="C1753" s="5" t="s">
        <v>31</v>
      </c>
      <c r="D1753" s="23">
        <v>284.76</v>
      </c>
      <c r="E1753" s="23">
        <v>105.72</v>
      </c>
      <c r="F1753" s="23">
        <v>179.04</v>
      </c>
      <c r="G1753" s="5" t="s">
        <v>20</v>
      </c>
      <c r="H1753" s="5" t="s">
        <v>12</v>
      </c>
      <c r="I1753" s="5" t="s">
        <v>27</v>
      </c>
      <c r="J1753" s="6">
        <f>Table1[[#This Row],[Profit]]/Table1[[#This Row],[Sales]]</f>
        <v>0.62873999157185001</v>
      </c>
      <c r="K1753" s="5" t="str">
        <f t="shared" si="27"/>
        <v>Low</v>
      </c>
      <c r="L1753" s="5" t="str">
        <f>TEXT(Table1[[#This Row],[Order_Date]],"MMM")</f>
        <v>Feb</v>
      </c>
      <c r="M1753" s="5" t="str">
        <f>IF(Table1[[#This Row],[Profit]]&gt;=1000,"Excellent",IF(Table1[[#This Row],[Profit]]&gt;=500,"Good", IF(Table1[[#This Row],[Profit]]&lt;500,"Low")))</f>
        <v>Low</v>
      </c>
      <c r="N1753" s="7" t="str">
        <f>TEXT(Table1[[#This Row],[Order_Date]],"YYY")</f>
        <v>2026</v>
      </c>
    </row>
    <row r="1754" spans="1:14" x14ac:dyDescent="0.3">
      <c r="A1754" s="4">
        <v>46069</v>
      </c>
      <c r="B1754" s="5" t="s">
        <v>0</v>
      </c>
      <c r="C1754" s="5" t="s">
        <v>26</v>
      </c>
      <c r="D1754" s="23">
        <v>311.39</v>
      </c>
      <c r="E1754" s="23">
        <v>120.03</v>
      </c>
      <c r="F1754" s="23">
        <v>191.36</v>
      </c>
      <c r="G1754" s="5" t="s">
        <v>32</v>
      </c>
      <c r="H1754" s="5" t="s">
        <v>36</v>
      </c>
      <c r="I1754" s="5" t="s">
        <v>11</v>
      </c>
      <c r="J1754" s="6">
        <f>Table1[[#This Row],[Profit]]/Table1[[#This Row],[Sales]]</f>
        <v>0.61453482770801893</v>
      </c>
      <c r="K1754" s="5" t="str">
        <f t="shared" si="27"/>
        <v>Low</v>
      </c>
      <c r="L1754" s="5" t="str">
        <f>TEXT(Table1[[#This Row],[Order_Date]],"MMM")</f>
        <v>Feb</v>
      </c>
      <c r="M1754" s="5" t="str">
        <f>IF(Table1[[#This Row],[Profit]]&gt;=1000,"Excellent",IF(Table1[[#This Row],[Profit]]&gt;=500,"Good", IF(Table1[[#This Row],[Profit]]&lt;500,"Low")))</f>
        <v>Low</v>
      </c>
      <c r="N1754" s="7" t="str">
        <f>TEXT(Table1[[#This Row],[Order_Date]],"YYY")</f>
        <v>2026</v>
      </c>
    </row>
    <row r="1755" spans="1:14" x14ac:dyDescent="0.3">
      <c r="A1755" s="4">
        <v>46070</v>
      </c>
      <c r="B1755" s="5" t="s">
        <v>18</v>
      </c>
      <c r="C1755" s="5" t="s">
        <v>5</v>
      </c>
      <c r="D1755" s="23">
        <v>1293.69</v>
      </c>
      <c r="E1755" s="23">
        <v>623.54999999999995</v>
      </c>
      <c r="F1755" s="23">
        <v>670.14</v>
      </c>
      <c r="G1755" s="5" t="s">
        <v>2</v>
      </c>
      <c r="H1755" s="5" t="s">
        <v>28</v>
      </c>
      <c r="I1755" s="5" t="s">
        <v>17</v>
      </c>
      <c r="J1755" s="6">
        <f>Table1[[#This Row],[Profit]]/Table1[[#This Row],[Sales]]</f>
        <v>0.51800663219163789</v>
      </c>
      <c r="K1755" s="5" t="str">
        <f t="shared" si="27"/>
        <v>Low</v>
      </c>
      <c r="L1755" s="5" t="str">
        <f>TEXT(Table1[[#This Row],[Order_Date]],"MMM")</f>
        <v>Feb</v>
      </c>
      <c r="M1755" s="5" t="str">
        <f>IF(Table1[[#This Row],[Profit]]&gt;=1000,"Excellent",IF(Table1[[#This Row],[Profit]]&gt;=500,"Good", IF(Table1[[#This Row],[Profit]]&lt;500,"Low")))</f>
        <v>Good</v>
      </c>
      <c r="N1755" s="7" t="str">
        <f>TEXT(Table1[[#This Row],[Order_Date]],"YYY")</f>
        <v>2026</v>
      </c>
    </row>
    <row r="1756" spans="1:14" x14ac:dyDescent="0.3">
      <c r="A1756" s="4">
        <v>46070</v>
      </c>
      <c r="B1756" s="5" t="s">
        <v>16</v>
      </c>
      <c r="C1756" s="5" t="s">
        <v>31</v>
      </c>
      <c r="D1756" s="23">
        <v>228.09</v>
      </c>
      <c r="E1756" s="23">
        <v>71.209999999999994</v>
      </c>
      <c r="F1756" s="23">
        <v>156.88</v>
      </c>
      <c r="G1756" s="5" t="s">
        <v>20</v>
      </c>
      <c r="H1756" s="5" t="s">
        <v>29</v>
      </c>
      <c r="I1756" s="5" t="s">
        <v>4</v>
      </c>
      <c r="J1756" s="6">
        <f>Table1[[#This Row],[Profit]]/Table1[[#This Row],[Sales]]</f>
        <v>0.68779867596124333</v>
      </c>
      <c r="K1756" s="5" t="str">
        <f t="shared" si="27"/>
        <v>Low</v>
      </c>
      <c r="L1756" s="5" t="str">
        <f>TEXT(Table1[[#This Row],[Order_Date]],"MMM")</f>
        <v>Feb</v>
      </c>
      <c r="M1756" s="5" t="str">
        <f>IF(Table1[[#This Row],[Profit]]&gt;=1000,"Excellent",IF(Table1[[#This Row],[Profit]]&gt;=500,"Good", IF(Table1[[#This Row],[Profit]]&lt;500,"Low")))</f>
        <v>Low</v>
      </c>
      <c r="N1756" s="7" t="str">
        <f>TEXT(Table1[[#This Row],[Order_Date]],"YYY")</f>
        <v>2026</v>
      </c>
    </row>
    <row r="1757" spans="1:14" x14ac:dyDescent="0.3">
      <c r="A1757" s="4">
        <v>46071</v>
      </c>
      <c r="B1757" s="5" t="s">
        <v>13</v>
      </c>
      <c r="C1757" s="5" t="s">
        <v>1</v>
      </c>
      <c r="D1757" s="23">
        <v>822.44</v>
      </c>
      <c r="E1757" s="23">
        <v>449.38</v>
      </c>
      <c r="F1757" s="23">
        <v>373.06</v>
      </c>
      <c r="G1757" s="5" t="s">
        <v>2</v>
      </c>
      <c r="H1757" s="5" t="s">
        <v>10</v>
      </c>
      <c r="I1757" s="5" t="s">
        <v>4</v>
      </c>
      <c r="J1757" s="6">
        <f>Table1[[#This Row],[Profit]]/Table1[[#This Row],[Sales]]</f>
        <v>0.45360147852730898</v>
      </c>
      <c r="K1757" s="5" t="str">
        <f t="shared" si="27"/>
        <v>Low</v>
      </c>
      <c r="L1757" s="5" t="str">
        <f>TEXT(Table1[[#This Row],[Order_Date]],"MMM")</f>
        <v>Feb</v>
      </c>
      <c r="M1757" s="5" t="str">
        <f>IF(Table1[[#This Row],[Profit]]&gt;=1000,"Excellent",IF(Table1[[#This Row],[Profit]]&gt;=500,"Good", IF(Table1[[#This Row],[Profit]]&lt;500,"Low")))</f>
        <v>Low</v>
      </c>
      <c r="N1757" s="7" t="str">
        <f>TEXT(Table1[[#This Row],[Order_Date]],"YYY")</f>
        <v>2026</v>
      </c>
    </row>
    <row r="1758" spans="1:14" x14ac:dyDescent="0.3">
      <c r="A1758" s="4">
        <v>46071</v>
      </c>
      <c r="B1758" s="5" t="s">
        <v>0</v>
      </c>
      <c r="C1758" s="5" t="s">
        <v>31</v>
      </c>
      <c r="D1758" s="23">
        <v>273.24</v>
      </c>
      <c r="E1758" s="23">
        <v>93.96</v>
      </c>
      <c r="F1758" s="23">
        <v>179.28</v>
      </c>
      <c r="G1758" s="5" t="s">
        <v>6</v>
      </c>
      <c r="H1758" s="5" t="s">
        <v>30</v>
      </c>
      <c r="I1758" s="5" t="s">
        <v>22</v>
      </c>
      <c r="J1758" s="6">
        <f>Table1[[#This Row],[Profit]]/Table1[[#This Row],[Sales]]</f>
        <v>0.65612648221343872</v>
      </c>
      <c r="K1758" s="5" t="str">
        <f t="shared" si="27"/>
        <v>Low</v>
      </c>
      <c r="L1758" s="5" t="str">
        <f>TEXT(Table1[[#This Row],[Order_Date]],"MMM")</f>
        <v>Feb</v>
      </c>
      <c r="M1758" s="5" t="str">
        <f>IF(Table1[[#This Row],[Profit]]&gt;=1000,"Excellent",IF(Table1[[#This Row],[Profit]]&gt;=500,"Good", IF(Table1[[#This Row],[Profit]]&lt;500,"Low")))</f>
        <v>Low</v>
      </c>
      <c r="N1758" s="7" t="str">
        <f>TEXT(Table1[[#This Row],[Order_Date]],"YYY")</f>
        <v>2026</v>
      </c>
    </row>
    <row r="1759" spans="1:14" x14ac:dyDescent="0.3">
      <c r="A1759" s="4">
        <v>46072</v>
      </c>
      <c r="B1759" s="5" t="s">
        <v>0</v>
      </c>
      <c r="C1759" s="5" t="s">
        <v>26</v>
      </c>
      <c r="D1759" s="23">
        <v>483.18</v>
      </c>
      <c r="E1759" s="23">
        <v>166.17</v>
      </c>
      <c r="F1759" s="23">
        <v>317.01</v>
      </c>
      <c r="G1759" s="5" t="s">
        <v>9</v>
      </c>
      <c r="H1759" s="5" t="s">
        <v>12</v>
      </c>
      <c r="I1759" s="5" t="s">
        <v>25</v>
      </c>
      <c r="J1759" s="6">
        <f>Table1[[#This Row],[Profit]]/Table1[[#This Row],[Sales]]</f>
        <v>0.65609089780206131</v>
      </c>
      <c r="K1759" s="5" t="str">
        <f t="shared" si="27"/>
        <v>Low</v>
      </c>
      <c r="L1759" s="5" t="str">
        <f>TEXT(Table1[[#This Row],[Order_Date]],"MMM")</f>
        <v>Feb</v>
      </c>
      <c r="M1759" s="5" t="str">
        <f>IF(Table1[[#This Row],[Profit]]&gt;=1000,"Excellent",IF(Table1[[#This Row],[Profit]]&gt;=500,"Good", IF(Table1[[#This Row],[Profit]]&lt;500,"Low")))</f>
        <v>Low</v>
      </c>
      <c r="N1759" s="7" t="str">
        <f>TEXT(Table1[[#This Row],[Order_Date]],"YYY")</f>
        <v>2026</v>
      </c>
    </row>
    <row r="1760" spans="1:14" x14ac:dyDescent="0.3">
      <c r="A1760" s="4">
        <v>46073</v>
      </c>
      <c r="B1760" s="5" t="s">
        <v>0</v>
      </c>
      <c r="C1760" s="5" t="s">
        <v>5</v>
      </c>
      <c r="D1760" s="23">
        <v>1835.19</v>
      </c>
      <c r="E1760" s="23">
        <v>774.31</v>
      </c>
      <c r="F1760" s="23">
        <v>1060.8800000000001</v>
      </c>
      <c r="G1760" s="5" t="s">
        <v>2</v>
      </c>
      <c r="H1760" s="5" t="s">
        <v>35</v>
      </c>
      <c r="I1760" s="5" t="s">
        <v>11</v>
      </c>
      <c r="J1760" s="6">
        <f>Table1[[#This Row],[Profit]]/Table1[[#This Row],[Sales]]</f>
        <v>0.5780763844615544</v>
      </c>
      <c r="K1760" s="5" t="str">
        <f t="shared" si="27"/>
        <v>Medium</v>
      </c>
      <c r="L1760" s="5" t="str">
        <f>TEXT(Table1[[#This Row],[Order_Date]],"MMM")</f>
        <v>Feb</v>
      </c>
      <c r="M1760" s="5" t="str">
        <f>IF(Table1[[#This Row],[Profit]]&gt;=1000,"Excellent",IF(Table1[[#This Row],[Profit]]&gt;=500,"Good", IF(Table1[[#This Row],[Profit]]&lt;500,"Low")))</f>
        <v>Excellent</v>
      </c>
      <c r="N1760" s="7" t="str">
        <f>TEXT(Table1[[#This Row],[Order_Date]],"YYY")</f>
        <v>2026</v>
      </c>
    </row>
    <row r="1761" spans="1:14" x14ac:dyDescent="0.3">
      <c r="A1761" s="4">
        <v>46073</v>
      </c>
      <c r="B1761" s="5" t="s">
        <v>18</v>
      </c>
      <c r="C1761" s="5" t="s">
        <v>5</v>
      </c>
      <c r="D1761" s="23">
        <v>2000.6</v>
      </c>
      <c r="E1761" s="23">
        <v>875.03</v>
      </c>
      <c r="F1761" s="23">
        <v>1125.57</v>
      </c>
      <c r="G1761" s="5" t="s">
        <v>9</v>
      </c>
      <c r="H1761" s="5" t="s">
        <v>21</v>
      </c>
      <c r="I1761" s="5" t="s">
        <v>11</v>
      </c>
      <c r="J1761" s="6">
        <f>Table1[[#This Row],[Profit]]/Table1[[#This Row],[Sales]]</f>
        <v>0.56261621513545934</v>
      </c>
      <c r="K1761" s="5" t="str">
        <f t="shared" si="27"/>
        <v>High</v>
      </c>
      <c r="L1761" s="5" t="str">
        <f>TEXT(Table1[[#This Row],[Order_Date]],"MMM")</f>
        <v>Feb</v>
      </c>
      <c r="M1761" s="5" t="str">
        <f>IF(Table1[[#This Row],[Profit]]&gt;=1000,"Excellent",IF(Table1[[#This Row],[Profit]]&gt;=500,"Good", IF(Table1[[#This Row],[Profit]]&lt;500,"Low")))</f>
        <v>Excellent</v>
      </c>
      <c r="N1761" s="7" t="str">
        <f>TEXT(Table1[[#This Row],[Order_Date]],"YYY")</f>
        <v>2026</v>
      </c>
    </row>
    <row r="1762" spans="1:14" x14ac:dyDescent="0.3">
      <c r="A1762" s="4">
        <v>46073</v>
      </c>
      <c r="B1762" s="5" t="s">
        <v>18</v>
      </c>
      <c r="C1762" s="5" t="s">
        <v>5</v>
      </c>
      <c r="D1762" s="23">
        <v>1666.48</v>
      </c>
      <c r="E1762" s="23">
        <v>698.22</v>
      </c>
      <c r="F1762" s="23">
        <v>968.26</v>
      </c>
      <c r="G1762" s="5" t="s">
        <v>2</v>
      </c>
      <c r="H1762" s="5" t="s">
        <v>37</v>
      </c>
      <c r="I1762" s="5" t="s">
        <v>25</v>
      </c>
      <c r="J1762" s="6">
        <f>Table1[[#This Row],[Profit]]/Table1[[#This Row],[Sales]]</f>
        <v>0.58102107436032835</v>
      </c>
      <c r="K1762" s="5" t="str">
        <f t="shared" si="27"/>
        <v>Medium</v>
      </c>
      <c r="L1762" s="5" t="str">
        <f>TEXT(Table1[[#This Row],[Order_Date]],"MMM")</f>
        <v>Feb</v>
      </c>
      <c r="M1762" s="5" t="str">
        <f>IF(Table1[[#This Row],[Profit]]&gt;=1000,"Excellent",IF(Table1[[#This Row],[Profit]]&gt;=500,"Good", IF(Table1[[#This Row],[Profit]]&lt;500,"Low")))</f>
        <v>Good</v>
      </c>
      <c r="N1762" s="7" t="str">
        <f>TEXT(Table1[[#This Row],[Order_Date]],"YYY")</f>
        <v>2026</v>
      </c>
    </row>
    <row r="1763" spans="1:14" x14ac:dyDescent="0.3">
      <c r="A1763" s="4">
        <v>46076</v>
      </c>
      <c r="B1763" s="5" t="s">
        <v>13</v>
      </c>
      <c r="C1763" s="5" t="s">
        <v>26</v>
      </c>
      <c r="D1763" s="23">
        <v>393.05</v>
      </c>
      <c r="E1763" s="23">
        <v>121.3</v>
      </c>
      <c r="F1763" s="23">
        <v>271.75</v>
      </c>
      <c r="G1763" s="5" t="s">
        <v>2</v>
      </c>
      <c r="H1763" s="5" t="s">
        <v>30</v>
      </c>
      <c r="I1763" s="5" t="s">
        <v>11</v>
      </c>
      <c r="J1763" s="6">
        <f>Table1[[#This Row],[Profit]]/Table1[[#This Row],[Sales]]</f>
        <v>0.69138786413942244</v>
      </c>
      <c r="K1763" s="5" t="str">
        <f t="shared" si="27"/>
        <v>Low</v>
      </c>
      <c r="L1763" s="5" t="str">
        <f>TEXT(Table1[[#This Row],[Order_Date]],"MMM")</f>
        <v>Feb</v>
      </c>
      <c r="M1763" s="5" t="str">
        <f>IF(Table1[[#This Row],[Profit]]&gt;=1000,"Excellent",IF(Table1[[#This Row],[Profit]]&gt;=500,"Good", IF(Table1[[#This Row],[Profit]]&lt;500,"Low")))</f>
        <v>Low</v>
      </c>
      <c r="N1763" s="7" t="str">
        <f>TEXT(Table1[[#This Row],[Order_Date]],"YYY")</f>
        <v>2026</v>
      </c>
    </row>
    <row r="1764" spans="1:14" x14ac:dyDescent="0.3">
      <c r="A1764" s="4">
        <v>46076</v>
      </c>
      <c r="B1764" s="5" t="s">
        <v>8</v>
      </c>
      <c r="C1764" s="5" t="s">
        <v>1</v>
      </c>
      <c r="D1764" s="23">
        <v>610.98</v>
      </c>
      <c r="E1764" s="23">
        <v>370.67</v>
      </c>
      <c r="F1764" s="23">
        <v>240.31</v>
      </c>
      <c r="G1764" s="5" t="s">
        <v>32</v>
      </c>
      <c r="H1764" s="5" t="s">
        <v>15</v>
      </c>
      <c r="I1764" s="5" t="s">
        <v>25</v>
      </c>
      <c r="J1764" s="6">
        <f>Table1[[#This Row],[Profit]]/Table1[[#This Row],[Sales]]</f>
        <v>0.39331893024321579</v>
      </c>
      <c r="K1764" s="5" t="str">
        <f t="shared" si="27"/>
        <v>Low</v>
      </c>
      <c r="L1764" s="5" t="str">
        <f>TEXT(Table1[[#This Row],[Order_Date]],"MMM")</f>
        <v>Feb</v>
      </c>
      <c r="M1764" s="5" t="str">
        <f>IF(Table1[[#This Row],[Profit]]&gt;=1000,"Excellent",IF(Table1[[#This Row],[Profit]]&gt;=500,"Good", IF(Table1[[#This Row],[Profit]]&lt;500,"Low")))</f>
        <v>Low</v>
      </c>
      <c r="N1764" s="7" t="str">
        <f>TEXT(Table1[[#This Row],[Order_Date]],"YYY")</f>
        <v>2026</v>
      </c>
    </row>
    <row r="1765" spans="1:14" x14ac:dyDescent="0.3">
      <c r="A1765" s="4">
        <v>46076</v>
      </c>
      <c r="B1765" s="5" t="s">
        <v>0</v>
      </c>
      <c r="C1765" s="5" t="s">
        <v>1</v>
      </c>
      <c r="D1765" s="23">
        <v>814.8</v>
      </c>
      <c r="E1765" s="23">
        <v>377.1</v>
      </c>
      <c r="F1765" s="23">
        <v>437.7</v>
      </c>
      <c r="G1765" s="5" t="s">
        <v>2</v>
      </c>
      <c r="H1765" s="5" t="s">
        <v>21</v>
      </c>
      <c r="I1765" s="5" t="s">
        <v>11</v>
      </c>
      <c r="J1765" s="6">
        <f>Table1[[#This Row],[Profit]]/Table1[[#This Row],[Sales]]</f>
        <v>0.53718703976435933</v>
      </c>
      <c r="K1765" s="5" t="str">
        <f t="shared" si="27"/>
        <v>Low</v>
      </c>
      <c r="L1765" s="5" t="str">
        <f>TEXT(Table1[[#This Row],[Order_Date]],"MMM")</f>
        <v>Feb</v>
      </c>
      <c r="M1765" s="5" t="str">
        <f>IF(Table1[[#This Row],[Profit]]&gt;=1000,"Excellent",IF(Table1[[#This Row],[Profit]]&gt;=500,"Good", IF(Table1[[#This Row],[Profit]]&lt;500,"Low")))</f>
        <v>Low</v>
      </c>
      <c r="N1765" s="7" t="str">
        <f>TEXT(Table1[[#This Row],[Order_Date]],"YYY")</f>
        <v>2026</v>
      </c>
    </row>
    <row r="1766" spans="1:14" x14ac:dyDescent="0.3">
      <c r="A1766" s="4">
        <v>46076</v>
      </c>
      <c r="B1766" s="5" t="s">
        <v>8</v>
      </c>
      <c r="C1766" s="5" t="s">
        <v>31</v>
      </c>
      <c r="D1766" s="23">
        <v>262.14</v>
      </c>
      <c r="E1766" s="23">
        <v>61.14</v>
      </c>
      <c r="F1766" s="23">
        <v>201</v>
      </c>
      <c r="G1766" s="5" t="s">
        <v>32</v>
      </c>
      <c r="H1766" s="5" t="s">
        <v>33</v>
      </c>
      <c r="I1766" s="5" t="s">
        <v>22</v>
      </c>
      <c r="J1766" s="6">
        <f>Table1[[#This Row],[Profit]]/Table1[[#This Row],[Sales]]</f>
        <v>0.76676585030899524</v>
      </c>
      <c r="K1766" s="5" t="str">
        <f t="shared" si="27"/>
        <v>Low</v>
      </c>
      <c r="L1766" s="5" t="str">
        <f>TEXT(Table1[[#This Row],[Order_Date]],"MMM")</f>
        <v>Feb</v>
      </c>
      <c r="M1766" s="5" t="str">
        <f>IF(Table1[[#This Row],[Profit]]&gt;=1000,"Excellent",IF(Table1[[#This Row],[Profit]]&gt;=500,"Good", IF(Table1[[#This Row],[Profit]]&lt;500,"Low")))</f>
        <v>Low</v>
      </c>
      <c r="N1766" s="7" t="str">
        <f>TEXT(Table1[[#This Row],[Order_Date]],"YYY")</f>
        <v>2026</v>
      </c>
    </row>
    <row r="1767" spans="1:14" x14ac:dyDescent="0.3">
      <c r="A1767" s="4">
        <v>46077</v>
      </c>
      <c r="B1767" s="5" t="s">
        <v>13</v>
      </c>
      <c r="C1767" s="5" t="s">
        <v>19</v>
      </c>
      <c r="D1767" s="23">
        <v>6.19</v>
      </c>
      <c r="E1767" s="23">
        <v>2.63</v>
      </c>
      <c r="F1767" s="23">
        <v>3.56</v>
      </c>
      <c r="G1767" s="5" t="s">
        <v>9</v>
      </c>
      <c r="H1767" s="5" t="s">
        <v>10</v>
      </c>
      <c r="I1767" s="5" t="s">
        <v>27</v>
      </c>
      <c r="J1767" s="6">
        <f>Table1[[#This Row],[Profit]]/Table1[[#This Row],[Sales]]</f>
        <v>0.57512116316639739</v>
      </c>
      <c r="K1767" s="5" t="str">
        <f t="shared" si="27"/>
        <v>Low</v>
      </c>
      <c r="L1767" s="5" t="str">
        <f>TEXT(Table1[[#This Row],[Order_Date]],"MMM")</f>
        <v>Feb</v>
      </c>
      <c r="M1767" s="5" t="str">
        <f>IF(Table1[[#This Row],[Profit]]&gt;=1000,"Excellent",IF(Table1[[#This Row],[Profit]]&gt;=500,"Good", IF(Table1[[#This Row],[Profit]]&lt;500,"Low")))</f>
        <v>Low</v>
      </c>
      <c r="N1767" s="7" t="str">
        <f>TEXT(Table1[[#This Row],[Order_Date]],"YYY")</f>
        <v>2026</v>
      </c>
    </row>
    <row r="1768" spans="1:14" x14ac:dyDescent="0.3">
      <c r="A1768" s="4">
        <v>46077</v>
      </c>
      <c r="B1768" s="5" t="s">
        <v>18</v>
      </c>
      <c r="C1768" s="5" t="s">
        <v>31</v>
      </c>
      <c r="D1768" s="23">
        <v>61.85</v>
      </c>
      <c r="E1768" s="23">
        <v>15.33</v>
      </c>
      <c r="F1768" s="23">
        <v>46.52</v>
      </c>
      <c r="G1768" s="5" t="s">
        <v>6</v>
      </c>
      <c r="H1768" s="5" t="s">
        <v>30</v>
      </c>
      <c r="I1768" s="5" t="s">
        <v>17</v>
      </c>
      <c r="J1768" s="6">
        <f>Table1[[#This Row],[Profit]]/Table1[[#This Row],[Sales]]</f>
        <v>0.7521422797089734</v>
      </c>
      <c r="K1768" s="5" t="str">
        <f t="shared" si="27"/>
        <v>Low</v>
      </c>
      <c r="L1768" s="5" t="str">
        <f>TEXT(Table1[[#This Row],[Order_Date]],"MMM")</f>
        <v>Feb</v>
      </c>
      <c r="M1768" s="5" t="str">
        <f>IF(Table1[[#This Row],[Profit]]&gt;=1000,"Excellent",IF(Table1[[#This Row],[Profit]]&gt;=500,"Good", IF(Table1[[#This Row],[Profit]]&lt;500,"Low")))</f>
        <v>Low</v>
      </c>
      <c r="N1768" s="7" t="str">
        <f>TEXT(Table1[[#This Row],[Order_Date]],"YYY")</f>
        <v>2026</v>
      </c>
    </row>
    <row r="1769" spans="1:14" x14ac:dyDescent="0.3">
      <c r="A1769" s="4">
        <v>46078</v>
      </c>
      <c r="B1769" s="5" t="s">
        <v>16</v>
      </c>
      <c r="C1769" s="5" t="s">
        <v>23</v>
      </c>
      <c r="D1769" s="23">
        <v>607.76</v>
      </c>
      <c r="E1769" s="23">
        <v>274.68</v>
      </c>
      <c r="F1769" s="23">
        <v>333.08</v>
      </c>
      <c r="G1769" s="5" t="s">
        <v>9</v>
      </c>
      <c r="H1769" s="5" t="s">
        <v>7</v>
      </c>
      <c r="I1769" s="5" t="s">
        <v>4</v>
      </c>
      <c r="J1769" s="6">
        <f>Table1[[#This Row],[Profit]]/Table1[[#This Row],[Sales]]</f>
        <v>0.54804528103198624</v>
      </c>
      <c r="K1769" s="5" t="str">
        <f t="shared" si="27"/>
        <v>Low</v>
      </c>
      <c r="L1769" s="5" t="str">
        <f>TEXT(Table1[[#This Row],[Order_Date]],"MMM")</f>
        <v>Feb</v>
      </c>
      <c r="M1769" s="5" t="str">
        <f>IF(Table1[[#This Row],[Profit]]&gt;=1000,"Excellent",IF(Table1[[#This Row],[Profit]]&gt;=500,"Good", IF(Table1[[#This Row],[Profit]]&lt;500,"Low")))</f>
        <v>Low</v>
      </c>
      <c r="N1769" s="7" t="str">
        <f>TEXT(Table1[[#This Row],[Order_Date]],"YYY")</f>
        <v>2026</v>
      </c>
    </row>
    <row r="1770" spans="1:14" x14ac:dyDescent="0.3">
      <c r="A1770" s="4">
        <v>46078</v>
      </c>
      <c r="B1770" s="5" t="s">
        <v>8</v>
      </c>
      <c r="C1770" s="5" t="s">
        <v>26</v>
      </c>
      <c r="D1770" s="23">
        <v>766.73</v>
      </c>
      <c r="E1770" s="23">
        <v>342.91</v>
      </c>
      <c r="F1770" s="23">
        <v>423.82</v>
      </c>
      <c r="G1770" s="5" t="s">
        <v>9</v>
      </c>
      <c r="H1770" s="5" t="s">
        <v>24</v>
      </c>
      <c r="I1770" s="5" t="s">
        <v>25</v>
      </c>
      <c r="J1770" s="6">
        <f>Table1[[#This Row],[Profit]]/Table1[[#This Row],[Sales]]</f>
        <v>0.55276303261904447</v>
      </c>
      <c r="K1770" s="5" t="str">
        <f t="shared" si="27"/>
        <v>Low</v>
      </c>
      <c r="L1770" s="5" t="str">
        <f>TEXT(Table1[[#This Row],[Order_Date]],"MMM")</f>
        <v>Feb</v>
      </c>
      <c r="M1770" s="5" t="str">
        <f>IF(Table1[[#This Row],[Profit]]&gt;=1000,"Excellent",IF(Table1[[#This Row],[Profit]]&gt;=500,"Good", IF(Table1[[#This Row],[Profit]]&lt;500,"Low")))</f>
        <v>Low</v>
      </c>
      <c r="N1770" s="7" t="str">
        <f>TEXT(Table1[[#This Row],[Order_Date]],"YYY")</f>
        <v>2026</v>
      </c>
    </row>
    <row r="1771" spans="1:14" x14ac:dyDescent="0.3">
      <c r="A1771" s="4">
        <v>46079</v>
      </c>
      <c r="B1771" s="5" t="s">
        <v>8</v>
      </c>
      <c r="C1771" s="5" t="s">
        <v>19</v>
      </c>
      <c r="D1771" s="23">
        <v>133.21</v>
      </c>
      <c r="E1771" s="23">
        <v>42.74</v>
      </c>
      <c r="F1771" s="23">
        <v>90.47</v>
      </c>
      <c r="G1771" s="5" t="s">
        <v>20</v>
      </c>
      <c r="H1771" s="5" t="s">
        <v>34</v>
      </c>
      <c r="I1771" s="5" t="s">
        <v>11</v>
      </c>
      <c r="J1771" s="6">
        <f>Table1[[#This Row],[Profit]]/Table1[[#This Row],[Sales]]</f>
        <v>0.67915321672547102</v>
      </c>
      <c r="K1771" s="5" t="str">
        <f t="shared" si="27"/>
        <v>Low</v>
      </c>
      <c r="L1771" s="5" t="str">
        <f>TEXT(Table1[[#This Row],[Order_Date]],"MMM")</f>
        <v>Feb</v>
      </c>
      <c r="M1771" s="5" t="str">
        <f>IF(Table1[[#This Row],[Profit]]&gt;=1000,"Excellent",IF(Table1[[#This Row],[Profit]]&gt;=500,"Good", IF(Table1[[#This Row],[Profit]]&lt;500,"Low")))</f>
        <v>Low</v>
      </c>
      <c r="N1771" s="7" t="str">
        <f>TEXT(Table1[[#This Row],[Order_Date]],"YYY")</f>
        <v>2026</v>
      </c>
    </row>
    <row r="1772" spans="1:14" x14ac:dyDescent="0.3">
      <c r="A1772" s="4">
        <v>46079</v>
      </c>
      <c r="B1772" s="5" t="s">
        <v>8</v>
      </c>
      <c r="C1772" s="5" t="s">
        <v>1</v>
      </c>
      <c r="D1772" s="23">
        <v>250.22</v>
      </c>
      <c r="E1772" s="23">
        <v>162.18</v>
      </c>
      <c r="F1772" s="23">
        <v>88.04</v>
      </c>
      <c r="G1772" s="5" t="s">
        <v>6</v>
      </c>
      <c r="H1772" s="5" t="s">
        <v>7</v>
      </c>
      <c r="I1772" s="5" t="s">
        <v>17</v>
      </c>
      <c r="J1772" s="6">
        <f>Table1[[#This Row],[Profit]]/Table1[[#This Row],[Sales]]</f>
        <v>0.35185037167292788</v>
      </c>
      <c r="K1772" s="5" t="str">
        <f t="shared" si="27"/>
        <v>Low</v>
      </c>
      <c r="L1772" s="5" t="str">
        <f>TEXT(Table1[[#This Row],[Order_Date]],"MMM")</f>
        <v>Feb</v>
      </c>
      <c r="M1772" s="5" t="str">
        <f>IF(Table1[[#This Row],[Profit]]&gt;=1000,"Excellent",IF(Table1[[#This Row],[Profit]]&gt;=500,"Good", IF(Table1[[#This Row],[Profit]]&lt;500,"Low")))</f>
        <v>Low</v>
      </c>
      <c r="N1772" s="7" t="str">
        <f>TEXT(Table1[[#This Row],[Order_Date]],"YYY")</f>
        <v>2026</v>
      </c>
    </row>
    <row r="1773" spans="1:14" x14ac:dyDescent="0.3">
      <c r="A1773" s="4">
        <v>46079</v>
      </c>
      <c r="B1773" s="5" t="s">
        <v>16</v>
      </c>
      <c r="C1773" s="5" t="s">
        <v>14</v>
      </c>
      <c r="D1773" s="23">
        <v>53.49</v>
      </c>
      <c r="E1773" s="23">
        <v>25.9</v>
      </c>
      <c r="F1773" s="23">
        <v>27.59</v>
      </c>
      <c r="G1773" s="5" t="s">
        <v>6</v>
      </c>
      <c r="H1773" s="5" t="s">
        <v>30</v>
      </c>
      <c r="I1773" s="5" t="s">
        <v>4</v>
      </c>
      <c r="J1773" s="6">
        <f>Table1[[#This Row],[Profit]]/Table1[[#This Row],[Sales]]</f>
        <v>0.51579734529818655</v>
      </c>
      <c r="K1773" s="5" t="str">
        <f t="shared" si="27"/>
        <v>Low</v>
      </c>
      <c r="L1773" s="5" t="str">
        <f>TEXT(Table1[[#This Row],[Order_Date]],"MMM")</f>
        <v>Feb</v>
      </c>
      <c r="M1773" s="5" t="str">
        <f>IF(Table1[[#This Row],[Profit]]&gt;=1000,"Excellent",IF(Table1[[#This Row],[Profit]]&gt;=500,"Good", IF(Table1[[#This Row],[Profit]]&lt;500,"Low")))</f>
        <v>Low</v>
      </c>
      <c r="N1773" s="7" t="str">
        <f>TEXT(Table1[[#This Row],[Order_Date]],"YYY")</f>
        <v>2026</v>
      </c>
    </row>
    <row r="1774" spans="1:14" x14ac:dyDescent="0.3">
      <c r="A1774" s="4">
        <v>46079</v>
      </c>
      <c r="B1774" s="5" t="s">
        <v>16</v>
      </c>
      <c r="C1774" s="5" t="s">
        <v>5</v>
      </c>
      <c r="D1774" s="23">
        <v>978.22</v>
      </c>
      <c r="E1774" s="23">
        <v>391.53</v>
      </c>
      <c r="F1774" s="23">
        <v>586.69000000000005</v>
      </c>
      <c r="G1774" s="5" t="s">
        <v>9</v>
      </c>
      <c r="H1774" s="5" t="s">
        <v>21</v>
      </c>
      <c r="I1774" s="5" t="s">
        <v>11</v>
      </c>
      <c r="J1774" s="6">
        <f>Table1[[#This Row],[Profit]]/Table1[[#This Row],[Sales]]</f>
        <v>0.59975261188689666</v>
      </c>
      <c r="K1774" s="5" t="str">
        <f t="shared" si="27"/>
        <v>Low</v>
      </c>
      <c r="L1774" s="5" t="str">
        <f>TEXT(Table1[[#This Row],[Order_Date]],"MMM")</f>
        <v>Feb</v>
      </c>
      <c r="M1774" s="5" t="str">
        <f>IF(Table1[[#This Row],[Profit]]&gt;=1000,"Excellent",IF(Table1[[#This Row],[Profit]]&gt;=500,"Good", IF(Table1[[#This Row],[Profit]]&lt;500,"Low")))</f>
        <v>Good</v>
      </c>
      <c r="N1774" s="7" t="str">
        <f>TEXT(Table1[[#This Row],[Order_Date]],"YYY")</f>
        <v>2026</v>
      </c>
    </row>
    <row r="1775" spans="1:14" x14ac:dyDescent="0.3">
      <c r="A1775" s="4">
        <v>46080</v>
      </c>
      <c r="B1775" s="5" t="s">
        <v>13</v>
      </c>
      <c r="C1775" s="5" t="s">
        <v>14</v>
      </c>
      <c r="D1775" s="23">
        <v>369.69</v>
      </c>
      <c r="E1775" s="23">
        <v>186.79</v>
      </c>
      <c r="F1775" s="23">
        <v>182.9</v>
      </c>
      <c r="G1775" s="5" t="s">
        <v>32</v>
      </c>
      <c r="H1775" s="5" t="s">
        <v>28</v>
      </c>
      <c r="I1775" s="5" t="s">
        <v>11</v>
      </c>
      <c r="J1775" s="6">
        <f>Table1[[#This Row],[Profit]]/Table1[[#This Row],[Sales]]</f>
        <v>0.49473883524033652</v>
      </c>
      <c r="K1775" s="5" t="str">
        <f t="shared" si="27"/>
        <v>Low</v>
      </c>
      <c r="L1775" s="5" t="str">
        <f>TEXT(Table1[[#This Row],[Order_Date]],"MMM")</f>
        <v>Feb</v>
      </c>
      <c r="M1775" s="5" t="str">
        <f>IF(Table1[[#This Row],[Profit]]&gt;=1000,"Excellent",IF(Table1[[#This Row],[Profit]]&gt;=500,"Good", IF(Table1[[#This Row],[Profit]]&lt;500,"Low")))</f>
        <v>Low</v>
      </c>
      <c r="N1775" s="7" t="str">
        <f>TEXT(Table1[[#This Row],[Order_Date]],"YYY")</f>
        <v>2026</v>
      </c>
    </row>
    <row r="1776" spans="1:14" x14ac:dyDescent="0.3">
      <c r="A1776" s="4">
        <v>46081</v>
      </c>
      <c r="B1776" s="5" t="s">
        <v>0</v>
      </c>
      <c r="C1776" s="5" t="s">
        <v>14</v>
      </c>
      <c r="D1776" s="23">
        <v>229.48</v>
      </c>
      <c r="E1776" s="23">
        <v>104.21</v>
      </c>
      <c r="F1776" s="23">
        <v>125.27</v>
      </c>
      <c r="G1776" s="5" t="s">
        <v>20</v>
      </c>
      <c r="H1776" s="5" t="s">
        <v>28</v>
      </c>
      <c r="I1776" s="5" t="s">
        <v>11</v>
      </c>
      <c r="J1776" s="6">
        <f>Table1[[#This Row],[Profit]]/Table1[[#This Row],[Sales]]</f>
        <v>0.54588635175178668</v>
      </c>
      <c r="K1776" s="5" t="str">
        <f t="shared" si="27"/>
        <v>Low</v>
      </c>
      <c r="L1776" s="5" t="str">
        <f>TEXT(Table1[[#This Row],[Order_Date]],"MMM")</f>
        <v>Feb</v>
      </c>
      <c r="M1776" s="5" t="str">
        <f>IF(Table1[[#This Row],[Profit]]&gt;=1000,"Excellent",IF(Table1[[#This Row],[Profit]]&gt;=500,"Good", IF(Table1[[#This Row],[Profit]]&lt;500,"Low")))</f>
        <v>Low</v>
      </c>
      <c r="N1776" s="7" t="str">
        <f>TEXT(Table1[[#This Row],[Order_Date]],"YYY")</f>
        <v>2026</v>
      </c>
    </row>
    <row r="1777" spans="1:14" x14ac:dyDescent="0.3">
      <c r="A1777" s="4">
        <v>46081</v>
      </c>
      <c r="B1777" s="5" t="s">
        <v>8</v>
      </c>
      <c r="C1777" s="5" t="s">
        <v>1</v>
      </c>
      <c r="D1777" s="23">
        <v>1167.6099999999999</v>
      </c>
      <c r="E1777" s="23">
        <v>815.81</v>
      </c>
      <c r="F1777" s="23">
        <v>351.8</v>
      </c>
      <c r="G1777" s="5" t="s">
        <v>20</v>
      </c>
      <c r="H1777" s="5" t="s">
        <v>10</v>
      </c>
      <c r="I1777" s="5" t="s">
        <v>22</v>
      </c>
      <c r="J1777" s="6">
        <f>Table1[[#This Row],[Profit]]/Table1[[#This Row],[Sales]]</f>
        <v>0.30129923518983226</v>
      </c>
      <c r="K1777" s="5" t="str">
        <f t="shared" si="27"/>
        <v>Low</v>
      </c>
      <c r="L1777" s="5" t="str">
        <f>TEXT(Table1[[#This Row],[Order_Date]],"MMM")</f>
        <v>Feb</v>
      </c>
      <c r="M1777" s="5" t="str">
        <f>IF(Table1[[#This Row],[Profit]]&gt;=1000,"Excellent",IF(Table1[[#This Row],[Profit]]&gt;=500,"Good", IF(Table1[[#This Row],[Profit]]&lt;500,"Low")))</f>
        <v>Low</v>
      </c>
      <c r="N1777" s="7" t="str">
        <f>TEXT(Table1[[#This Row],[Order_Date]],"YYY")</f>
        <v>2026</v>
      </c>
    </row>
    <row r="1778" spans="1:14" x14ac:dyDescent="0.3">
      <c r="A1778" s="4">
        <v>46081</v>
      </c>
      <c r="B1778" s="5" t="s">
        <v>8</v>
      </c>
      <c r="C1778" s="5" t="s">
        <v>1</v>
      </c>
      <c r="D1778" s="23">
        <v>968.85</v>
      </c>
      <c r="E1778" s="23">
        <v>484.89</v>
      </c>
      <c r="F1778" s="23">
        <v>483.96</v>
      </c>
      <c r="G1778" s="5" t="s">
        <v>6</v>
      </c>
      <c r="H1778" s="5" t="s">
        <v>3</v>
      </c>
      <c r="I1778" s="5" t="s">
        <v>25</v>
      </c>
      <c r="J1778" s="6">
        <f>Table1[[#This Row],[Profit]]/Table1[[#This Row],[Sales]]</f>
        <v>0.49952004954327289</v>
      </c>
      <c r="K1778" s="5" t="str">
        <f t="shared" si="27"/>
        <v>Low</v>
      </c>
      <c r="L1778" s="5" t="str">
        <f>TEXT(Table1[[#This Row],[Order_Date]],"MMM")</f>
        <v>Feb</v>
      </c>
      <c r="M1778" s="5" t="str">
        <f>IF(Table1[[#This Row],[Profit]]&gt;=1000,"Excellent",IF(Table1[[#This Row],[Profit]]&gt;=500,"Good", IF(Table1[[#This Row],[Profit]]&lt;500,"Low")))</f>
        <v>Low</v>
      </c>
      <c r="N1778" s="7" t="str">
        <f>TEXT(Table1[[#This Row],[Order_Date]],"YYY")</f>
        <v>2026</v>
      </c>
    </row>
    <row r="1779" spans="1:14" x14ac:dyDescent="0.3">
      <c r="A1779" s="4">
        <v>46081</v>
      </c>
      <c r="B1779" s="5" t="s">
        <v>8</v>
      </c>
      <c r="C1779" s="5" t="s">
        <v>26</v>
      </c>
      <c r="D1779" s="23">
        <v>1009.87</v>
      </c>
      <c r="E1779" s="23">
        <v>339.87</v>
      </c>
      <c r="F1779" s="23">
        <v>670</v>
      </c>
      <c r="G1779" s="5" t="s">
        <v>6</v>
      </c>
      <c r="H1779" s="5" t="s">
        <v>35</v>
      </c>
      <c r="I1779" s="5" t="s">
        <v>22</v>
      </c>
      <c r="J1779" s="6">
        <f>Table1[[#This Row],[Profit]]/Table1[[#This Row],[Sales]]</f>
        <v>0.66345173141097369</v>
      </c>
      <c r="K1779" s="5" t="str">
        <f t="shared" si="27"/>
        <v>Low</v>
      </c>
      <c r="L1779" s="5" t="str">
        <f>TEXT(Table1[[#This Row],[Order_Date]],"MMM")</f>
        <v>Feb</v>
      </c>
      <c r="M1779" s="5" t="str">
        <f>IF(Table1[[#This Row],[Profit]]&gt;=1000,"Excellent",IF(Table1[[#This Row],[Profit]]&gt;=500,"Good", IF(Table1[[#This Row],[Profit]]&lt;500,"Low")))</f>
        <v>Good</v>
      </c>
      <c r="N1779" s="7" t="str">
        <f>TEXT(Table1[[#This Row],[Order_Date]],"YYY")</f>
        <v>2026</v>
      </c>
    </row>
    <row r="1780" spans="1:14" x14ac:dyDescent="0.3">
      <c r="A1780" s="4">
        <v>46082</v>
      </c>
      <c r="B1780" s="5" t="s">
        <v>18</v>
      </c>
      <c r="C1780" s="5" t="s">
        <v>14</v>
      </c>
      <c r="D1780" s="23">
        <v>395.6</v>
      </c>
      <c r="E1780" s="23">
        <v>139.21</v>
      </c>
      <c r="F1780" s="23">
        <v>256.39</v>
      </c>
      <c r="G1780" s="5" t="s">
        <v>9</v>
      </c>
      <c r="H1780" s="5" t="s">
        <v>29</v>
      </c>
      <c r="I1780" s="5" t="s">
        <v>25</v>
      </c>
      <c r="J1780" s="6">
        <f>Table1[[#This Row],[Profit]]/Table1[[#This Row],[Sales]]</f>
        <v>0.64810414560161778</v>
      </c>
      <c r="K1780" s="5" t="str">
        <f t="shared" si="27"/>
        <v>Low</v>
      </c>
      <c r="L1780" s="5" t="str">
        <f>TEXT(Table1[[#This Row],[Order_Date]],"MMM")</f>
        <v>Mar</v>
      </c>
      <c r="M1780" s="5" t="str">
        <f>IF(Table1[[#This Row],[Profit]]&gt;=1000,"Excellent",IF(Table1[[#This Row],[Profit]]&gt;=500,"Good", IF(Table1[[#This Row],[Profit]]&lt;500,"Low")))</f>
        <v>Low</v>
      </c>
      <c r="N1780" s="7" t="str">
        <f>TEXT(Table1[[#This Row],[Order_Date]],"YYY")</f>
        <v>2026</v>
      </c>
    </row>
    <row r="1781" spans="1:14" x14ac:dyDescent="0.3">
      <c r="A1781" s="4">
        <v>46082</v>
      </c>
      <c r="B1781" s="5" t="s">
        <v>0</v>
      </c>
      <c r="C1781" s="5" t="s">
        <v>23</v>
      </c>
      <c r="D1781" s="23">
        <v>843.87</v>
      </c>
      <c r="E1781" s="23">
        <v>370.92</v>
      </c>
      <c r="F1781" s="23">
        <v>472.95</v>
      </c>
      <c r="G1781" s="5" t="s">
        <v>9</v>
      </c>
      <c r="H1781" s="5" t="s">
        <v>12</v>
      </c>
      <c r="I1781" s="5" t="s">
        <v>4</v>
      </c>
      <c r="J1781" s="6">
        <f>Table1[[#This Row],[Profit]]/Table1[[#This Row],[Sales]]</f>
        <v>0.56045362437342239</v>
      </c>
      <c r="K1781" s="5" t="str">
        <f t="shared" si="27"/>
        <v>Low</v>
      </c>
      <c r="L1781" s="5" t="str">
        <f>TEXT(Table1[[#This Row],[Order_Date]],"MMM")</f>
        <v>Mar</v>
      </c>
      <c r="M1781" s="5" t="str">
        <f>IF(Table1[[#This Row],[Profit]]&gt;=1000,"Excellent",IF(Table1[[#This Row],[Profit]]&gt;=500,"Good", IF(Table1[[#This Row],[Profit]]&lt;500,"Low")))</f>
        <v>Low</v>
      </c>
      <c r="N1781" s="7" t="str">
        <f>TEXT(Table1[[#This Row],[Order_Date]],"YYY")</f>
        <v>2026</v>
      </c>
    </row>
    <row r="1782" spans="1:14" x14ac:dyDescent="0.3">
      <c r="A1782" s="4">
        <v>46083</v>
      </c>
      <c r="B1782" s="5" t="s">
        <v>13</v>
      </c>
      <c r="C1782" s="5" t="s">
        <v>26</v>
      </c>
      <c r="D1782" s="23">
        <v>940.96</v>
      </c>
      <c r="E1782" s="23">
        <v>387.47</v>
      </c>
      <c r="F1782" s="23">
        <v>553.49</v>
      </c>
      <c r="G1782" s="5" t="s">
        <v>6</v>
      </c>
      <c r="H1782" s="5" t="s">
        <v>35</v>
      </c>
      <c r="I1782" s="5" t="s">
        <v>25</v>
      </c>
      <c r="J1782" s="6">
        <f>Table1[[#This Row],[Profit]]/Table1[[#This Row],[Sales]]</f>
        <v>0.58821841523550411</v>
      </c>
      <c r="K1782" s="5" t="str">
        <f t="shared" si="27"/>
        <v>Low</v>
      </c>
      <c r="L1782" s="5" t="str">
        <f>TEXT(Table1[[#This Row],[Order_Date]],"MMM")</f>
        <v>Mar</v>
      </c>
      <c r="M1782" s="5" t="str">
        <f>IF(Table1[[#This Row],[Profit]]&gt;=1000,"Excellent",IF(Table1[[#This Row],[Profit]]&gt;=500,"Good", IF(Table1[[#This Row],[Profit]]&lt;500,"Low")))</f>
        <v>Good</v>
      </c>
      <c r="N1782" s="7" t="str">
        <f>TEXT(Table1[[#This Row],[Order_Date]],"YYY")</f>
        <v>2026</v>
      </c>
    </row>
    <row r="1783" spans="1:14" x14ac:dyDescent="0.3">
      <c r="A1783" s="4">
        <v>46083</v>
      </c>
      <c r="B1783" s="5" t="s">
        <v>0</v>
      </c>
      <c r="C1783" s="5" t="s">
        <v>5</v>
      </c>
      <c r="D1783" s="23">
        <v>2098.04</v>
      </c>
      <c r="E1783" s="23">
        <v>704.26</v>
      </c>
      <c r="F1783" s="23">
        <v>1393.78</v>
      </c>
      <c r="G1783" s="5" t="s">
        <v>20</v>
      </c>
      <c r="H1783" s="5" t="s">
        <v>36</v>
      </c>
      <c r="I1783" s="5" t="s">
        <v>22</v>
      </c>
      <c r="J1783" s="6">
        <f>Table1[[#This Row],[Profit]]/Table1[[#This Row],[Sales]]</f>
        <v>0.66432479838325298</v>
      </c>
      <c r="K1783" s="5" t="str">
        <f t="shared" si="27"/>
        <v>High</v>
      </c>
      <c r="L1783" s="5" t="str">
        <f>TEXT(Table1[[#This Row],[Order_Date]],"MMM")</f>
        <v>Mar</v>
      </c>
      <c r="M1783" s="5" t="str">
        <f>IF(Table1[[#This Row],[Profit]]&gt;=1000,"Excellent",IF(Table1[[#This Row],[Profit]]&gt;=500,"Good", IF(Table1[[#This Row],[Profit]]&lt;500,"Low")))</f>
        <v>Excellent</v>
      </c>
      <c r="N1783" s="7" t="str">
        <f>TEXT(Table1[[#This Row],[Order_Date]],"YYY")</f>
        <v>2026</v>
      </c>
    </row>
    <row r="1784" spans="1:14" x14ac:dyDescent="0.3">
      <c r="A1784" s="4">
        <v>46083</v>
      </c>
      <c r="B1784" s="5" t="s">
        <v>0</v>
      </c>
      <c r="C1784" s="5" t="s">
        <v>26</v>
      </c>
      <c r="D1784" s="23">
        <v>372.07</v>
      </c>
      <c r="E1784" s="23">
        <v>165.72</v>
      </c>
      <c r="F1784" s="23">
        <v>206.35</v>
      </c>
      <c r="G1784" s="5" t="s">
        <v>2</v>
      </c>
      <c r="H1784" s="5" t="s">
        <v>12</v>
      </c>
      <c r="I1784" s="5" t="s">
        <v>27</v>
      </c>
      <c r="J1784" s="6">
        <f>Table1[[#This Row],[Profit]]/Table1[[#This Row],[Sales]]</f>
        <v>0.55459994087134146</v>
      </c>
      <c r="K1784" s="5" t="str">
        <f t="shared" si="27"/>
        <v>Low</v>
      </c>
      <c r="L1784" s="5" t="str">
        <f>TEXT(Table1[[#This Row],[Order_Date]],"MMM")</f>
        <v>Mar</v>
      </c>
      <c r="M1784" s="5" t="str">
        <f>IF(Table1[[#This Row],[Profit]]&gt;=1000,"Excellent",IF(Table1[[#This Row],[Profit]]&gt;=500,"Good", IF(Table1[[#This Row],[Profit]]&lt;500,"Low")))</f>
        <v>Low</v>
      </c>
      <c r="N1784" s="7" t="str">
        <f>TEXT(Table1[[#This Row],[Order_Date]],"YYY")</f>
        <v>2026</v>
      </c>
    </row>
    <row r="1785" spans="1:14" x14ac:dyDescent="0.3">
      <c r="A1785" s="4">
        <v>46083</v>
      </c>
      <c r="B1785" s="5" t="s">
        <v>0</v>
      </c>
      <c r="C1785" s="5" t="s">
        <v>31</v>
      </c>
      <c r="D1785" s="23">
        <v>10.77</v>
      </c>
      <c r="E1785" s="23">
        <v>3.81</v>
      </c>
      <c r="F1785" s="23">
        <v>6.96</v>
      </c>
      <c r="G1785" s="5" t="s">
        <v>9</v>
      </c>
      <c r="H1785" s="5" t="s">
        <v>30</v>
      </c>
      <c r="I1785" s="5" t="s">
        <v>4</v>
      </c>
      <c r="J1785" s="6">
        <f>Table1[[#This Row],[Profit]]/Table1[[#This Row],[Sales]]</f>
        <v>0.64623955431754876</v>
      </c>
      <c r="K1785" s="5" t="str">
        <f t="shared" si="27"/>
        <v>Low</v>
      </c>
      <c r="L1785" s="5" t="str">
        <f>TEXT(Table1[[#This Row],[Order_Date]],"MMM")</f>
        <v>Mar</v>
      </c>
      <c r="M1785" s="5" t="str">
        <f>IF(Table1[[#This Row],[Profit]]&gt;=1000,"Excellent",IF(Table1[[#This Row],[Profit]]&gt;=500,"Good", IF(Table1[[#This Row],[Profit]]&lt;500,"Low")))</f>
        <v>Low</v>
      </c>
      <c r="N1785" s="7" t="str">
        <f>TEXT(Table1[[#This Row],[Order_Date]],"YYY")</f>
        <v>2026</v>
      </c>
    </row>
    <row r="1786" spans="1:14" x14ac:dyDescent="0.3">
      <c r="A1786" s="4">
        <v>46084</v>
      </c>
      <c r="B1786" s="5" t="s">
        <v>13</v>
      </c>
      <c r="C1786" s="5" t="s">
        <v>19</v>
      </c>
      <c r="D1786" s="23">
        <v>63.14</v>
      </c>
      <c r="E1786" s="23">
        <v>15.04</v>
      </c>
      <c r="F1786" s="23">
        <v>48.1</v>
      </c>
      <c r="G1786" s="5" t="s">
        <v>20</v>
      </c>
      <c r="H1786" s="5" t="s">
        <v>7</v>
      </c>
      <c r="I1786" s="5" t="s">
        <v>25</v>
      </c>
      <c r="J1786" s="6">
        <f>Table1[[#This Row],[Profit]]/Table1[[#This Row],[Sales]]</f>
        <v>0.76179917643332284</v>
      </c>
      <c r="K1786" s="5" t="str">
        <f t="shared" si="27"/>
        <v>Low</v>
      </c>
      <c r="L1786" s="5" t="str">
        <f>TEXT(Table1[[#This Row],[Order_Date]],"MMM")</f>
        <v>Mar</v>
      </c>
      <c r="M1786" s="5" t="str">
        <f>IF(Table1[[#This Row],[Profit]]&gt;=1000,"Excellent",IF(Table1[[#This Row],[Profit]]&gt;=500,"Good", IF(Table1[[#This Row],[Profit]]&lt;500,"Low")))</f>
        <v>Low</v>
      </c>
      <c r="N1786" s="7" t="str">
        <f>TEXT(Table1[[#This Row],[Order_Date]],"YYY")</f>
        <v>2026</v>
      </c>
    </row>
    <row r="1787" spans="1:14" x14ac:dyDescent="0.3">
      <c r="A1787" s="4">
        <v>46086</v>
      </c>
      <c r="B1787" s="5" t="s">
        <v>18</v>
      </c>
      <c r="C1787" s="5" t="s">
        <v>5</v>
      </c>
      <c r="D1787" s="23">
        <v>1904.26</v>
      </c>
      <c r="E1787" s="23">
        <v>632.27</v>
      </c>
      <c r="F1787" s="23">
        <v>1271.99</v>
      </c>
      <c r="G1787" s="5" t="s">
        <v>6</v>
      </c>
      <c r="H1787" s="5" t="s">
        <v>36</v>
      </c>
      <c r="I1787" s="5" t="s">
        <v>4</v>
      </c>
      <c r="J1787" s="6">
        <f>Table1[[#This Row],[Profit]]/Table1[[#This Row],[Sales]]</f>
        <v>0.66797076029533786</v>
      </c>
      <c r="K1787" s="5" t="str">
        <f t="shared" si="27"/>
        <v>Medium</v>
      </c>
      <c r="L1787" s="5" t="str">
        <f>TEXT(Table1[[#This Row],[Order_Date]],"MMM")</f>
        <v>Mar</v>
      </c>
      <c r="M1787" s="5" t="str">
        <f>IF(Table1[[#This Row],[Profit]]&gt;=1000,"Excellent",IF(Table1[[#This Row],[Profit]]&gt;=500,"Good", IF(Table1[[#This Row],[Profit]]&lt;500,"Low")))</f>
        <v>Excellent</v>
      </c>
      <c r="N1787" s="7" t="str">
        <f>TEXT(Table1[[#This Row],[Order_Date]],"YYY")</f>
        <v>2026</v>
      </c>
    </row>
    <row r="1788" spans="1:14" x14ac:dyDescent="0.3">
      <c r="A1788" s="4">
        <v>46087</v>
      </c>
      <c r="B1788" s="5" t="s">
        <v>16</v>
      </c>
      <c r="C1788" s="5" t="s">
        <v>31</v>
      </c>
      <c r="D1788" s="23">
        <v>117.71</v>
      </c>
      <c r="E1788" s="23">
        <v>44.98</v>
      </c>
      <c r="F1788" s="23">
        <v>72.73</v>
      </c>
      <c r="G1788" s="5" t="s">
        <v>9</v>
      </c>
      <c r="H1788" s="5" t="s">
        <v>29</v>
      </c>
      <c r="I1788" s="5" t="s">
        <v>25</v>
      </c>
      <c r="J1788" s="6">
        <f>Table1[[#This Row],[Profit]]/Table1[[#This Row],[Sales]]</f>
        <v>0.6178744371761109</v>
      </c>
      <c r="K1788" s="5" t="str">
        <f t="shared" si="27"/>
        <v>Low</v>
      </c>
      <c r="L1788" s="5" t="str">
        <f>TEXT(Table1[[#This Row],[Order_Date]],"MMM")</f>
        <v>Mar</v>
      </c>
      <c r="M1788" s="5" t="str">
        <f>IF(Table1[[#This Row],[Profit]]&gt;=1000,"Excellent",IF(Table1[[#This Row],[Profit]]&gt;=500,"Good", IF(Table1[[#This Row],[Profit]]&lt;500,"Low")))</f>
        <v>Low</v>
      </c>
      <c r="N1788" s="7" t="str">
        <f>TEXT(Table1[[#This Row],[Order_Date]],"YYY")</f>
        <v>2026</v>
      </c>
    </row>
    <row r="1789" spans="1:14" x14ac:dyDescent="0.3">
      <c r="A1789" s="4">
        <v>46087</v>
      </c>
      <c r="B1789" s="5" t="s">
        <v>18</v>
      </c>
      <c r="C1789" s="5" t="s">
        <v>31</v>
      </c>
      <c r="D1789" s="23">
        <v>110.72</v>
      </c>
      <c r="E1789" s="23">
        <v>42.59</v>
      </c>
      <c r="F1789" s="23">
        <v>68.13</v>
      </c>
      <c r="G1789" s="5" t="s">
        <v>6</v>
      </c>
      <c r="H1789" s="5" t="s">
        <v>28</v>
      </c>
      <c r="I1789" s="5" t="s">
        <v>27</v>
      </c>
      <c r="J1789" s="6">
        <f>Table1[[#This Row],[Profit]]/Table1[[#This Row],[Sales]]</f>
        <v>0.6153359826589595</v>
      </c>
      <c r="K1789" s="5" t="str">
        <f t="shared" si="27"/>
        <v>Low</v>
      </c>
      <c r="L1789" s="5" t="str">
        <f>TEXT(Table1[[#This Row],[Order_Date]],"MMM")</f>
        <v>Mar</v>
      </c>
      <c r="M1789" s="5" t="str">
        <f>IF(Table1[[#This Row],[Profit]]&gt;=1000,"Excellent",IF(Table1[[#This Row],[Profit]]&gt;=500,"Good", IF(Table1[[#This Row],[Profit]]&lt;500,"Low")))</f>
        <v>Low</v>
      </c>
      <c r="N1789" s="7" t="str">
        <f>TEXT(Table1[[#This Row],[Order_Date]],"YYY")</f>
        <v>2026</v>
      </c>
    </row>
    <row r="1790" spans="1:14" x14ac:dyDescent="0.3">
      <c r="A1790" s="4">
        <v>46087</v>
      </c>
      <c r="B1790" s="5" t="s">
        <v>16</v>
      </c>
      <c r="C1790" s="5" t="s">
        <v>14</v>
      </c>
      <c r="D1790" s="23">
        <v>270.89</v>
      </c>
      <c r="E1790" s="23">
        <v>148.78</v>
      </c>
      <c r="F1790" s="23">
        <v>122.11</v>
      </c>
      <c r="G1790" s="5" t="s">
        <v>6</v>
      </c>
      <c r="H1790" s="5" t="s">
        <v>24</v>
      </c>
      <c r="I1790" s="5" t="s">
        <v>11</v>
      </c>
      <c r="J1790" s="6">
        <f>Table1[[#This Row],[Profit]]/Table1[[#This Row],[Sales]]</f>
        <v>0.45077337664734768</v>
      </c>
      <c r="K1790" s="5" t="str">
        <f t="shared" si="27"/>
        <v>Low</v>
      </c>
      <c r="L1790" s="5" t="str">
        <f>TEXT(Table1[[#This Row],[Order_Date]],"MMM")</f>
        <v>Mar</v>
      </c>
      <c r="M1790" s="5" t="str">
        <f>IF(Table1[[#This Row],[Profit]]&gt;=1000,"Excellent",IF(Table1[[#This Row],[Profit]]&gt;=500,"Good", IF(Table1[[#This Row],[Profit]]&lt;500,"Low")))</f>
        <v>Low</v>
      </c>
      <c r="N1790" s="7" t="str">
        <f>TEXT(Table1[[#This Row],[Order_Date]],"YYY")</f>
        <v>2026</v>
      </c>
    </row>
    <row r="1791" spans="1:14" x14ac:dyDescent="0.3">
      <c r="A1791" s="4">
        <v>46087</v>
      </c>
      <c r="B1791" s="5" t="s">
        <v>13</v>
      </c>
      <c r="C1791" s="5" t="s">
        <v>5</v>
      </c>
      <c r="D1791" s="23">
        <v>1654.92</v>
      </c>
      <c r="E1791" s="23">
        <v>794.29</v>
      </c>
      <c r="F1791" s="23">
        <v>860.63</v>
      </c>
      <c r="G1791" s="5" t="s">
        <v>6</v>
      </c>
      <c r="H1791" s="5" t="s">
        <v>12</v>
      </c>
      <c r="I1791" s="5" t="s">
        <v>22</v>
      </c>
      <c r="J1791" s="6">
        <f>Table1[[#This Row],[Profit]]/Table1[[#This Row],[Sales]]</f>
        <v>0.52004326493123532</v>
      </c>
      <c r="K1791" s="5" t="str">
        <f t="shared" si="27"/>
        <v>Medium</v>
      </c>
      <c r="L1791" s="5" t="str">
        <f>TEXT(Table1[[#This Row],[Order_Date]],"MMM")</f>
        <v>Mar</v>
      </c>
      <c r="M1791" s="5" t="str">
        <f>IF(Table1[[#This Row],[Profit]]&gt;=1000,"Excellent",IF(Table1[[#This Row],[Profit]]&gt;=500,"Good", IF(Table1[[#This Row],[Profit]]&lt;500,"Low")))</f>
        <v>Good</v>
      </c>
      <c r="N1791" s="7" t="str">
        <f>TEXT(Table1[[#This Row],[Order_Date]],"YYY")</f>
        <v>2026</v>
      </c>
    </row>
    <row r="1792" spans="1:14" x14ac:dyDescent="0.3">
      <c r="A1792" s="4">
        <v>46088</v>
      </c>
      <c r="B1792" s="5" t="s">
        <v>18</v>
      </c>
      <c r="C1792" s="5" t="s">
        <v>14</v>
      </c>
      <c r="D1792" s="23">
        <v>187.91</v>
      </c>
      <c r="E1792" s="23">
        <v>75.11</v>
      </c>
      <c r="F1792" s="23">
        <v>112.8</v>
      </c>
      <c r="G1792" s="5" t="s">
        <v>32</v>
      </c>
      <c r="H1792" s="5" t="s">
        <v>34</v>
      </c>
      <c r="I1792" s="5" t="s">
        <v>4</v>
      </c>
      <c r="J1792" s="6">
        <f>Table1[[#This Row],[Profit]]/Table1[[#This Row],[Sales]]</f>
        <v>0.60028737161407053</v>
      </c>
      <c r="K1792" s="5" t="str">
        <f t="shared" si="27"/>
        <v>Low</v>
      </c>
      <c r="L1792" s="5" t="str">
        <f>TEXT(Table1[[#This Row],[Order_Date]],"MMM")</f>
        <v>Mar</v>
      </c>
      <c r="M1792" s="5" t="str">
        <f>IF(Table1[[#This Row],[Profit]]&gt;=1000,"Excellent",IF(Table1[[#This Row],[Profit]]&gt;=500,"Good", IF(Table1[[#This Row],[Profit]]&lt;500,"Low")))</f>
        <v>Low</v>
      </c>
      <c r="N1792" s="7" t="str">
        <f>TEXT(Table1[[#This Row],[Order_Date]],"YYY")</f>
        <v>2026</v>
      </c>
    </row>
    <row r="1793" spans="1:14" x14ac:dyDescent="0.3">
      <c r="A1793" s="4">
        <v>46088</v>
      </c>
      <c r="B1793" s="5" t="s">
        <v>13</v>
      </c>
      <c r="C1793" s="5" t="s">
        <v>31</v>
      </c>
      <c r="D1793" s="23">
        <v>13.71</v>
      </c>
      <c r="E1793" s="23">
        <v>3.64</v>
      </c>
      <c r="F1793" s="23">
        <v>10.07</v>
      </c>
      <c r="G1793" s="5" t="s">
        <v>32</v>
      </c>
      <c r="H1793" s="5" t="s">
        <v>21</v>
      </c>
      <c r="I1793" s="5" t="s">
        <v>17</v>
      </c>
      <c r="J1793" s="6">
        <f>Table1[[#This Row],[Profit]]/Table1[[#This Row],[Sales]]</f>
        <v>0.73450036469730118</v>
      </c>
      <c r="K1793" s="5" t="str">
        <f t="shared" si="27"/>
        <v>Low</v>
      </c>
      <c r="L1793" s="5" t="str">
        <f>TEXT(Table1[[#This Row],[Order_Date]],"MMM")</f>
        <v>Mar</v>
      </c>
      <c r="M1793" s="5" t="str">
        <f>IF(Table1[[#This Row],[Profit]]&gt;=1000,"Excellent",IF(Table1[[#This Row],[Profit]]&gt;=500,"Good", IF(Table1[[#This Row],[Profit]]&lt;500,"Low")))</f>
        <v>Low</v>
      </c>
      <c r="N1793" s="7" t="str">
        <f>TEXT(Table1[[#This Row],[Order_Date]],"YYY")</f>
        <v>2026</v>
      </c>
    </row>
    <row r="1794" spans="1:14" x14ac:dyDescent="0.3">
      <c r="A1794" s="4">
        <v>46089</v>
      </c>
      <c r="B1794" s="5" t="s">
        <v>8</v>
      </c>
      <c r="C1794" s="5" t="s">
        <v>14</v>
      </c>
      <c r="D1794" s="23">
        <v>294.36</v>
      </c>
      <c r="E1794" s="23">
        <v>128.6</v>
      </c>
      <c r="F1794" s="23">
        <v>165.76</v>
      </c>
      <c r="G1794" s="5" t="s">
        <v>32</v>
      </c>
      <c r="H1794" s="5" t="s">
        <v>12</v>
      </c>
      <c r="I1794" s="5" t="s">
        <v>25</v>
      </c>
      <c r="J1794" s="6">
        <f>Table1[[#This Row],[Profit]]/Table1[[#This Row],[Sales]]</f>
        <v>0.56311998912895767</v>
      </c>
      <c r="K1794" s="5" t="str">
        <f t="shared" ref="K1794:K1857" si="28">IF(D1794&gt;=2000,"High",IF(D1794&gt;=1500,"Medium","Low"))</f>
        <v>Low</v>
      </c>
      <c r="L1794" s="5" t="str">
        <f>TEXT(Table1[[#This Row],[Order_Date]],"MMM")</f>
        <v>Mar</v>
      </c>
      <c r="M1794" s="5" t="str">
        <f>IF(Table1[[#This Row],[Profit]]&gt;=1000,"Excellent",IF(Table1[[#This Row],[Profit]]&gt;=500,"Good", IF(Table1[[#This Row],[Profit]]&lt;500,"Low")))</f>
        <v>Low</v>
      </c>
      <c r="N1794" s="7" t="str">
        <f>TEXT(Table1[[#This Row],[Order_Date]],"YYY")</f>
        <v>2026</v>
      </c>
    </row>
    <row r="1795" spans="1:14" x14ac:dyDescent="0.3">
      <c r="A1795" s="4">
        <v>46089</v>
      </c>
      <c r="B1795" s="5" t="s">
        <v>13</v>
      </c>
      <c r="C1795" s="5" t="s">
        <v>26</v>
      </c>
      <c r="D1795" s="23">
        <v>564.54</v>
      </c>
      <c r="E1795" s="23">
        <v>157.63</v>
      </c>
      <c r="F1795" s="23">
        <v>406.91</v>
      </c>
      <c r="G1795" s="5" t="s">
        <v>32</v>
      </c>
      <c r="H1795" s="5" t="s">
        <v>28</v>
      </c>
      <c r="I1795" s="5" t="s">
        <v>4</v>
      </c>
      <c r="J1795" s="6">
        <f>Table1[[#This Row],[Profit]]/Table1[[#This Row],[Sales]]</f>
        <v>0.72078152123853056</v>
      </c>
      <c r="K1795" s="5" t="str">
        <f t="shared" si="28"/>
        <v>Low</v>
      </c>
      <c r="L1795" s="5" t="str">
        <f>TEXT(Table1[[#This Row],[Order_Date]],"MMM")</f>
        <v>Mar</v>
      </c>
      <c r="M1795" s="5" t="str">
        <f>IF(Table1[[#This Row],[Profit]]&gt;=1000,"Excellent",IF(Table1[[#This Row],[Profit]]&gt;=500,"Good", IF(Table1[[#This Row],[Profit]]&lt;500,"Low")))</f>
        <v>Low</v>
      </c>
      <c r="N1795" s="7" t="str">
        <f>TEXT(Table1[[#This Row],[Order_Date]],"YYY")</f>
        <v>2026</v>
      </c>
    </row>
    <row r="1796" spans="1:14" x14ac:dyDescent="0.3">
      <c r="A1796" s="4">
        <v>46089</v>
      </c>
      <c r="B1796" s="5" t="s">
        <v>18</v>
      </c>
      <c r="C1796" s="5" t="s">
        <v>23</v>
      </c>
      <c r="D1796" s="23">
        <v>500.31</v>
      </c>
      <c r="E1796" s="23">
        <v>220.17</v>
      </c>
      <c r="F1796" s="23">
        <v>280.14</v>
      </c>
      <c r="G1796" s="5" t="s">
        <v>2</v>
      </c>
      <c r="H1796" s="5" t="s">
        <v>37</v>
      </c>
      <c r="I1796" s="5" t="s">
        <v>11</v>
      </c>
      <c r="J1796" s="6">
        <f>Table1[[#This Row],[Profit]]/Table1[[#This Row],[Sales]]</f>
        <v>0.55993284163818424</v>
      </c>
      <c r="K1796" s="5" t="str">
        <f t="shared" si="28"/>
        <v>Low</v>
      </c>
      <c r="L1796" s="5" t="str">
        <f>TEXT(Table1[[#This Row],[Order_Date]],"MMM")</f>
        <v>Mar</v>
      </c>
      <c r="M1796" s="5" t="str">
        <f>IF(Table1[[#This Row],[Profit]]&gt;=1000,"Excellent",IF(Table1[[#This Row],[Profit]]&gt;=500,"Good", IF(Table1[[#This Row],[Profit]]&lt;500,"Low")))</f>
        <v>Low</v>
      </c>
      <c r="N1796" s="7" t="str">
        <f>TEXT(Table1[[#This Row],[Order_Date]],"YYY")</f>
        <v>2026</v>
      </c>
    </row>
    <row r="1797" spans="1:14" x14ac:dyDescent="0.3">
      <c r="A1797" s="4">
        <v>46090</v>
      </c>
      <c r="B1797" s="5" t="s">
        <v>0</v>
      </c>
      <c r="C1797" s="5" t="s">
        <v>26</v>
      </c>
      <c r="D1797" s="23">
        <v>866.11</v>
      </c>
      <c r="E1797" s="23">
        <v>378.42</v>
      </c>
      <c r="F1797" s="23">
        <v>487.69</v>
      </c>
      <c r="G1797" s="5" t="s">
        <v>6</v>
      </c>
      <c r="H1797" s="5" t="s">
        <v>3</v>
      </c>
      <c r="I1797" s="5" t="s">
        <v>27</v>
      </c>
      <c r="J1797" s="6">
        <f>Table1[[#This Row],[Profit]]/Table1[[#This Row],[Sales]]</f>
        <v>0.56308090196395377</v>
      </c>
      <c r="K1797" s="5" t="str">
        <f t="shared" si="28"/>
        <v>Low</v>
      </c>
      <c r="L1797" s="5" t="str">
        <f>TEXT(Table1[[#This Row],[Order_Date]],"MMM")</f>
        <v>Mar</v>
      </c>
      <c r="M1797" s="5" t="str">
        <f>IF(Table1[[#This Row],[Profit]]&gt;=1000,"Excellent",IF(Table1[[#This Row],[Profit]]&gt;=500,"Good", IF(Table1[[#This Row],[Profit]]&lt;500,"Low")))</f>
        <v>Low</v>
      </c>
      <c r="N1797" s="7" t="str">
        <f>TEXT(Table1[[#This Row],[Order_Date]],"YYY")</f>
        <v>2026</v>
      </c>
    </row>
    <row r="1798" spans="1:14" x14ac:dyDescent="0.3">
      <c r="A1798" s="4">
        <v>46091</v>
      </c>
      <c r="B1798" s="5" t="s">
        <v>13</v>
      </c>
      <c r="C1798" s="5" t="s">
        <v>31</v>
      </c>
      <c r="D1798" s="23">
        <v>11.98</v>
      </c>
      <c r="E1798" s="23">
        <v>3.87</v>
      </c>
      <c r="F1798" s="23">
        <v>8.11</v>
      </c>
      <c r="G1798" s="5" t="s">
        <v>2</v>
      </c>
      <c r="H1798" s="5" t="s">
        <v>36</v>
      </c>
      <c r="I1798" s="5" t="s">
        <v>27</v>
      </c>
      <c r="J1798" s="6">
        <f>Table1[[#This Row],[Profit]]/Table1[[#This Row],[Sales]]</f>
        <v>0.67696160267111849</v>
      </c>
      <c r="K1798" s="5" t="str">
        <f t="shared" si="28"/>
        <v>Low</v>
      </c>
      <c r="L1798" s="5" t="str">
        <f>TEXT(Table1[[#This Row],[Order_Date]],"MMM")</f>
        <v>Mar</v>
      </c>
      <c r="M1798" s="5" t="str">
        <f>IF(Table1[[#This Row],[Profit]]&gt;=1000,"Excellent",IF(Table1[[#This Row],[Profit]]&gt;=500,"Good", IF(Table1[[#This Row],[Profit]]&lt;500,"Low")))</f>
        <v>Low</v>
      </c>
      <c r="N1798" s="7" t="str">
        <f>TEXT(Table1[[#This Row],[Order_Date]],"YYY")</f>
        <v>2026</v>
      </c>
    </row>
    <row r="1799" spans="1:14" x14ac:dyDescent="0.3">
      <c r="A1799" s="4">
        <v>46091</v>
      </c>
      <c r="B1799" s="5" t="s">
        <v>18</v>
      </c>
      <c r="C1799" s="5" t="s">
        <v>1</v>
      </c>
      <c r="D1799" s="23">
        <v>637.38</v>
      </c>
      <c r="E1799" s="23">
        <v>341.36</v>
      </c>
      <c r="F1799" s="23">
        <v>296.02</v>
      </c>
      <c r="G1799" s="5" t="s">
        <v>20</v>
      </c>
      <c r="H1799" s="5" t="s">
        <v>33</v>
      </c>
      <c r="I1799" s="5" t="s">
        <v>17</v>
      </c>
      <c r="J1799" s="6">
        <f>Table1[[#This Row],[Profit]]/Table1[[#This Row],[Sales]]</f>
        <v>0.4644325206313345</v>
      </c>
      <c r="K1799" s="5" t="str">
        <f t="shared" si="28"/>
        <v>Low</v>
      </c>
      <c r="L1799" s="5" t="str">
        <f>TEXT(Table1[[#This Row],[Order_Date]],"MMM")</f>
        <v>Mar</v>
      </c>
      <c r="M1799" s="5" t="str">
        <f>IF(Table1[[#This Row],[Profit]]&gt;=1000,"Excellent",IF(Table1[[#This Row],[Profit]]&gt;=500,"Good", IF(Table1[[#This Row],[Profit]]&lt;500,"Low")))</f>
        <v>Low</v>
      </c>
      <c r="N1799" s="7" t="str">
        <f>TEXT(Table1[[#This Row],[Order_Date]],"YYY")</f>
        <v>2026</v>
      </c>
    </row>
    <row r="1800" spans="1:14" x14ac:dyDescent="0.3">
      <c r="A1800" s="4">
        <v>46092</v>
      </c>
      <c r="B1800" s="5" t="s">
        <v>8</v>
      </c>
      <c r="C1800" s="5" t="s">
        <v>31</v>
      </c>
      <c r="D1800" s="23">
        <v>121.09</v>
      </c>
      <c r="E1800" s="23">
        <v>30.74</v>
      </c>
      <c r="F1800" s="23">
        <v>90.35</v>
      </c>
      <c r="G1800" s="5" t="s">
        <v>32</v>
      </c>
      <c r="H1800" s="5" t="s">
        <v>30</v>
      </c>
      <c r="I1800" s="5" t="s">
        <v>27</v>
      </c>
      <c r="J1800" s="6">
        <f>Table1[[#This Row],[Profit]]/Table1[[#This Row],[Sales]]</f>
        <v>0.74613923527954407</v>
      </c>
      <c r="K1800" s="5" t="str">
        <f t="shared" si="28"/>
        <v>Low</v>
      </c>
      <c r="L1800" s="5" t="str">
        <f>TEXT(Table1[[#This Row],[Order_Date]],"MMM")</f>
        <v>Mar</v>
      </c>
      <c r="M1800" s="5" t="str">
        <f>IF(Table1[[#This Row],[Profit]]&gt;=1000,"Excellent",IF(Table1[[#This Row],[Profit]]&gt;=500,"Good", IF(Table1[[#This Row],[Profit]]&lt;500,"Low")))</f>
        <v>Low</v>
      </c>
      <c r="N1800" s="7" t="str">
        <f>TEXT(Table1[[#This Row],[Order_Date]],"YYY")</f>
        <v>2026</v>
      </c>
    </row>
    <row r="1801" spans="1:14" x14ac:dyDescent="0.3">
      <c r="A1801" s="4">
        <v>46094</v>
      </c>
      <c r="B1801" s="5" t="s">
        <v>0</v>
      </c>
      <c r="C1801" s="5" t="s">
        <v>5</v>
      </c>
      <c r="D1801" s="23">
        <v>1835.99</v>
      </c>
      <c r="E1801" s="23">
        <v>879.78</v>
      </c>
      <c r="F1801" s="23">
        <v>956.21</v>
      </c>
      <c r="G1801" s="5" t="s">
        <v>2</v>
      </c>
      <c r="H1801" s="5" t="s">
        <v>28</v>
      </c>
      <c r="I1801" s="5" t="s">
        <v>22</v>
      </c>
      <c r="J1801" s="6">
        <f>Table1[[#This Row],[Profit]]/Table1[[#This Row],[Sales]]</f>
        <v>0.52081438352060738</v>
      </c>
      <c r="K1801" s="5" t="str">
        <f t="shared" si="28"/>
        <v>Medium</v>
      </c>
      <c r="L1801" s="5" t="str">
        <f>TEXT(Table1[[#This Row],[Order_Date]],"MMM")</f>
        <v>Mar</v>
      </c>
      <c r="M1801" s="5" t="str">
        <f>IF(Table1[[#This Row],[Profit]]&gt;=1000,"Excellent",IF(Table1[[#This Row],[Profit]]&gt;=500,"Good", IF(Table1[[#This Row],[Profit]]&lt;500,"Low")))</f>
        <v>Good</v>
      </c>
      <c r="N1801" s="7" t="str">
        <f>TEXT(Table1[[#This Row],[Order_Date]],"YYY")</f>
        <v>2026</v>
      </c>
    </row>
    <row r="1802" spans="1:14" x14ac:dyDescent="0.3">
      <c r="A1802" s="4">
        <v>46096</v>
      </c>
      <c r="B1802" s="5" t="s">
        <v>13</v>
      </c>
      <c r="C1802" s="5" t="s">
        <v>1</v>
      </c>
      <c r="D1802" s="23">
        <v>1130.77</v>
      </c>
      <c r="E1802" s="23">
        <v>566.98</v>
      </c>
      <c r="F1802" s="23">
        <v>563.79</v>
      </c>
      <c r="G1802" s="5" t="s">
        <v>9</v>
      </c>
      <c r="H1802" s="5" t="s">
        <v>21</v>
      </c>
      <c r="I1802" s="5" t="s">
        <v>17</v>
      </c>
      <c r="J1802" s="6">
        <f>Table1[[#This Row],[Profit]]/Table1[[#This Row],[Sales]]</f>
        <v>0.49858945674186611</v>
      </c>
      <c r="K1802" s="5" t="str">
        <f t="shared" si="28"/>
        <v>Low</v>
      </c>
      <c r="L1802" s="5" t="str">
        <f>TEXT(Table1[[#This Row],[Order_Date]],"MMM")</f>
        <v>Mar</v>
      </c>
      <c r="M1802" s="5" t="str">
        <f>IF(Table1[[#This Row],[Profit]]&gt;=1000,"Excellent",IF(Table1[[#This Row],[Profit]]&gt;=500,"Good", IF(Table1[[#This Row],[Profit]]&lt;500,"Low")))</f>
        <v>Good</v>
      </c>
      <c r="N1802" s="7" t="str">
        <f>TEXT(Table1[[#This Row],[Order_Date]],"YYY")</f>
        <v>2026</v>
      </c>
    </row>
    <row r="1803" spans="1:14" x14ac:dyDescent="0.3">
      <c r="A1803" s="4">
        <v>46097</v>
      </c>
      <c r="B1803" s="5" t="s">
        <v>16</v>
      </c>
      <c r="C1803" s="5" t="s">
        <v>19</v>
      </c>
      <c r="D1803" s="23">
        <v>141.69</v>
      </c>
      <c r="E1803" s="23">
        <v>40.619999999999997</v>
      </c>
      <c r="F1803" s="23">
        <v>101.07</v>
      </c>
      <c r="G1803" s="5" t="s">
        <v>20</v>
      </c>
      <c r="H1803" s="5" t="s">
        <v>12</v>
      </c>
      <c r="I1803" s="5" t="s">
        <v>17</v>
      </c>
      <c r="J1803" s="6">
        <f>Table1[[#This Row],[Profit]]/Table1[[#This Row],[Sales]]</f>
        <v>0.71331780647893284</v>
      </c>
      <c r="K1803" s="5" t="str">
        <f t="shared" si="28"/>
        <v>Low</v>
      </c>
      <c r="L1803" s="5" t="str">
        <f>TEXT(Table1[[#This Row],[Order_Date]],"MMM")</f>
        <v>Mar</v>
      </c>
      <c r="M1803" s="5" t="str">
        <f>IF(Table1[[#This Row],[Profit]]&gt;=1000,"Excellent",IF(Table1[[#This Row],[Profit]]&gt;=500,"Good", IF(Table1[[#This Row],[Profit]]&lt;500,"Low")))</f>
        <v>Low</v>
      </c>
      <c r="N1803" s="7" t="str">
        <f>TEXT(Table1[[#This Row],[Order_Date]],"YYY")</f>
        <v>2026</v>
      </c>
    </row>
    <row r="1804" spans="1:14" x14ac:dyDescent="0.3">
      <c r="A1804" s="4">
        <v>46098</v>
      </c>
      <c r="B1804" s="5" t="s">
        <v>13</v>
      </c>
      <c r="C1804" s="5" t="s">
        <v>19</v>
      </c>
      <c r="D1804" s="23">
        <v>140.47</v>
      </c>
      <c r="E1804" s="23">
        <v>40.229999999999997</v>
      </c>
      <c r="F1804" s="23">
        <v>100.24</v>
      </c>
      <c r="G1804" s="5" t="s">
        <v>20</v>
      </c>
      <c r="H1804" s="5" t="s">
        <v>35</v>
      </c>
      <c r="I1804" s="5" t="s">
        <v>25</v>
      </c>
      <c r="J1804" s="6">
        <f>Table1[[#This Row],[Profit]]/Table1[[#This Row],[Sales]]</f>
        <v>0.71360432832633303</v>
      </c>
      <c r="K1804" s="5" t="str">
        <f t="shared" si="28"/>
        <v>Low</v>
      </c>
      <c r="L1804" s="5" t="str">
        <f>TEXT(Table1[[#This Row],[Order_Date]],"MMM")</f>
        <v>Mar</v>
      </c>
      <c r="M1804" s="5" t="str">
        <f>IF(Table1[[#This Row],[Profit]]&gt;=1000,"Excellent",IF(Table1[[#This Row],[Profit]]&gt;=500,"Good", IF(Table1[[#This Row],[Profit]]&lt;500,"Low")))</f>
        <v>Low</v>
      </c>
      <c r="N1804" s="7" t="str">
        <f>TEXT(Table1[[#This Row],[Order_Date]],"YYY")</f>
        <v>2026</v>
      </c>
    </row>
    <row r="1805" spans="1:14" x14ac:dyDescent="0.3">
      <c r="A1805" s="4">
        <v>46099</v>
      </c>
      <c r="B1805" s="5" t="s">
        <v>13</v>
      </c>
      <c r="C1805" s="5" t="s">
        <v>26</v>
      </c>
      <c r="D1805" s="23">
        <v>379.88</v>
      </c>
      <c r="E1805" s="23">
        <v>97.79</v>
      </c>
      <c r="F1805" s="23">
        <v>282.08999999999997</v>
      </c>
      <c r="G1805" s="5" t="s">
        <v>6</v>
      </c>
      <c r="H1805" s="5" t="s">
        <v>21</v>
      </c>
      <c r="I1805" s="5" t="s">
        <v>17</v>
      </c>
      <c r="J1805" s="6">
        <f>Table1[[#This Row],[Profit]]/Table1[[#This Row],[Sales]]</f>
        <v>0.74257660313783291</v>
      </c>
      <c r="K1805" s="5" t="str">
        <f t="shared" si="28"/>
        <v>Low</v>
      </c>
      <c r="L1805" s="5" t="str">
        <f>TEXT(Table1[[#This Row],[Order_Date]],"MMM")</f>
        <v>Mar</v>
      </c>
      <c r="M1805" s="5" t="str">
        <f>IF(Table1[[#This Row],[Profit]]&gt;=1000,"Excellent",IF(Table1[[#This Row],[Profit]]&gt;=500,"Good", IF(Table1[[#This Row],[Profit]]&lt;500,"Low")))</f>
        <v>Low</v>
      </c>
      <c r="N1805" s="7" t="str">
        <f>TEXT(Table1[[#This Row],[Order_Date]],"YYY")</f>
        <v>2026</v>
      </c>
    </row>
    <row r="1806" spans="1:14" x14ac:dyDescent="0.3">
      <c r="A1806" s="4">
        <v>46100</v>
      </c>
      <c r="B1806" s="5" t="s">
        <v>18</v>
      </c>
      <c r="C1806" s="5" t="s">
        <v>19</v>
      </c>
      <c r="D1806" s="23">
        <v>104.88</v>
      </c>
      <c r="E1806" s="23">
        <v>43.32</v>
      </c>
      <c r="F1806" s="23">
        <v>61.56</v>
      </c>
      <c r="G1806" s="5" t="s">
        <v>2</v>
      </c>
      <c r="H1806" s="5" t="s">
        <v>15</v>
      </c>
      <c r="I1806" s="5" t="s">
        <v>11</v>
      </c>
      <c r="J1806" s="6">
        <f>Table1[[#This Row],[Profit]]/Table1[[#This Row],[Sales]]</f>
        <v>0.58695652173913049</v>
      </c>
      <c r="K1806" s="5" t="str">
        <f t="shared" si="28"/>
        <v>Low</v>
      </c>
      <c r="L1806" s="5" t="str">
        <f>TEXT(Table1[[#This Row],[Order_Date]],"MMM")</f>
        <v>Mar</v>
      </c>
      <c r="M1806" s="5" t="str">
        <f>IF(Table1[[#This Row],[Profit]]&gt;=1000,"Excellent",IF(Table1[[#This Row],[Profit]]&gt;=500,"Good", IF(Table1[[#This Row],[Profit]]&lt;500,"Low")))</f>
        <v>Low</v>
      </c>
      <c r="N1806" s="7" t="str">
        <f>TEXT(Table1[[#This Row],[Order_Date]],"YYY")</f>
        <v>2026</v>
      </c>
    </row>
    <row r="1807" spans="1:14" x14ac:dyDescent="0.3">
      <c r="A1807" s="4">
        <v>46101</v>
      </c>
      <c r="B1807" s="5" t="s">
        <v>0</v>
      </c>
      <c r="C1807" s="5" t="s">
        <v>23</v>
      </c>
      <c r="D1807" s="23">
        <v>124.15</v>
      </c>
      <c r="E1807" s="23">
        <v>38.99</v>
      </c>
      <c r="F1807" s="23">
        <v>85.16</v>
      </c>
      <c r="G1807" s="5" t="s">
        <v>6</v>
      </c>
      <c r="H1807" s="5" t="s">
        <v>30</v>
      </c>
      <c r="I1807" s="5" t="s">
        <v>27</v>
      </c>
      <c r="J1807" s="6">
        <f>Table1[[#This Row],[Profit]]/Table1[[#This Row],[Sales]]</f>
        <v>0.68594442207007644</v>
      </c>
      <c r="K1807" s="5" t="str">
        <f t="shared" si="28"/>
        <v>Low</v>
      </c>
      <c r="L1807" s="5" t="str">
        <f>TEXT(Table1[[#This Row],[Order_Date]],"MMM")</f>
        <v>Mar</v>
      </c>
      <c r="M1807" s="5" t="str">
        <f>IF(Table1[[#This Row],[Profit]]&gt;=1000,"Excellent",IF(Table1[[#This Row],[Profit]]&gt;=500,"Good", IF(Table1[[#This Row],[Profit]]&lt;500,"Low")))</f>
        <v>Low</v>
      </c>
      <c r="N1807" s="7" t="str">
        <f>TEXT(Table1[[#This Row],[Order_Date]],"YYY")</f>
        <v>2026</v>
      </c>
    </row>
    <row r="1808" spans="1:14" x14ac:dyDescent="0.3">
      <c r="A1808" s="4">
        <v>46101</v>
      </c>
      <c r="B1808" s="5" t="s">
        <v>18</v>
      </c>
      <c r="C1808" s="5" t="s">
        <v>5</v>
      </c>
      <c r="D1808" s="23">
        <v>1513.72</v>
      </c>
      <c r="E1808" s="23">
        <v>532.41</v>
      </c>
      <c r="F1808" s="23">
        <v>981.31</v>
      </c>
      <c r="G1808" s="5" t="s">
        <v>20</v>
      </c>
      <c r="H1808" s="5" t="s">
        <v>30</v>
      </c>
      <c r="I1808" s="5" t="s">
        <v>17</v>
      </c>
      <c r="J1808" s="6">
        <f>Table1[[#This Row],[Profit]]/Table1[[#This Row],[Sales]]</f>
        <v>0.64827709219670737</v>
      </c>
      <c r="K1808" s="5" t="str">
        <f t="shared" si="28"/>
        <v>Medium</v>
      </c>
      <c r="L1808" s="5" t="str">
        <f>TEXT(Table1[[#This Row],[Order_Date]],"MMM")</f>
        <v>Mar</v>
      </c>
      <c r="M1808" s="5" t="str">
        <f>IF(Table1[[#This Row],[Profit]]&gt;=1000,"Excellent",IF(Table1[[#This Row],[Profit]]&gt;=500,"Good", IF(Table1[[#This Row],[Profit]]&lt;500,"Low")))</f>
        <v>Good</v>
      </c>
      <c r="N1808" s="7" t="str">
        <f>TEXT(Table1[[#This Row],[Order_Date]],"YYY")</f>
        <v>2026</v>
      </c>
    </row>
    <row r="1809" spans="1:14" x14ac:dyDescent="0.3">
      <c r="A1809" s="4">
        <v>46101</v>
      </c>
      <c r="B1809" s="5" t="s">
        <v>13</v>
      </c>
      <c r="C1809" s="5" t="s">
        <v>19</v>
      </c>
      <c r="D1809" s="23">
        <v>41.38</v>
      </c>
      <c r="E1809" s="23">
        <v>12.15</v>
      </c>
      <c r="F1809" s="23">
        <v>29.23</v>
      </c>
      <c r="G1809" s="5" t="s">
        <v>6</v>
      </c>
      <c r="H1809" s="5" t="s">
        <v>35</v>
      </c>
      <c r="I1809" s="5" t="s">
        <v>11</v>
      </c>
      <c r="J1809" s="6">
        <f>Table1[[#This Row],[Profit]]/Table1[[#This Row],[Sales]]</f>
        <v>0.70637989366843879</v>
      </c>
      <c r="K1809" s="5" t="str">
        <f t="shared" si="28"/>
        <v>Low</v>
      </c>
      <c r="L1809" s="5" t="str">
        <f>TEXT(Table1[[#This Row],[Order_Date]],"MMM")</f>
        <v>Mar</v>
      </c>
      <c r="M1809" s="5" t="str">
        <f>IF(Table1[[#This Row],[Profit]]&gt;=1000,"Excellent",IF(Table1[[#This Row],[Profit]]&gt;=500,"Good", IF(Table1[[#This Row],[Profit]]&lt;500,"Low")))</f>
        <v>Low</v>
      </c>
      <c r="N1809" s="7" t="str">
        <f>TEXT(Table1[[#This Row],[Order_Date]],"YYY")</f>
        <v>2026</v>
      </c>
    </row>
    <row r="1810" spans="1:14" x14ac:dyDescent="0.3">
      <c r="A1810" s="4">
        <v>46101</v>
      </c>
      <c r="B1810" s="5" t="s">
        <v>8</v>
      </c>
      <c r="C1810" s="5" t="s">
        <v>5</v>
      </c>
      <c r="D1810" s="23">
        <v>142.36000000000001</v>
      </c>
      <c r="E1810" s="23">
        <v>45.21</v>
      </c>
      <c r="F1810" s="23">
        <v>97.15</v>
      </c>
      <c r="G1810" s="5" t="s">
        <v>2</v>
      </c>
      <c r="H1810" s="5" t="s">
        <v>21</v>
      </c>
      <c r="I1810" s="5" t="s">
        <v>4</v>
      </c>
      <c r="J1810" s="6">
        <f>Table1[[#This Row],[Profit]]/Table1[[#This Row],[Sales]]</f>
        <v>0.68242483843776336</v>
      </c>
      <c r="K1810" s="5" t="str">
        <f t="shared" si="28"/>
        <v>Low</v>
      </c>
      <c r="L1810" s="5" t="str">
        <f>TEXT(Table1[[#This Row],[Order_Date]],"MMM")</f>
        <v>Mar</v>
      </c>
      <c r="M1810" s="5" t="str">
        <f>IF(Table1[[#This Row],[Profit]]&gt;=1000,"Excellent",IF(Table1[[#This Row],[Profit]]&gt;=500,"Good", IF(Table1[[#This Row],[Profit]]&lt;500,"Low")))</f>
        <v>Low</v>
      </c>
      <c r="N1810" s="7" t="str">
        <f>TEXT(Table1[[#This Row],[Order_Date]],"YYY")</f>
        <v>2026</v>
      </c>
    </row>
    <row r="1811" spans="1:14" x14ac:dyDescent="0.3">
      <c r="A1811" s="4">
        <v>46101</v>
      </c>
      <c r="B1811" s="5" t="s">
        <v>8</v>
      </c>
      <c r="C1811" s="5" t="s">
        <v>23</v>
      </c>
      <c r="D1811" s="23">
        <v>361.83</v>
      </c>
      <c r="E1811" s="23">
        <v>112.93</v>
      </c>
      <c r="F1811" s="23">
        <v>248.9</v>
      </c>
      <c r="G1811" s="5" t="s">
        <v>6</v>
      </c>
      <c r="H1811" s="5" t="s">
        <v>3</v>
      </c>
      <c r="I1811" s="5" t="s">
        <v>4</v>
      </c>
      <c r="J1811" s="6">
        <f>Table1[[#This Row],[Profit]]/Table1[[#This Row],[Sales]]</f>
        <v>0.68789210402675294</v>
      </c>
      <c r="K1811" s="5" t="str">
        <f t="shared" si="28"/>
        <v>Low</v>
      </c>
      <c r="L1811" s="5" t="str">
        <f>TEXT(Table1[[#This Row],[Order_Date]],"MMM")</f>
        <v>Mar</v>
      </c>
      <c r="M1811" s="5" t="str">
        <f>IF(Table1[[#This Row],[Profit]]&gt;=1000,"Excellent",IF(Table1[[#This Row],[Profit]]&gt;=500,"Good", IF(Table1[[#This Row],[Profit]]&lt;500,"Low")))</f>
        <v>Low</v>
      </c>
      <c r="N1811" s="7" t="str">
        <f>TEXT(Table1[[#This Row],[Order_Date]],"YYY")</f>
        <v>2026</v>
      </c>
    </row>
    <row r="1812" spans="1:14" x14ac:dyDescent="0.3">
      <c r="A1812" s="4">
        <v>46102</v>
      </c>
      <c r="B1812" s="5" t="s">
        <v>0</v>
      </c>
      <c r="C1812" s="5" t="s">
        <v>5</v>
      </c>
      <c r="D1812" s="23">
        <v>1441.83</v>
      </c>
      <c r="E1812" s="23">
        <v>581.41999999999996</v>
      </c>
      <c r="F1812" s="23">
        <v>860.41</v>
      </c>
      <c r="G1812" s="5" t="s">
        <v>6</v>
      </c>
      <c r="H1812" s="5" t="s">
        <v>3</v>
      </c>
      <c r="I1812" s="5" t="s">
        <v>27</v>
      </c>
      <c r="J1812" s="6">
        <f>Table1[[#This Row],[Profit]]/Table1[[#This Row],[Sales]]</f>
        <v>0.59674857646185753</v>
      </c>
      <c r="K1812" s="5" t="str">
        <f t="shared" si="28"/>
        <v>Low</v>
      </c>
      <c r="L1812" s="5" t="str">
        <f>TEXT(Table1[[#This Row],[Order_Date]],"MMM")</f>
        <v>Mar</v>
      </c>
      <c r="M1812" s="5" t="str">
        <f>IF(Table1[[#This Row],[Profit]]&gt;=1000,"Excellent",IF(Table1[[#This Row],[Profit]]&gt;=500,"Good", IF(Table1[[#This Row],[Profit]]&lt;500,"Low")))</f>
        <v>Good</v>
      </c>
      <c r="N1812" s="7" t="str">
        <f>TEXT(Table1[[#This Row],[Order_Date]],"YYY")</f>
        <v>2026</v>
      </c>
    </row>
    <row r="1813" spans="1:14" x14ac:dyDescent="0.3">
      <c r="A1813" s="4">
        <v>46102</v>
      </c>
      <c r="B1813" s="5" t="s">
        <v>0</v>
      </c>
      <c r="C1813" s="5" t="s">
        <v>14</v>
      </c>
      <c r="D1813" s="23">
        <v>333.77</v>
      </c>
      <c r="E1813" s="23">
        <v>126.03</v>
      </c>
      <c r="F1813" s="23">
        <v>207.74</v>
      </c>
      <c r="G1813" s="5" t="s">
        <v>20</v>
      </c>
      <c r="H1813" s="5" t="s">
        <v>35</v>
      </c>
      <c r="I1813" s="5" t="s">
        <v>25</v>
      </c>
      <c r="J1813" s="6">
        <f>Table1[[#This Row],[Profit]]/Table1[[#This Row],[Sales]]</f>
        <v>0.62240464990861977</v>
      </c>
      <c r="K1813" s="5" t="str">
        <f t="shared" si="28"/>
        <v>Low</v>
      </c>
      <c r="L1813" s="5" t="str">
        <f>TEXT(Table1[[#This Row],[Order_Date]],"MMM")</f>
        <v>Mar</v>
      </c>
      <c r="M1813" s="5" t="str">
        <f>IF(Table1[[#This Row],[Profit]]&gt;=1000,"Excellent",IF(Table1[[#This Row],[Profit]]&gt;=500,"Good", IF(Table1[[#This Row],[Profit]]&lt;500,"Low")))</f>
        <v>Low</v>
      </c>
      <c r="N1813" s="7" t="str">
        <f>TEXT(Table1[[#This Row],[Order_Date]],"YYY")</f>
        <v>2026</v>
      </c>
    </row>
    <row r="1814" spans="1:14" x14ac:dyDescent="0.3">
      <c r="A1814" s="4">
        <v>46102</v>
      </c>
      <c r="B1814" s="5" t="s">
        <v>18</v>
      </c>
      <c r="C1814" s="5" t="s">
        <v>5</v>
      </c>
      <c r="D1814" s="23">
        <v>196.31</v>
      </c>
      <c r="E1814" s="23">
        <v>61.68</v>
      </c>
      <c r="F1814" s="23">
        <v>134.63</v>
      </c>
      <c r="G1814" s="5" t="s">
        <v>9</v>
      </c>
      <c r="H1814" s="5" t="s">
        <v>36</v>
      </c>
      <c r="I1814" s="5" t="s">
        <v>4</v>
      </c>
      <c r="J1814" s="6">
        <f>Table1[[#This Row],[Profit]]/Table1[[#This Row],[Sales]]</f>
        <v>0.68580306657837087</v>
      </c>
      <c r="K1814" s="5" t="str">
        <f t="shared" si="28"/>
        <v>Low</v>
      </c>
      <c r="L1814" s="5" t="str">
        <f>TEXT(Table1[[#This Row],[Order_Date]],"MMM")</f>
        <v>Mar</v>
      </c>
      <c r="M1814" s="5" t="str">
        <f>IF(Table1[[#This Row],[Profit]]&gt;=1000,"Excellent",IF(Table1[[#This Row],[Profit]]&gt;=500,"Good", IF(Table1[[#This Row],[Profit]]&lt;500,"Low")))</f>
        <v>Low</v>
      </c>
      <c r="N1814" s="7" t="str">
        <f>TEXT(Table1[[#This Row],[Order_Date]],"YYY")</f>
        <v>2026</v>
      </c>
    </row>
    <row r="1815" spans="1:14" x14ac:dyDescent="0.3">
      <c r="A1815" s="4">
        <v>46104</v>
      </c>
      <c r="B1815" s="5" t="s">
        <v>18</v>
      </c>
      <c r="C1815" s="5" t="s">
        <v>14</v>
      </c>
      <c r="D1815" s="23">
        <v>333.78</v>
      </c>
      <c r="E1815" s="23">
        <v>134.13999999999999</v>
      </c>
      <c r="F1815" s="23">
        <v>199.64</v>
      </c>
      <c r="G1815" s="5" t="s">
        <v>6</v>
      </c>
      <c r="H1815" s="5" t="s">
        <v>35</v>
      </c>
      <c r="I1815" s="5" t="s">
        <v>22</v>
      </c>
      <c r="J1815" s="6">
        <f>Table1[[#This Row],[Profit]]/Table1[[#This Row],[Sales]]</f>
        <v>0.59811852118161668</v>
      </c>
      <c r="K1815" s="5" t="str">
        <f t="shared" si="28"/>
        <v>Low</v>
      </c>
      <c r="L1815" s="5" t="str">
        <f>TEXT(Table1[[#This Row],[Order_Date]],"MMM")</f>
        <v>Mar</v>
      </c>
      <c r="M1815" s="5" t="str">
        <f>IF(Table1[[#This Row],[Profit]]&gt;=1000,"Excellent",IF(Table1[[#This Row],[Profit]]&gt;=500,"Good", IF(Table1[[#This Row],[Profit]]&lt;500,"Low")))</f>
        <v>Low</v>
      </c>
      <c r="N1815" s="7" t="str">
        <f>TEXT(Table1[[#This Row],[Order_Date]],"YYY")</f>
        <v>2026</v>
      </c>
    </row>
    <row r="1816" spans="1:14" x14ac:dyDescent="0.3">
      <c r="A1816" s="4">
        <v>46104</v>
      </c>
      <c r="B1816" s="5" t="s">
        <v>13</v>
      </c>
      <c r="C1816" s="5" t="s">
        <v>26</v>
      </c>
      <c r="D1816" s="23">
        <v>379.76</v>
      </c>
      <c r="E1816" s="23">
        <v>133.85</v>
      </c>
      <c r="F1816" s="23">
        <v>245.91</v>
      </c>
      <c r="G1816" s="5" t="s">
        <v>32</v>
      </c>
      <c r="H1816" s="5" t="s">
        <v>12</v>
      </c>
      <c r="I1816" s="5" t="s">
        <v>27</v>
      </c>
      <c r="J1816" s="6">
        <f>Table1[[#This Row],[Profit]]/Table1[[#This Row],[Sales]]</f>
        <v>0.64754055192753324</v>
      </c>
      <c r="K1816" s="5" t="str">
        <f t="shared" si="28"/>
        <v>Low</v>
      </c>
      <c r="L1816" s="5" t="str">
        <f>TEXT(Table1[[#This Row],[Order_Date]],"MMM")</f>
        <v>Mar</v>
      </c>
      <c r="M1816" s="5" t="str">
        <f>IF(Table1[[#This Row],[Profit]]&gt;=1000,"Excellent",IF(Table1[[#This Row],[Profit]]&gt;=500,"Good", IF(Table1[[#This Row],[Profit]]&lt;500,"Low")))</f>
        <v>Low</v>
      </c>
      <c r="N1816" s="7" t="str">
        <f>TEXT(Table1[[#This Row],[Order_Date]],"YYY")</f>
        <v>2026</v>
      </c>
    </row>
    <row r="1817" spans="1:14" x14ac:dyDescent="0.3">
      <c r="A1817" s="4">
        <v>46105</v>
      </c>
      <c r="B1817" s="5" t="s">
        <v>13</v>
      </c>
      <c r="C1817" s="5" t="s">
        <v>1</v>
      </c>
      <c r="D1817" s="23">
        <v>904.9</v>
      </c>
      <c r="E1817" s="23">
        <v>461.45</v>
      </c>
      <c r="F1817" s="23">
        <v>443.45</v>
      </c>
      <c r="G1817" s="5" t="s">
        <v>20</v>
      </c>
      <c r="H1817" s="5" t="s">
        <v>12</v>
      </c>
      <c r="I1817" s="5" t="s">
        <v>25</v>
      </c>
      <c r="J1817" s="6">
        <f>Table1[[#This Row],[Profit]]/Table1[[#This Row],[Sales]]</f>
        <v>0.49005414962979332</v>
      </c>
      <c r="K1817" s="5" t="str">
        <f t="shared" si="28"/>
        <v>Low</v>
      </c>
      <c r="L1817" s="5" t="str">
        <f>TEXT(Table1[[#This Row],[Order_Date]],"MMM")</f>
        <v>Mar</v>
      </c>
      <c r="M1817" s="5" t="str">
        <f>IF(Table1[[#This Row],[Profit]]&gt;=1000,"Excellent",IF(Table1[[#This Row],[Profit]]&gt;=500,"Good", IF(Table1[[#This Row],[Profit]]&lt;500,"Low")))</f>
        <v>Low</v>
      </c>
      <c r="N1817" s="7" t="str">
        <f>TEXT(Table1[[#This Row],[Order_Date]],"YYY")</f>
        <v>2026</v>
      </c>
    </row>
    <row r="1818" spans="1:14" x14ac:dyDescent="0.3">
      <c r="A1818" s="4">
        <v>46105</v>
      </c>
      <c r="B1818" s="5" t="s">
        <v>8</v>
      </c>
      <c r="C1818" s="5" t="s">
        <v>14</v>
      </c>
      <c r="D1818" s="23">
        <v>260.75</v>
      </c>
      <c r="E1818" s="23">
        <v>83.85</v>
      </c>
      <c r="F1818" s="23">
        <v>176.9</v>
      </c>
      <c r="G1818" s="5" t="s">
        <v>32</v>
      </c>
      <c r="H1818" s="5" t="s">
        <v>12</v>
      </c>
      <c r="I1818" s="5" t="s">
        <v>4</v>
      </c>
      <c r="J1818" s="6">
        <f>Table1[[#This Row],[Profit]]/Table1[[#This Row],[Sales]]</f>
        <v>0.67842761265580065</v>
      </c>
      <c r="K1818" s="5" t="str">
        <f t="shared" si="28"/>
        <v>Low</v>
      </c>
      <c r="L1818" s="5" t="str">
        <f>TEXT(Table1[[#This Row],[Order_Date]],"MMM")</f>
        <v>Mar</v>
      </c>
      <c r="M1818" s="5" t="str">
        <f>IF(Table1[[#This Row],[Profit]]&gt;=1000,"Excellent",IF(Table1[[#This Row],[Profit]]&gt;=500,"Good", IF(Table1[[#This Row],[Profit]]&lt;500,"Low")))</f>
        <v>Low</v>
      </c>
      <c r="N1818" s="7" t="str">
        <f>TEXT(Table1[[#This Row],[Order_Date]],"YYY")</f>
        <v>2026</v>
      </c>
    </row>
    <row r="1819" spans="1:14" x14ac:dyDescent="0.3">
      <c r="A1819" s="4">
        <v>46105</v>
      </c>
      <c r="B1819" s="5" t="s">
        <v>8</v>
      </c>
      <c r="C1819" s="5" t="s">
        <v>5</v>
      </c>
      <c r="D1819" s="23">
        <v>1745.88</v>
      </c>
      <c r="E1819" s="23">
        <v>618.66</v>
      </c>
      <c r="F1819" s="23">
        <v>1127.22</v>
      </c>
      <c r="G1819" s="5" t="s">
        <v>32</v>
      </c>
      <c r="H1819" s="5" t="s">
        <v>37</v>
      </c>
      <c r="I1819" s="5" t="s">
        <v>17</v>
      </c>
      <c r="J1819" s="6">
        <f>Table1[[#This Row],[Profit]]/Table1[[#This Row],[Sales]]</f>
        <v>0.64564574884871806</v>
      </c>
      <c r="K1819" s="5" t="str">
        <f t="shared" si="28"/>
        <v>Medium</v>
      </c>
      <c r="L1819" s="5" t="str">
        <f>TEXT(Table1[[#This Row],[Order_Date]],"MMM")</f>
        <v>Mar</v>
      </c>
      <c r="M1819" s="5" t="str">
        <f>IF(Table1[[#This Row],[Profit]]&gt;=1000,"Excellent",IF(Table1[[#This Row],[Profit]]&gt;=500,"Good", IF(Table1[[#This Row],[Profit]]&lt;500,"Low")))</f>
        <v>Excellent</v>
      </c>
      <c r="N1819" s="7" t="str">
        <f>TEXT(Table1[[#This Row],[Order_Date]],"YYY")</f>
        <v>2026</v>
      </c>
    </row>
    <row r="1820" spans="1:14" x14ac:dyDescent="0.3">
      <c r="A1820" s="4">
        <v>46106</v>
      </c>
      <c r="B1820" s="5" t="s">
        <v>0</v>
      </c>
      <c r="C1820" s="5" t="s">
        <v>5</v>
      </c>
      <c r="D1820" s="23">
        <v>1155.69</v>
      </c>
      <c r="E1820" s="23">
        <v>412.92</v>
      </c>
      <c r="F1820" s="23">
        <v>742.77</v>
      </c>
      <c r="G1820" s="5" t="s">
        <v>9</v>
      </c>
      <c r="H1820" s="5" t="s">
        <v>12</v>
      </c>
      <c r="I1820" s="5" t="s">
        <v>27</v>
      </c>
      <c r="J1820" s="6">
        <f>Table1[[#This Row],[Profit]]/Table1[[#This Row],[Sales]]</f>
        <v>0.64270695428704927</v>
      </c>
      <c r="K1820" s="5" t="str">
        <f t="shared" si="28"/>
        <v>Low</v>
      </c>
      <c r="L1820" s="5" t="str">
        <f>TEXT(Table1[[#This Row],[Order_Date]],"MMM")</f>
        <v>Mar</v>
      </c>
      <c r="M1820" s="5" t="str">
        <f>IF(Table1[[#This Row],[Profit]]&gt;=1000,"Excellent",IF(Table1[[#This Row],[Profit]]&gt;=500,"Good", IF(Table1[[#This Row],[Profit]]&lt;500,"Low")))</f>
        <v>Good</v>
      </c>
      <c r="N1820" s="7" t="str">
        <f>TEXT(Table1[[#This Row],[Order_Date]],"YYY")</f>
        <v>2026</v>
      </c>
    </row>
    <row r="1821" spans="1:14" x14ac:dyDescent="0.3">
      <c r="A1821" s="4">
        <v>46106</v>
      </c>
      <c r="B1821" s="5" t="s">
        <v>8</v>
      </c>
      <c r="C1821" s="5" t="s">
        <v>26</v>
      </c>
      <c r="D1821" s="23">
        <v>1171.8</v>
      </c>
      <c r="E1821" s="23">
        <v>384.61</v>
      </c>
      <c r="F1821" s="23">
        <v>787.19</v>
      </c>
      <c r="G1821" s="5" t="s">
        <v>9</v>
      </c>
      <c r="H1821" s="5" t="s">
        <v>33</v>
      </c>
      <c r="I1821" s="5" t="s">
        <v>22</v>
      </c>
      <c r="J1821" s="6">
        <f>Table1[[#This Row],[Profit]]/Table1[[#This Row],[Sales]]</f>
        <v>0.67177846048813794</v>
      </c>
      <c r="K1821" s="5" t="str">
        <f t="shared" si="28"/>
        <v>Low</v>
      </c>
      <c r="L1821" s="5" t="str">
        <f>TEXT(Table1[[#This Row],[Order_Date]],"MMM")</f>
        <v>Mar</v>
      </c>
      <c r="M1821" s="5" t="str">
        <f>IF(Table1[[#This Row],[Profit]]&gt;=1000,"Excellent",IF(Table1[[#This Row],[Profit]]&gt;=500,"Good", IF(Table1[[#This Row],[Profit]]&lt;500,"Low")))</f>
        <v>Good</v>
      </c>
      <c r="N1821" s="7" t="str">
        <f>TEXT(Table1[[#This Row],[Order_Date]],"YYY")</f>
        <v>2026</v>
      </c>
    </row>
    <row r="1822" spans="1:14" x14ac:dyDescent="0.3">
      <c r="A1822" s="4">
        <v>46107</v>
      </c>
      <c r="B1822" s="5" t="s">
        <v>13</v>
      </c>
      <c r="C1822" s="5" t="s">
        <v>1</v>
      </c>
      <c r="D1822" s="23">
        <v>1155.27</v>
      </c>
      <c r="E1822" s="23">
        <v>795.42</v>
      </c>
      <c r="F1822" s="23">
        <v>359.85</v>
      </c>
      <c r="G1822" s="5" t="s">
        <v>2</v>
      </c>
      <c r="H1822" s="5" t="s">
        <v>24</v>
      </c>
      <c r="I1822" s="5" t="s">
        <v>25</v>
      </c>
      <c r="J1822" s="6">
        <f>Table1[[#This Row],[Profit]]/Table1[[#This Row],[Sales]]</f>
        <v>0.31148562673660707</v>
      </c>
      <c r="K1822" s="5" t="str">
        <f t="shared" si="28"/>
        <v>Low</v>
      </c>
      <c r="L1822" s="5" t="str">
        <f>TEXT(Table1[[#This Row],[Order_Date]],"MMM")</f>
        <v>Mar</v>
      </c>
      <c r="M1822" s="5" t="str">
        <f>IF(Table1[[#This Row],[Profit]]&gt;=1000,"Excellent",IF(Table1[[#This Row],[Profit]]&gt;=500,"Good", IF(Table1[[#This Row],[Profit]]&lt;500,"Low")))</f>
        <v>Low</v>
      </c>
      <c r="N1822" s="7" t="str">
        <f>TEXT(Table1[[#This Row],[Order_Date]],"YYY")</f>
        <v>2026</v>
      </c>
    </row>
    <row r="1823" spans="1:14" x14ac:dyDescent="0.3">
      <c r="A1823" s="4">
        <v>46107</v>
      </c>
      <c r="B1823" s="5" t="s">
        <v>18</v>
      </c>
      <c r="C1823" s="5" t="s">
        <v>19</v>
      </c>
      <c r="D1823" s="23">
        <v>47.73</v>
      </c>
      <c r="E1823" s="23">
        <v>13.83</v>
      </c>
      <c r="F1823" s="23">
        <v>33.9</v>
      </c>
      <c r="G1823" s="5" t="s">
        <v>9</v>
      </c>
      <c r="H1823" s="5" t="s">
        <v>3</v>
      </c>
      <c r="I1823" s="5" t="s">
        <v>22</v>
      </c>
      <c r="J1823" s="6">
        <f>Table1[[#This Row],[Profit]]/Table1[[#This Row],[Sales]]</f>
        <v>0.71024512884978008</v>
      </c>
      <c r="K1823" s="5" t="str">
        <f t="shared" si="28"/>
        <v>Low</v>
      </c>
      <c r="L1823" s="5" t="str">
        <f>TEXT(Table1[[#This Row],[Order_Date]],"MMM")</f>
        <v>Mar</v>
      </c>
      <c r="M1823" s="5" t="str">
        <f>IF(Table1[[#This Row],[Profit]]&gt;=1000,"Excellent",IF(Table1[[#This Row],[Profit]]&gt;=500,"Good", IF(Table1[[#This Row],[Profit]]&lt;500,"Low")))</f>
        <v>Low</v>
      </c>
      <c r="N1823" s="7" t="str">
        <f>TEXT(Table1[[#This Row],[Order_Date]],"YYY")</f>
        <v>2026</v>
      </c>
    </row>
    <row r="1824" spans="1:14" x14ac:dyDescent="0.3">
      <c r="A1824" s="4">
        <v>46107</v>
      </c>
      <c r="B1824" s="5" t="s">
        <v>16</v>
      </c>
      <c r="C1824" s="5" t="s">
        <v>26</v>
      </c>
      <c r="D1824" s="23">
        <v>224.4</v>
      </c>
      <c r="E1824" s="23">
        <v>90.42</v>
      </c>
      <c r="F1824" s="23">
        <v>133.97999999999999</v>
      </c>
      <c r="G1824" s="5" t="s">
        <v>2</v>
      </c>
      <c r="H1824" s="5" t="s">
        <v>3</v>
      </c>
      <c r="I1824" s="5" t="s">
        <v>4</v>
      </c>
      <c r="J1824" s="6">
        <f>Table1[[#This Row],[Profit]]/Table1[[#This Row],[Sales]]</f>
        <v>0.59705882352941175</v>
      </c>
      <c r="K1824" s="5" t="str">
        <f t="shared" si="28"/>
        <v>Low</v>
      </c>
      <c r="L1824" s="5" t="str">
        <f>TEXT(Table1[[#This Row],[Order_Date]],"MMM")</f>
        <v>Mar</v>
      </c>
      <c r="M1824" s="5" t="str">
        <f>IF(Table1[[#This Row],[Profit]]&gt;=1000,"Excellent",IF(Table1[[#This Row],[Profit]]&gt;=500,"Good", IF(Table1[[#This Row],[Profit]]&lt;500,"Low")))</f>
        <v>Low</v>
      </c>
      <c r="N1824" s="7" t="str">
        <f>TEXT(Table1[[#This Row],[Order_Date]],"YYY")</f>
        <v>2026</v>
      </c>
    </row>
    <row r="1825" spans="1:14" x14ac:dyDescent="0.3">
      <c r="A1825" s="4">
        <v>46109</v>
      </c>
      <c r="B1825" s="5" t="s">
        <v>18</v>
      </c>
      <c r="C1825" s="5" t="s">
        <v>23</v>
      </c>
      <c r="D1825" s="23">
        <v>323.22000000000003</v>
      </c>
      <c r="E1825" s="23">
        <v>131.07</v>
      </c>
      <c r="F1825" s="23">
        <v>192.15</v>
      </c>
      <c r="G1825" s="5" t="s">
        <v>6</v>
      </c>
      <c r="H1825" s="5" t="s">
        <v>7</v>
      </c>
      <c r="I1825" s="5" t="s">
        <v>27</v>
      </c>
      <c r="J1825" s="6">
        <f>Table1[[#This Row],[Profit]]/Table1[[#This Row],[Sales]]</f>
        <v>0.59448672730647856</v>
      </c>
      <c r="K1825" s="5" t="str">
        <f t="shared" si="28"/>
        <v>Low</v>
      </c>
      <c r="L1825" s="5" t="str">
        <f>TEXT(Table1[[#This Row],[Order_Date]],"MMM")</f>
        <v>Mar</v>
      </c>
      <c r="M1825" s="5" t="str">
        <f>IF(Table1[[#This Row],[Profit]]&gt;=1000,"Excellent",IF(Table1[[#This Row],[Profit]]&gt;=500,"Good", IF(Table1[[#This Row],[Profit]]&lt;500,"Low")))</f>
        <v>Low</v>
      </c>
      <c r="N1825" s="7" t="str">
        <f>TEXT(Table1[[#This Row],[Order_Date]],"YYY")</f>
        <v>2026</v>
      </c>
    </row>
    <row r="1826" spans="1:14" x14ac:dyDescent="0.3">
      <c r="A1826" s="4">
        <v>46110</v>
      </c>
      <c r="B1826" s="5" t="s">
        <v>0</v>
      </c>
      <c r="C1826" s="5" t="s">
        <v>31</v>
      </c>
      <c r="D1826" s="23">
        <v>96.05</v>
      </c>
      <c r="E1826" s="23">
        <v>19.809999999999999</v>
      </c>
      <c r="F1826" s="23">
        <v>76.239999999999995</v>
      </c>
      <c r="G1826" s="5" t="s">
        <v>20</v>
      </c>
      <c r="H1826" s="5" t="s">
        <v>33</v>
      </c>
      <c r="I1826" s="5" t="s">
        <v>4</v>
      </c>
      <c r="J1826" s="6">
        <f>Table1[[#This Row],[Profit]]/Table1[[#This Row],[Sales]]</f>
        <v>0.79375325351379489</v>
      </c>
      <c r="K1826" s="5" t="str">
        <f t="shared" si="28"/>
        <v>Low</v>
      </c>
      <c r="L1826" s="5" t="str">
        <f>TEXT(Table1[[#This Row],[Order_Date]],"MMM")</f>
        <v>Mar</v>
      </c>
      <c r="M1826" s="5" t="str">
        <f>IF(Table1[[#This Row],[Profit]]&gt;=1000,"Excellent",IF(Table1[[#This Row],[Profit]]&gt;=500,"Good", IF(Table1[[#This Row],[Profit]]&lt;500,"Low")))</f>
        <v>Low</v>
      </c>
      <c r="N1826" s="7" t="str">
        <f>TEXT(Table1[[#This Row],[Order_Date]],"YYY")</f>
        <v>2026</v>
      </c>
    </row>
    <row r="1827" spans="1:14" x14ac:dyDescent="0.3">
      <c r="A1827" s="4">
        <v>46110</v>
      </c>
      <c r="B1827" s="5" t="s">
        <v>8</v>
      </c>
      <c r="C1827" s="5" t="s">
        <v>19</v>
      </c>
      <c r="D1827" s="23">
        <v>91.43</v>
      </c>
      <c r="E1827" s="23">
        <v>34.299999999999997</v>
      </c>
      <c r="F1827" s="23">
        <v>57.13</v>
      </c>
      <c r="G1827" s="5" t="s">
        <v>32</v>
      </c>
      <c r="H1827" s="5" t="s">
        <v>35</v>
      </c>
      <c r="I1827" s="5" t="s">
        <v>17</v>
      </c>
      <c r="J1827" s="6">
        <f>Table1[[#This Row],[Profit]]/Table1[[#This Row],[Sales]]</f>
        <v>0.62484961172481679</v>
      </c>
      <c r="K1827" s="5" t="str">
        <f t="shared" si="28"/>
        <v>Low</v>
      </c>
      <c r="L1827" s="5" t="str">
        <f>TEXT(Table1[[#This Row],[Order_Date]],"MMM")</f>
        <v>Mar</v>
      </c>
      <c r="M1827" s="5" t="str">
        <f>IF(Table1[[#This Row],[Profit]]&gt;=1000,"Excellent",IF(Table1[[#This Row],[Profit]]&gt;=500,"Good", IF(Table1[[#This Row],[Profit]]&lt;500,"Low")))</f>
        <v>Low</v>
      </c>
      <c r="N1827" s="7" t="str">
        <f>TEXT(Table1[[#This Row],[Order_Date]],"YYY")</f>
        <v>2026</v>
      </c>
    </row>
    <row r="1828" spans="1:14" x14ac:dyDescent="0.3">
      <c r="A1828" s="4">
        <v>46111</v>
      </c>
      <c r="B1828" s="5" t="s">
        <v>13</v>
      </c>
      <c r="C1828" s="5" t="s">
        <v>31</v>
      </c>
      <c r="D1828" s="23">
        <v>215.08</v>
      </c>
      <c r="E1828" s="23">
        <v>61.86</v>
      </c>
      <c r="F1828" s="23">
        <v>153.22</v>
      </c>
      <c r="G1828" s="5" t="s">
        <v>20</v>
      </c>
      <c r="H1828" s="5" t="s">
        <v>36</v>
      </c>
      <c r="I1828" s="5" t="s">
        <v>27</v>
      </c>
      <c r="J1828" s="6">
        <f>Table1[[#This Row],[Profit]]/Table1[[#This Row],[Sales]]</f>
        <v>0.71238608889715449</v>
      </c>
      <c r="K1828" s="5" t="str">
        <f t="shared" si="28"/>
        <v>Low</v>
      </c>
      <c r="L1828" s="5" t="str">
        <f>TEXT(Table1[[#This Row],[Order_Date]],"MMM")</f>
        <v>Mar</v>
      </c>
      <c r="M1828" s="5" t="str">
        <f>IF(Table1[[#This Row],[Profit]]&gt;=1000,"Excellent",IF(Table1[[#This Row],[Profit]]&gt;=500,"Good", IF(Table1[[#This Row],[Profit]]&lt;500,"Low")))</f>
        <v>Low</v>
      </c>
      <c r="N1828" s="7" t="str">
        <f>TEXT(Table1[[#This Row],[Order_Date]],"YYY")</f>
        <v>2026</v>
      </c>
    </row>
    <row r="1829" spans="1:14" x14ac:dyDescent="0.3">
      <c r="A1829" s="4">
        <v>46111</v>
      </c>
      <c r="B1829" s="5" t="s">
        <v>13</v>
      </c>
      <c r="C1829" s="5" t="s">
        <v>19</v>
      </c>
      <c r="D1829" s="23">
        <v>6.39</v>
      </c>
      <c r="E1829" s="23">
        <v>2.2400000000000002</v>
      </c>
      <c r="F1829" s="23">
        <v>4.1500000000000004</v>
      </c>
      <c r="G1829" s="5" t="s">
        <v>32</v>
      </c>
      <c r="H1829" s="5" t="s">
        <v>33</v>
      </c>
      <c r="I1829" s="5" t="s">
        <v>17</v>
      </c>
      <c r="J1829" s="6">
        <f>Table1[[#This Row],[Profit]]/Table1[[#This Row],[Sales]]</f>
        <v>0.64945226917057908</v>
      </c>
      <c r="K1829" s="5" t="str">
        <f t="shared" si="28"/>
        <v>Low</v>
      </c>
      <c r="L1829" s="5" t="str">
        <f>TEXT(Table1[[#This Row],[Order_Date]],"MMM")</f>
        <v>Mar</v>
      </c>
      <c r="M1829" s="5" t="str">
        <f>IF(Table1[[#This Row],[Profit]]&gt;=1000,"Excellent",IF(Table1[[#This Row],[Profit]]&gt;=500,"Good", IF(Table1[[#This Row],[Profit]]&lt;500,"Low")))</f>
        <v>Low</v>
      </c>
      <c r="N1829" s="7" t="str">
        <f>TEXT(Table1[[#This Row],[Order_Date]],"YYY")</f>
        <v>2026</v>
      </c>
    </row>
    <row r="1830" spans="1:14" x14ac:dyDescent="0.3">
      <c r="A1830" s="4">
        <v>46113</v>
      </c>
      <c r="B1830" s="5" t="s">
        <v>8</v>
      </c>
      <c r="C1830" s="5" t="s">
        <v>26</v>
      </c>
      <c r="D1830" s="23">
        <v>708.82</v>
      </c>
      <c r="E1830" s="23">
        <v>260.66000000000003</v>
      </c>
      <c r="F1830" s="23">
        <v>448.16</v>
      </c>
      <c r="G1830" s="5" t="s">
        <v>32</v>
      </c>
      <c r="H1830" s="5" t="s">
        <v>28</v>
      </c>
      <c r="I1830" s="5" t="s">
        <v>11</v>
      </c>
      <c r="J1830" s="6">
        <f>Table1[[#This Row],[Profit]]/Table1[[#This Row],[Sales]]</f>
        <v>0.63226206935470219</v>
      </c>
      <c r="K1830" s="5" t="str">
        <f t="shared" si="28"/>
        <v>Low</v>
      </c>
      <c r="L1830" s="5" t="str">
        <f>TEXT(Table1[[#This Row],[Order_Date]],"MMM")</f>
        <v>Apr</v>
      </c>
      <c r="M1830" s="5" t="str">
        <f>IF(Table1[[#This Row],[Profit]]&gt;=1000,"Excellent",IF(Table1[[#This Row],[Profit]]&gt;=500,"Good", IF(Table1[[#This Row],[Profit]]&lt;500,"Low")))</f>
        <v>Low</v>
      </c>
      <c r="N1830" s="7" t="str">
        <f>TEXT(Table1[[#This Row],[Order_Date]],"YYY")</f>
        <v>2026</v>
      </c>
    </row>
    <row r="1831" spans="1:14" x14ac:dyDescent="0.3">
      <c r="A1831" s="4">
        <v>46113</v>
      </c>
      <c r="B1831" s="5" t="s">
        <v>18</v>
      </c>
      <c r="C1831" s="5" t="s">
        <v>1</v>
      </c>
      <c r="D1831" s="23">
        <v>878.43</v>
      </c>
      <c r="E1831" s="23">
        <v>491.66</v>
      </c>
      <c r="F1831" s="23">
        <v>386.77</v>
      </c>
      <c r="G1831" s="5" t="s">
        <v>20</v>
      </c>
      <c r="H1831" s="5" t="s">
        <v>34</v>
      </c>
      <c r="I1831" s="5" t="s">
        <v>22</v>
      </c>
      <c r="J1831" s="6">
        <f>Table1[[#This Row],[Profit]]/Table1[[#This Row],[Sales]]</f>
        <v>0.44029689332103866</v>
      </c>
      <c r="K1831" s="5" t="str">
        <f t="shared" si="28"/>
        <v>Low</v>
      </c>
      <c r="L1831" s="5" t="str">
        <f>TEXT(Table1[[#This Row],[Order_Date]],"MMM")</f>
        <v>Apr</v>
      </c>
      <c r="M1831" s="5" t="str">
        <f>IF(Table1[[#This Row],[Profit]]&gt;=1000,"Excellent",IF(Table1[[#This Row],[Profit]]&gt;=500,"Good", IF(Table1[[#This Row],[Profit]]&lt;500,"Low")))</f>
        <v>Low</v>
      </c>
      <c r="N1831" s="7" t="str">
        <f>TEXT(Table1[[#This Row],[Order_Date]],"YYY")</f>
        <v>2026</v>
      </c>
    </row>
    <row r="1832" spans="1:14" x14ac:dyDescent="0.3">
      <c r="A1832" s="4">
        <v>46113</v>
      </c>
      <c r="B1832" s="5" t="s">
        <v>0</v>
      </c>
      <c r="C1832" s="5" t="s">
        <v>1</v>
      </c>
      <c r="D1832" s="23">
        <v>138.02000000000001</v>
      </c>
      <c r="E1832" s="23">
        <v>95.96</v>
      </c>
      <c r="F1832" s="23">
        <v>42.06</v>
      </c>
      <c r="G1832" s="5" t="s">
        <v>20</v>
      </c>
      <c r="H1832" s="5" t="s">
        <v>15</v>
      </c>
      <c r="I1832" s="5" t="s">
        <v>4</v>
      </c>
      <c r="J1832" s="6">
        <f>Table1[[#This Row],[Profit]]/Table1[[#This Row],[Sales]]</f>
        <v>0.30473844370381103</v>
      </c>
      <c r="K1832" s="5" t="str">
        <f t="shared" si="28"/>
        <v>Low</v>
      </c>
      <c r="L1832" s="5" t="str">
        <f>TEXT(Table1[[#This Row],[Order_Date]],"MMM")</f>
        <v>Apr</v>
      </c>
      <c r="M1832" s="5" t="str">
        <f>IF(Table1[[#This Row],[Profit]]&gt;=1000,"Excellent",IF(Table1[[#This Row],[Profit]]&gt;=500,"Good", IF(Table1[[#This Row],[Profit]]&lt;500,"Low")))</f>
        <v>Low</v>
      </c>
      <c r="N1832" s="7" t="str">
        <f>TEXT(Table1[[#This Row],[Order_Date]],"YYY")</f>
        <v>2026</v>
      </c>
    </row>
    <row r="1833" spans="1:14" x14ac:dyDescent="0.3">
      <c r="A1833" s="4">
        <v>46113</v>
      </c>
      <c r="B1833" s="5" t="s">
        <v>13</v>
      </c>
      <c r="C1833" s="5" t="s">
        <v>19</v>
      </c>
      <c r="D1833" s="23">
        <v>6.51</v>
      </c>
      <c r="E1833" s="23">
        <v>1.89</v>
      </c>
      <c r="F1833" s="23">
        <v>4.62</v>
      </c>
      <c r="G1833" s="5" t="s">
        <v>32</v>
      </c>
      <c r="H1833" s="5" t="s">
        <v>33</v>
      </c>
      <c r="I1833" s="5" t="s">
        <v>17</v>
      </c>
      <c r="J1833" s="6">
        <f>Table1[[#This Row],[Profit]]/Table1[[#This Row],[Sales]]</f>
        <v>0.70967741935483875</v>
      </c>
      <c r="K1833" s="5" t="str">
        <f t="shared" si="28"/>
        <v>Low</v>
      </c>
      <c r="L1833" s="5" t="str">
        <f>TEXT(Table1[[#This Row],[Order_Date]],"MMM")</f>
        <v>Apr</v>
      </c>
      <c r="M1833" s="5" t="str">
        <f>IF(Table1[[#This Row],[Profit]]&gt;=1000,"Excellent",IF(Table1[[#This Row],[Profit]]&gt;=500,"Good", IF(Table1[[#This Row],[Profit]]&lt;500,"Low")))</f>
        <v>Low</v>
      </c>
      <c r="N1833" s="7" t="str">
        <f>TEXT(Table1[[#This Row],[Order_Date]],"YYY")</f>
        <v>2026</v>
      </c>
    </row>
    <row r="1834" spans="1:14" x14ac:dyDescent="0.3">
      <c r="A1834" s="4">
        <v>46114</v>
      </c>
      <c r="B1834" s="5" t="s">
        <v>13</v>
      </c>
      <c r="C1834" s="5" t="s">
        <v>1</v>
      </c>
      <c r="D1834" s="23">
        <v>914.43</v>
      </c>
      <c r="E1834" s="23">
        <v>600.66999999999996</v>
      </c>
      <c r="F1834" s="23">
        <v>313.76</v>
      </c>
      <c r="G1834" s="5" t="s">
        <v>2</v>
      </c>
      <c r="H1834" s="5" t="s">
        <v>36</v>
      </c>
      <c r="I1834" s="5" t="s">
        <v>11</v>
      </c>
      <c r="J1834" s="6">
        <f>Table1[[#This Row],[Profit]]/Table1[[#This Row],[Sales]]</f>
        <v>0.3431208512406636</v>
      </c>
      <c r="K1834" s="5" t="str">
        <f t="shared" si="28"/>
        <v>Low</v>
      </c>
      <c r="L1834" s="5" t="str">
        <f>TEXT(Table1[[#This Row],[Order_Date]],"MMM")</f>
        <v>Apr</v>
      </c>
      <c r="M1834" s="5" t="str">
        <f>IF(Table1[[#This Row],[Profit]]&gt;=1000,"Excellent",IF(Table1[[#This Row],[Profit]]&gt;=500,"Good", IF(Table1[[#This Row],[Profit]]&lt;500,"Low")))</f>
        <v>Low</v>
      </c>
      <c r="N1834" s="7" t="str">
        <f>TEXT(Table1[[#This Row],[Order_Date]],"YYY")</f>
        <v>2026</v>
      </c>
    </row>
    <row r="1835" spans="1:14" x14ac:dyDescent="0.3">
      <c r="A1835" s="4">
        <v>46115</v>
      </c>
      <c r="B1835" s="5" t="s">
        <v>16</v>
      </c>
      <c r="C1835" s="5" t="s">
        <v>14</v>
      </c>
      <c r="D1835" s="23">
        <v>87.48</v>
      </c>
      <c r="E1835" s="23">
        <v>29.08</v>
      </c>
      <c r="F1835" s="23">
        <v>58.4</v>
      </c>
      <c r="G1835" s="5" t="s">
        <v>20</v>
      </c>
      <c r="H1835" s="5" t="s">
        <v>28</v>
      </c>
      <c r="I1835" s="5" t="s">
        <v>27</v>
      </c>
      <c r="J1835" s="6">
        <f>Table1[[#This Row],[Profit]]/Table1[[#This Row],[Sales]]</f>
        <v>0.66758116140832191</v>
      </c>
      <c r="K1835" s="5" t="str">
        <f t="shared" si="28"/>
        <v>Low</v>
      </c>
      <c r="L1835" s="5" t="str">
        <f>TEXT(Table1[[#This Row],[Order_Date]],"MMM")</f>
        <v>Apr</v>
      </c>
      <c r="M1835" s="5" t="str">
        <f>IF(Table1[[#This Row],[Profit]]&gt;=1000,"Excellent",IF(Table1[[#This Row],[Profit]]&gt;=500,"Good", IF(Table1[[#This Row],[Profit]]&lt;500,"Low")))</f>
        <v>Low</v>
      </c>
      <c r="N1835" s="7" t="str">
        <f>TEXT(Table1[[#This Row],[Order_Date]],"YYY")</f>
        <v>2026</v>
      </c>
    </row>
    <row r="1836" spans="1:14" x14ac:dyDescent="0.3">
      <c r="A1836" s="4">
        <v>46116</v>
      </c>
      <c r="B1836" s="5" t="s">
        <v>16</v>
      </c>
      <c r="C1836" s="5" t="s">
        <v>14</v>
      </c>
      <c r="D1836" s="23">
        <v>376.84</v>
      </c>
      <c r="E1836" s="23">
        <v>180.91</v>
      </c>
      <c r="F1836" s="23">
        <v>195.93</v>
      </c>
      <c r="G1836" s="5" t="s">
        <v>6</v>
      </c>
      <c r="H1836" s="5" t="s">
        <v>34</v>
      </c>
      <c r="I1836" s="5" t="s">
        <v>17</v>
      </c>
      <c r="J1836" s="6">
        <f>Table1[[#This Row],[Profit]]/Table1[[#This Row],[Sales]]</f>
        <v>0.5199288822842586</v>
      </c>
      <c r="K1836" s="5" t="str">
        <f t="shared" si="28"/>
        <v>Low</v>
      </c>
      <c r="L1836" s="5" t="str">
        <f>TEXT(Table1[[#This Row],[Order_Date]],"MMM")</f>
        <v>Apr</v>
      </c>
      <c r="M1836" s="5" t="str">
        <f>IF(Table1[[#This Row],[Profit]]&gt;=1000,"Excellent",IF(Table1[[#This Row],[Profit]]&gt;=500,"Good", IF(Table1[[#This Row],[Profit]]&lt;500,"Low")))</f>
        <v>Low</v>
      </c>
      <c r="N1836" s="7" t="str">
        <f>TEXT(Table1[[#This Row],[Order_Date]],"YYY")</f>
        <v>2026</v>
      </c>
    </row>
    <row r="1837" spans="1:14" x14ac:dyDescent="0.3">
      <c r="A1837" s="4">
        <v>46116</v>
      </c>
      <c r="B1837" s="5" t="s">
        <v>13</v>
      </c>
      <c r="C1837" s="5" t="s">
        <v>31</v>
      </c>
      <c r="D1837" s="23">
        <v>64.260000000000005</v>
      </c>
      <c r="E1837" s="23">
        <v>14.88</v>
      </c>
      <c r="F1837" s="23">
        <v>49.38</v>
      </c>
      <c r="G1837" s="5" t="s">
        <v>20</v>
      </c>
      <c r="H1837" s="5" t="s">
        <v>24</v>
      </c>
      <c r="I1837" s="5" t="s">
        <v>27</v>
      </c>
      <c r="J1837" s="6">
        <f>Table1[[#This Row],[Profit]]/Table1[[#This Row],[Sales]]</f>
        <v>0.76844070961718014</v>
      </c>
      <c r="K1837" s="5" t="str">
        <f t="shared" si="28"/>
        <v>Low</v>
      </c>
      <c r="L1837" s="5" t="str">
        <f>TEXT(Table1[[#This Row],[Order_Date]],"MMM")</f>
        <v>Apr</v>
      </c>
      <c r="M1837" s="5" t="str">
        <f>IF(Table1[[#This Row],[Profit]]&gt;=1000,"Excellent",IF(Table1[[#This Row],[Profit]]&gt;=500,"Good", IF(Table1[[#This Row],[Profit]]&lt;500,"Low")))</f>
        <v>Low</v>
      </c>
      <c r="N1837" s="7" t="str">
        <f>TEXT(Table1[[#This Row],[Order_Date]],"YYY")</f>
        <v>2026</v>
      </c>
    </row>
    <row r="1838" spans="1:14" x14ac:dyDescent="0.3">
      <c r="A1838" s="4">
        <v>46116</v>
      </c>
      <c r="B1838" s="5" t="s">
        <v>18</v>
      </c>
      <c r="C1838" s="5" t="s">
        <v>23</v>
      </c>
      <c r="D1838" s="23">
        <v>171.67</v>
      </c>
      <c r="E1838" s="23">
        <v>66.73</v>
      </c>
      <c r="F1838" s="23">
        <v>104.94</v>
      </c>
      <c r="G1838" s="5" t="s">
        <v>2</v>
      </c>
      <c r="H1838" s="5" t="s">
        <v>33</v>
      </c>
      <c r="I1838" s="5" t="s">
        <v>17</v>
      </c>
      <c r="J1838" s="6">
        <f>Table1[[#This Row],[Profit]]/Table1[[#This Row],[Sales]]</f>
        <v>0.61128910118250135</v>
      </c>
      <c r="K1838" s="5" t="str">
        <f t="shared" si="28"/>
        <v>Low</v>
      </c>
      <c r="L1838" s="5" t="str">
        <f>TEXT(Table1[[#This Row],[Order_Date]],"MMM")</f>
        <v>Apr</v>
      </c>
      <c r="M1838" s="5" t="str">
        <f>IF(Table1[[#This Row],[Profit]]&gt;=1000,"Excellent",IF(Table1[[#This Row],[Profit]]&gt;=500,"Good", IF(Table1[[#This Row],[Profit]]&lt;500,"Low")))</f>
        <v>Low</v>
      </c>
      <c r="N1838" s="7" t="str">
        <f>TEXT(Table1[[#This Row],[Order_Date]],"YYY")</f>
        <v>2026</v>
      </c>
    </row>
    <row r="1839" spans="1:14" x14ac:dyDescent="0.3">
      <c r="A1839" s="4">
        <v>46117</v>
      </c>
      <c r="B1839" s="5" t="s">
        <v>18</v>
      </c>
      <c r="C1839" s="5" t="s">
        <v>1</v>
      </c>
      <c r="D1839" s="23">
        <v>277.66000000000003</v>
      </c>
      <c r="E1839" s="23">
        <v>170.29</v>
      </c>
      <c r="F1839" s="23">
        <v>107.37</v>
      </c>
      <c r="G1839" s="5" t="s">
        <v>6</v>
      </c>
      <c r="H1839" s="5" t="s">
        <v>15</v>
      </c>
      <c r="I1839" s="5" t="s">
        <v>11</v>
      </c>
      <c r="J1839" s="6">
        <f>Table1[[#This Row],[Profit]]/Table1[[#This Row],[Sales]]</f>
        <v>0.38669595908665272</v>
      </c>
      <c r="K1839" s="5" t="str">
        <f t="shared" si="28"/>
        <v>Low</v>
      </c>
      <c r="L1839" s="5" t="str">
        <f>TEXT(Table1[[#This Row],[Order_Date]],"MMM")</f>
        <v>Apr</v>
      </c>
      <c r="M1839" s="5" t="str">
        <f>IF(Table1[[#This Row],[Profit]]&gt;=1000,"Excellent",IF(Table1[[#This Row],[Profit]]&gt;=500,"Good", IF(Table1[[#This Row],[Profit]]&lt;500,"Low")))</f>
        <v>Low</v>
      </c>
      <c r="N1839" s="7" t="str">
        <f>TEXT(Table1[[#This Row],[Order_Date]],"YYY")</f>
        <v>2026</v>
      </c>
    </row>
    <row r="1840" spans="1:14" x14ac:dyDescent="0.3">
      <c r="A1840" s="4">
        <v>46117</v>
      </c>
      <c r="B1840" s="5" t="s">
        <v>13</v>
      </c>
      <c r="C1840" s="5" t="s">
        <v>23</v>
      </c>
      <c r="D1840" s="23">
        <v>428.06</v>
      </c>
      <c r="E1840" s="23">
        <v>190.79</v>
      </c>
      <c r="F1840" s="23">
        <v>237.27</v>
      </c>
      <c r="G1840" s="5" t="s">
        <v>2</v>
      </c>
      <c r="H1840" s="5" t="s">
        <v>36</v>
      </c>
      <c r="I1840" s="5" t="s">
        <v>25</v>
      </c>
      <c r="J1840" s="6">
        <f>Table1[[#This Row],[Profit]]/Table1[[#This Row],[Sales]]</f>
        <v>0.55429145446899974</v>
      </c>
      <c r="K1840" s="5" t="str">
        <f t="shared" si="28"/>
        <v>Low</v>
      </c>
      <c r="L1840" s="5" t="str">
        <f>TEXT(Table1[[#This Row],[Order_Date]],"MMM")</f>
        <v>Apr</v>
      </c>
      <c r="M1840" s="5" t="str">
        <f>IF(Table1[[#This Row],[Profit]]&gt;=1000,"Excellent",IF(Table1[[#This Row],[Profit]]&gt;=500,"Good", IF(Table1[[#This Row],[Profit]]&lt;500,"Low")))</f>
        <v>Low</v>
      </c>
      <c r="N1840" s="7" t="str">
        <f>TEXT(Table1[[#This Row],[Order_Date]],"YYY")</f>
        <v>2026</v>
      </c>
    </row>
    <row r="1841" spans="1:14" x14ac:dyDescent="0.3">
      <c r="A1841" s="4">
        <v>46117</v>
      </c>
      <c r="B1841" s="5" t="s">
        <v>13</v>
      </c>
      <c r="C1841" s="5" t="s">
        <v>5</v>
      </c>
      <c r="D1841" s="23">
        <v>1954.35</v>
      </c>
      <c r="E1841" s="23">
        <v>788.5</v>
      </c>
      <c r="F1841" s="23">
        <v>1165.8499999999999</v>
      </c>
      <c r="G1841" s="5" t="s">
        <v>32</v>
      </c>
      <c r="H1841" s="5" t="s">
        <v>12</v>
      </c>
      <c r="I1841" s="5" t="s">
        <v>27</v>
      </c>
      <c r="J1841" s="6">
        <f>Table1[[#This Row],[Profit]]/Table1[[#This Row],[Sales]]</f>
        <v>0.59654104945378261</v>
      </c>
      <c r="K1841" s="5" t="str">
        <f t="shared" si="28"/>
        <v>Medium</v>
      </c>
      <c r="L1841" s="5" t="str">
        <f>TEXT(Table1[[#This Row],[Order_Date]],"MMM")</f>
        <v>Apr</v>
      </c>
      <c r="M1841" s="5" t="str">
        <f>IF(Table1[[#This Row],[Profit]]&gt;=1000,"Excellent",IF(Table1[[#This Row],[Profit]]&gt;=500,"Good", IF(Table1[[#This Row],[Profit]]&lt;500,"Low")))</f>
        <v>Excellent</v>
      </c>
      <c r="N1841" s="7" t="str">
        <f>TEXT(Table1[[#This Row],[Order_Date]],"YYY")</f>
        <v>2026</v>
      </c>
    </row>
    <row r="1842" spans="1:14" x14ac:dyDescent="0.3">
      <c r="A1842" s="4">
        <v>46118</v>
      </c>
      <c r="B1842" s="5" t="s">
        <v>16</v>
      </c>
      <c r="C1842" s="5" t="s">
        <v>1</v>
      </c>
      <c r="D1842" s="23">
        <v>832.12</v>
      </c>
      <c r="E1842" s="23">
        <v>484.75</v>
      </c>
      <c r="F1842" s="23">
        <v>347.37</v>
      </c>
      <c r="G1842" s="5" t="s">
        <v>20</v>
      </c>
      <c r="H1842" s="5" t="s">
        <v>35</v>
      </c>
      <c r="I1842" s="5" t="s">
        <v>22</v>
      </c>
      <c r="J1842" s="6">
        <f>Table1[[#This Row],[Profit]]/Table1[[#This Row],[Sales]]</f>
        <v>0.41745180983511992</v>
      </c>
      <c r="K1842" s="5" t="str">
        <f t="shared" si="28"/>
        <v>Low</v>
      </c>
      <c r="L1842" s="5" t="str">
        <f>TEXT(Table1[[#This Row],[Order_Date]],"MMM")</f>
        <v>Apr</v>
      </c>
      <c r="M1842" s="5" t="str">
        <f>IF(Table1[[#This Row],[Profit]]&gt;=1000,"Excellent",IF(Table1[[#This Row],[Profit]]&gt;=500,"Good", IF(Table1[[#This Row],[Profit]]&lt;500,"Low")))</f>
        <v>Low</v>
      </c>
      <c r="N1842" s="7" t="str">
        <f>TEXT(Table1[[#This Row],[Order_Date]],"YYY")</f>
        <v>2026</v>
      </c>
    </row>
    <row r="1843" spans="1:14" x14ac:dyDescent="0.3">
      <c r="A1843" s="4">
        <v>46118</v>
      </c>
      <c r="B1843" s="5" t="s">
        <v>16</v>
      </c>
      <c r="C1843" s="5" t="s">
        <v>19</v>
      </c>
      <c r="D1843" s="23">
        <v>35.24</v>
      </c>
      <c r="E1843" s="23">
        <v>14.41</v>
      </c>
      <c r="F1843" s="23">
        <v>20.83</v>
      </c>
      <c r="G1843" s="5" t="s">
        <v>2</v>
      </c>
      <c r="H1843" s="5" t="s">
        <v>33</v>
      </c>
      <c r="I1843" s="5" t="s">
        <v>27</v>
      </c>
      <c r="J1843" s="6">
        <f>Table1[[#This Row],[Profit]]/Table1[[#This Row],[Sales]]</f>
        <v>0.59108967082860375</v>
      </c>
      <c r="K1843" s="5" t="str">
        <f t="shared" si="28"/>
        <v>Low</v>
      </c>
      <c r="L1843" s="5" t="str">
        <f>TEXT(Table1[[#This Row],[Order_Date]],"MMM")</f>
        <v>Apr</v>
      </c>
      <c r="M1843" s="5" t="str">
        <f>IF(Table1[[#This Row],[Profit]]&gt;=1000,"Excellent",IF(Table1[[#This Row],[Profit]]&gt;=500,"Good", IF(Table1[[#This Row],[Profit]]&lt;500,"Low")))</f>
        <v>Low</v>
      </c>
      <c r="N1843" s="7" t="str">
        <f>TEXT(Table1[[#This Row],[Order_Date]],"YYY")</f>
        <v>2026</v>
      </c>
    </row>
    <row r="1844" spans="1:14" x14ac:dyDescent="0.3">
      <c r="A1844" s="4">
        <v>46118</v>
      </c>
      <c r="B1844" s="5" t="s">
        <v>8</v>
      </c>
      <c r="C1844" s="5" t="s">
        <v>14</v>
      </c>
      <c r="D1844" s="23">
        <v>59.64</v>
      </c>
      <c r="E1844" s="23">
        <v>24.43</v>
      </c>
      <c r="F1844" s="23">
        <v>35.21</v>
      </c>
      <c r="G1844" s="5" t="s">
        <v>20</v>
      </c>
      <c r="H1844" s="5" t="s">
        <v>21</v>
      </c>
      <c r="I1844" s="5" t="s">
        <v>27</v>
      </c>
      <c r="J1844" s="6">
        <f>Table1[[#This Row],[Profit]]/Table1[[#This Row],[Sales]]</f>
        <v>0.59037558685446012</v>
      </c>
      <c r="K1844" s="5" t="str">
        <f t="shared" si="28"/>
        <v>Low</v>
      </c>
      <c r="L1844" s="5" t="str">
        <f>TEXT(Table1[[#This Row],[Order_Date]],"MMM")</f>
        <v>Apr</v>
      </c>
      <c r="M1844" s="5" t="str">
        <f>IF(Table1[[#This Row],[Profit]]&gt;=1000,"Excellent",IF(Table1[[#This Row],[Profit]]&gt;=500,"Good", IF(Table1[[#This Row],[Profit]]&lt;500,"Low")))</f>
        <v>Low</v>
      </c>
      <c r="N1844" s="7" t="str">
        <f>TEXT(Table1[[#This Row],[Order_Date]],"YYY")</f>
        <v>2026</v>
      </c>
    </row>
    <row r="1845" spans="1:14" x14ac:dyDescent="0.3">
      <c r="A1845" s="4">
        <v>46119</v>
      </c>
      <c r="B1845" s="5" t="s">
        <v>18</v>
      </c>
      <c r="C1845" s="5" t="s">
        <v>23</v>
      </c>
      <c r="D1845" s="23">
        <v>45</v>
      </c>
      <c r="E1845" s="23">
        <v>19.59</v>
      </c>
      <c r="F1845" s="23">
        <v>25.41</v>
      </c>
      <c r="G1845" s="5" t="s">
        <v>2</v>
      </c>
      <c r="H1845" s="5" t="s">
        <v>33</v>
      </c>
      <c r="I1845" s="5" t="s">
        <v>22</v>
      </c>
      <c r="J1845" s="6">
        <f>Table1[[#This Row],[Profit]]/Table1[[#This Row],[Sales]]</f>
        <v>0.56466666666666665</v>
      </c>
      <c r="K1845" s="5" t="str">
        <f t="shared" si="28"/>
        <v>Low</v>
      </c>
      <c r="L1845" s="5" t="str">
        <f>TEXT(Table1[[#This Row],[Order_Date]],"MMM")</f>
        <v>Apr</v>
      </c>
      <c r="M1845" s="5" t="str">
        <f>IF(Table1[[#This Row],[Profit]]&gt;=1000,"Excellent",IF(Table1[[#This Row],[Profit]]&gt;=500,"Good", IF(Table1[[#This Row],[Profit]]&lt;500,"Low")))</f>
        <v>Low</v>
      </c>
      <c r="N1845" s="7" t="str">
        <f>TEXT(Table1[[#This Row],[Order_Date]],"YYY")</f>
        <v>2026</v>
      </c>
    </row>
    <row r="1846" spans="1:14" x14ac:dyDescent="0.3">
      <c r="A1846" s="4">
        <v>46119</v>
      </c>
      <c r="B1846" s="5" t="s">
        <v>16</v>
      </c>
      <c r="C1846" s="5" t="s">
        <v>23</v>
      </c>
      <c r="D1846" s="23">
        <v>240.91</v>
      </c>
      <c r="E1846" s="23">
        <v>100.52</v>
      </c>
      <c r="F1846" s="23">
        <v>140.38999999999999</v>
      </c>
      <c r="G1846" s="5" t="s">
        <v>2</v>
      </c>
      <c r="H1846" s="5" t="s">
        <v>15</v>
      </c>
      <c r="I1846" s="5" t="s">
        <v>25</v>
      </c>
      <c r="J1846" s="6">
        <f>Table1[[#This Row],[Profit]]/Table1[[#This Row],[Sales]]</f>
        <v>0.58274874434436097</v>
      </c>
      <c r="K1846" s="5" t="str">
        <f t="shared" si="28"/>
        <v>Low</v>
      </c>
      <c r="L1846" s="5" t="str">
        <f>TEXT(Table1[[#This Row],[Order_Date]],"MMM")</f>
        <v>Apr</v>
      </c>
      <c r="M1846" s="5" t="str">
        <f>IF(Table1[[#This Row],[Profit]]&gt;=1000,"Excellent",IF(Table1[[#This Row],[Profit]]&gt;=500,"Good", IF(Table1[[#This Row],[Profit]]&lt;500,"Low")))</f>
        <v>Low</v>
      </c>
      <c r="N1846" s="7" t="str">
        <f>TEXT(Table1[[#This Row],[Order_Date]],"YYY")</f>
        <v>2026</v>
      </c>
    </row>
    <row r="1847" spans="1:14" x14ac:dyDescent="0.3">
      <c r="A1847" s="4">
        <v>46119</v>
      </c>
      <c r="B1847" s="5" t="s">
        <v>0</v>
      </c>
      <c r="C1847" s="5" t="s">
        <v>23</v>
      </c>
      <c r="D1847" s="23">
        <v>826.93</v>
      </c>
      <c r="E1847" s="23">
        <v>362.48</v>
      </c>
      <c r="F1847" s="23">
        <v>464.45</v>
      </c>
      <c r="G1847" s="5" t="s">
        <v>9</v>
      </c>
      <c r="H1847" s="5" t="s">
        <v>36</v>
      </c>
      <c r="I1847" s="5" t="s">
        <v>4</v>
      </c>
      <c r="J1847" s="6">
        <f>Table1[[#This Row],[Profit]]/Table1[[#This Row],[Sales]]</f>
        <v>0.56165576288198515</v>
      </c>
      <c r="K1847" s="5" t="str">
        <f t="shared" si="28"/>
        <v>Low</v>
      </c>
      <c r="L1847" s="5" t="str">
        <f>TEXT(Table1[[#This Row],[Order_Date]],"MMM")</f>
        <v>Apr</v>
      </c>
      <c r="M1847" s="5" t="str">
        <f>IF(Table1[[#This Row],[Profit]]&gt;=1000,"Excellent",IF(Table1[[#This Row],[Profit]]&gt;=500,"Good", IF(Table1[[#This Row],[Profit]]&lt;500,"Low")))</f>
        <v>Low</v>
      </c>
      <c r="N1847" s="7" t="str">
        <f>TEXT(Table1[[#This Row],[Order_Date]],"YYY")</f>
        <v>2026</v>
      </c>
    </row>
    <row r="1848" spans="1:14" x14ac:dyDescent="0.3">
      <c r="A1848" s="4">
        <v>46119</v>
      </c>
      <c r="B1848" s="5" t="s">
        <v>18</v>
      </c>
      <c r="C1848" s="5" t="s">
        <v>14</v>
      </c>
      <c r="D1848" s="23">
        <v>238.93</v>
      </c>
      <c r="E1848" s="23">
        <v>87.37</v>
      </c>
      <c r="F1848" s="23">
        <v>151.56</v>
      </c>
      <c r="G1848" s="5" t="s">
        <v>6</v>
      </c>
      <c r="H1848" s="5" t="s">
        <v>7</v>
      </c>
      <c r="I1848" s="5" t="s">
        <v>17</v>
      </c>
      <c r="J1848" s="6">
        <f>Table1[[#This Row],[Profit]]/Table1[[#This Row],[Sales]]</f>
        <v>0.63432804587117564</v>
      </c>
      <c r="K1848" s="5" t="str">
        <f t="shared" si="28"/>
        <v>Low</v>
      </c>
      <c r="L1848" s="5" t="str">
        <f>TEXT(Table1[[#This Row],[Order_Date]],"MMM")</f>
        <v>Apr</v>
      </c>
      <c r="M1848" s="5" t="str">
        <f>IF(Table1[[#This Row],[Profit]]&gt;=1000,"Excellent",IF(Table1[[#This Row],[Profit]]&gt;=500,"Good", IF(Table1[[#This Row],[Profit]]&lt;500,"Low")))</f>
        <v>Low</v>
      </c>
      <c r="N1848" s="7" t="str">
        <f>TEXT(Table1[[#This Row],[Order_Date]],"YYY")</f>
        <v>2026</v>
      </c>
    </row>
    <row r="1849" spans="1:14" x14ac:dyDescent="0.3">
      <c r="A1849" s="4">
        <v>46119</v>
      </c>
      <c r="B1849" s="5" t="s">
        <v>8</v>
      </c>
      <c r="C1849" s="5" t="s">
        <v>14</v>
      </c>
      <c r="D1849" s="23">
        <v>47.96</v>
      </c>
      <c r="E1849" s="23">
        <v>14.88</v>
      </c>
      <c r="F1849" s="23">
        <v>33.08</v>
      </c>
      <c r="G1849" s="5" t="s">
        <v>32</v>
      </c>
      <c r="H1849" s="5" t="s">
        <v>34</v>
      </c>
      <c r="I1849" s="5" t="s">
        <v>11</v>
      </c>
      <c r="J1849" s="6">
        <f>Table1[[#This Row],[Profit]]/Table1[[#This Row],[Sales]]</f>
        <v>0.68974145120934105</v>
      </c>
      <c r="K1849" s="5" t="str">
        <f t="shared" si="28"/>
        <v>Low</v>
      </c>
      <c r="L1849" s="5" t="str">
        <f>TEXT(Table1[[#This Row],[Order_Date]],"MMM")</f>
        <v>Apr</v>
      </c>
      <c r="M1849" s="5" t="str">
        <f>IF(Table1[[#This Row],[Profit]]&gt;=1000,"Excellent",IF(Table1[[#This Row],[Profit]]&gt;=500,"Good", IF(Table1[[#This Row],[Profit]]&lt;500,"Low")))</f>
        <v>Low</v>
      </c>
      <c r="N1849" s="7" t="str">
        <f>TEXT(Table1[[#This Row],[Order_Date]],"YYY")</f>
        <v>2026</v>
      </c>
    </row>
    <row r="1850" spans="1:14" x14ac:dyDescent="0.3">
      <c r="A1850" s="4">
        <v>46120</v>
      </c>
      <c r="B1850" s="5" t="s">
        <v>18</v>
      </c>
      <c r="C1850" s="5" t="s">
        <v>1</v>
      </c>
      <c r="D1850" s="23">
        <v>648.79</v>
      </c>
      <c r="E1850" s="23">
        <v>317.72000000000003</v>
      </c>
      <c r="F1850" s="23">
        <v>331.07</v>
      </c>
      <c r="G1850" s="5" t="s">
        <v>2</v>
      </c>
      <c r="H1850" s="5" t="s">
        <v>10</v>
      </c>
      <c r="I1850" s="5" t="s">
        <v>25</v>
      </c>
      <c r="J1850" s="6">
        <f>Table1[[#This Row],[Profit]]/Table1[[#This Row],[Sales]]</f>
        <v>0.51028838298987345</v>
      </c>
      <c r="K1850" s="5" t="str">
        <f t="shared" si="28"/>
        <v>Low</v>
      </c>
      <c r="L1850" s="5" t="str">
        <f>TEXT(Table1[[#This Row],[Order_Date]],"MMM")</f>
        <v>Apr</v>
      </c>
      <c r="M1850" s="5" t="str">
        <f>IF(Table1[[#This Row],[Profit]]&gt;=1000,"Excellent",IF(Table1[[#This Row],[Profit]]&gt;=500,"Good", IF(Table1[[#This Row],[Profit]]&lt;500,"Low")))</f>
        <v>Low</v>
      </c>
      <c r="N1850" s="7" t="str">
        <f>TEXT(Table1[[#This Row],[Order_Date]],"YYY")</f>
        <v>2026</v>
      </c>
    </row>
    <row r="1851" spans="1:14" x14ac:dyDescent="0.3">
      <c r="A1851" s="4">
        <v>46121</v>
      </c>
      <c r="B1851" s="5" t="s">
        <v>0</v>
      </c>
      <c r="C1851" s="5" t="s">
        <v>5</v>
      </c>
      <c r="D1851" s="23">
        <v>146.55000000000001</v>
      </c>
      <c r="E1851" s="23">
        <v>71.819999999999993</v>
      </c>
      <c r="F1851" s="23">
        <v>74.73</v>
      </c>
      <c r="G1851" s="5" t="s">
        <v>20</v>
      </c>
      <c r="H1851" s="5" t="s">
        <v>24</v>
      </c>
      <c r="I1851" s="5" t="s">
        <v>22</v>
      </c>
      <c r="J1851" s="6">
        <f>Table1[[#This Row],[Profit]]/Table1[[#This Row],[Sales]]</f>
        <v>0.50992835209825993</v>
      </c>
      <c r="K1851" s="5" t="str">
        <f t="shared" si="28"/>
        <v>Low</v>
      </c>
      <c r="L1851" s="5" t="str">
        <f>TEXT(Table1[[#This Row],[Order_Date]],"MMM")</f>
        <v>Apr</v>
      </c>
      <c r="M1851" s="5" t="str">
        <f>IF(Table1[[#This Row],[Profit]]&gt;=1000,"Excellent",IF(Table1[[#This Row],[Profit]]&gt;=500,"Good", IF(Table1[[#This Row],[Profit]]&lt;500,"Low")))</f>
        <v>Low</v>
      </c>
      <c r="N1851" s="7" t="str">
        <f>TEXT(Table1[[#This Row],[Order_Date]],"YYY")</f>
        <v>2026</v>
      </c>
    </row>
    <row r="1852" spans="1:14" x14ac:dyDescent="0.3">
      <c r="A1852" s="4">
        <v>46121</v>
      </c>
      <c r="B1852" s="5" t="s">
        <v>13</v>
      </c>
      <c r="C1852" s="5" t="s">
        <v>19</v>
      </c>
      <c r="D1852" s="23">
        <v>53.39</v>
      </c>
      <c r="E1852" s="23">
        <v>23.2</v>
      </c>
      <c r="F1852" s="23">
        <v>30.19</v>
      </c>
      <c r="G1852" s="5" t="s">
        <v>32</v>
      </c>
      <c r="H1852" s="5" t="s">
        <v>3</v>
      </c>
      <c r="I1852" s="5" t="s">
        <v>25</v>
      </c>
      <c r="J1852" s="6">
        <f>Table1[[#This Row],[Profit]]/Table1[[#This Row],[Sales]]</f>
        <v>0.56546169694699389</v>
      </c>
      <c r="K1852" s="5" t="str">
        <f t="shared" si="28"/>
        <v>Low</v>
      </c>
      <c r="L1852" s="5" t="str">
        <f>TEXT(Table1[[#This Row],[Order_Date]],"MMM")</f>
        <v>Apr</v>
      </c>
      <c r="M1852" s="5" t="str">
        <f>IF(Table1[[#This Row],[Profit]]&gt;=1000,"Excellent",IF(Table1[[#This Row],[Profit]]&gt;=500,"Good", IF(Table1[[#This Row],[Profit]]&lt;500,"Low")))</f>
        <v>Low</v>
      </c>
      <c r="N1852" s="7" t="str">
        <f>TEXT(Table1[[#This Row],[Order_Date]],"YYY")</f>
        <v>2026</v>
      </c>
    </row>
    <row r="1853" spans="1:14" x14ac:dyDescent="0.3">
      <c r="A1853" s="4">
        <v>46122</v>
      </c>
      <c r="B1853" s="5" t="s">
        <v>16</v>
      </c>
      <c r="C1853" s="5" t="s">
        <v>26</v>
      </c>
      <c r="D1853" s="23">
        <v>952.46</v>
      </c>
      <c r="E1853" s="23">
        <v>325.45999999999998</v>
      </c>
      <c r="F1853" s="23">
        <v>627</v>
      </c>
      <c r="G1853" s="5" t="s">
        <v>32</v>
      </c>
      <c r="H1853" s="5" t="s">
        <v>35</v>
      </c>
      <c r="I1853" s="5" t="s">
        <v>17</v>
      </c>
      <c r="J1853" s="6">
        <f>Table1[[#This Row],[Profit]]/Table1[[#This Row],[Sales]]</f>
        <v>0.65829536148499668</v>
      </c>
      <c r="K1853" s="5" t="str">
        <f t="shared" si="28"/>
        <v>Low</v>
      </c>
      <c r="L1853" s="5" t="str">
        <f>TEXT(Table1[[#This Row],[Order_Date]],"MMM")</f>
        <v>Apr</v>
      </c>
      <c r="M1853" s="5" t="str">
        <f>IF(Table1[[#This Row],[Profit]]&gt;=1000,"Excellent",IF(Table1[[#This Row],[Profit]]&gt;=500,"Good", IF(Table1[[#This Row],[Profit]]&lt;500,"Low")))</f>
        <v>Good</v>
      </c>
      <c r="N1853" s="7" t="str">
        <f>TEXT(Table1[[#This Row],[Order_Date]],"YYY")</f>
        <v>2026</v>
      </c>
    </row>
    <row r="1854" spans="1:14" x14ac:dyDescent="0.3">
      <c r="A1854" s="4">
        <v>46122</v>
      </c>
      <c r="B1854" s="5" t="s">
        <v>18</v>
      </c>
      <c r="C1854" s="5" t="s">
        <v>31</v>
      </c>
      <c r="D1854" s="23">
        <v>95.13</v>
      </c>
      <c r="E1854" s="23">
        <v>28.58</v>
      </c>
      <c r="F1854" s="23">
        <v>66.55</v>
      </c>
      <c r="G1854" s="5" t="s">
        <v>20</v>
      </c>
      <c r="H1854" s="5" t="s">
        <v>12</v>
      </c>
      <c r="I1854" s="5" t="s">
        <v>4</v>
      </c>
      <c r="J1854" s="6">
        <f>Table1[[#This Row],[Profit]]/Table1[[#This Row],[Sales]]</f>
        <v>0.69956901082728895</v>
      </c>
      <c r="K1854" s="5" t="str">
        <f t="shared" si="28"/>
        <v>Low</v>
      </c>
      <c r="L1854" s="5" t="str">
        <f>TEXT(Table1[[#This Row],[Order_Date]],"MMM")</f>
        <v>Apr</v>
      </c>
      <c r="M1854" s="5" t="str">
        <f>IF(Table1[[#This Row],[Profit]]&gt;=1000,"Excellent",IF(Table1[[#This Row],[Profit]]&gt;=500,"Good", IF(Table1[[#This Row],[Profit]]&lt;500,"Low")))</f>
        <v>Low</v>
      </c>
      <c r="N1854" s="7" t="str">
        <f>TEXT(Table1[[#This Row],[Order_Date]],"YYY")</f>
        <v>2026</v>
      </c>
    </row>
    <row r="1855" spans="1:14" x14ac:dyDescent="0.3">
      <c r="A1855" s="4">
        <v>46123</v>
      </c>
      <c r="B1855" s="5" t="s">
        <v>18</v>
      </c>
      <c r="C1855" s="5" t="s">
        <v>5</v>
      </c>
      <c r="D1855" s="23">
        <v>1410.46</v>
      </c>
      <c r="E1855" s="23">
        <v>676.62</v>
      </c>
      <c r="F1855" s="23">
        <v>733.84</v>
      </c>
      <c r="G1855" s="5" t="s">
        <v>2</v>
      </c>
      <c r="H1855" s="5" t="s">
        <v>36</v>
      </c>
      <c r="I1855" s="5" t="s">
        <v>4</v>
      </c>
      <c r="J1855" s="6">
        <f>Table1[[#This Row],[Profit]]/Table1[[#This Row],[Sales]]</f>
        <v>0.52028416261361543</v>
      </c>
      <c r="K1855" s="5" t="str">
        <f t="shared" si="28"/>
        <v>Low</v>
      </c>
      <c r="L1855" s="5" t="str">
        <f>TEXT(Table1[[#This Row],[Order_Date]],"MMM")</f>
        <v>Apr</v>
      </c>
      <c r="M1855" s="5" t="str">
        <f>IF(Table1[[#This Row],[Profit]]&gt;=1000,"Excellent",IF(Table1[[#This Row],[Profit]]&gt;=500,"Good", IF(Table1[[#This Row],[Profit]]&lt;500,"Low")))</f>
        <v>Good</v>
      </c>
      <c r="N1855" s="7" t="str">
        <f>TEXT(Table1[[#This Row],[Order_Date]],"YYY")</f>
        <v>2026</v>
      </c>
    </row>
    <row r="1856" spans="1:14" x14ac:dyDescent="0.3">
      <c r="A1856" s="4">
        <v>46124</v>
      </c>
      <c r="B1856" s="5" t="s">
        <v>8</v>
      </c>
      <c r="C1856" s="5" t="s">
        <v>23</v>
      </c>
      <c r="D1856" s="23">
        <v>70.989999999999995</v>
      </c>
      <c r="E1856" s="23">
        <v>33.78</v>
      </c>
      <c r="F1856" s="23">
        <v>37.21</v>
      </c>
      <c r="G1856" s="5" t="s">
        <v>9</v>
      </c>
      <c r="H1856" s="5" t="s">
        <v>36</v>
      </c>
      <c r="I1856" s="5" t="s">
        <v>11</v>
      </c>
      <c r="J1856" s="6">
        <f>Table1[[#This Row],[Profit]]/Table1[[#This Row],[Sales]]</f>
        <v>0.52415833215945917</v>
      </c>
      <c r="K1856" s="5" t="str">
        <f t="shared" si="28"/>
        <v>Low</v>
      </c>
      <c r="L1856" s="5" t="str">
        <f>TEXT(Table1[[#This Row],[Order_Date]],"MMM")</f>
        <v>Apr</v>
      </c>
      <c r="M1856" s="5" t="str">
        <f>IF(Table1[[#This Row],[Profit]]&gt;=1000,"Excellent",IF(Table1[[#This Row],[Profit]]&gt;=500,"Good", IF(Table1[[#This Row],[Profit]]&lt;500,"Low")))</f>
        <v>Low</v>
      </c>
      <c r="N1856" s="7" t="str">
        <f>TEXT(Table1[[#This Row],[Order_Date]],"YYY")</f>
        <v>2026</v>
      </c>
    </row>
    <row r="1857" spans="1:14" x14ac:dyDescent="0.3">
      <c r="A1857" s="4">
        <v>46125</v>
      </c>
      <c r="B1857" s="5" t="s">
        <v>18</v>
      </c>
      <c r="C1857" s="5" t="s">
        <v>26</v>
      </c>
      <c r="D1857" s="23">
        <v>777.94</v>
      </c>
      <c r="E1857" s="23">
        <v>211.69</v>
      </c>
      <c r="F1857" s="23">
        <v>566.25</v>
      </c>
      <c r="G1857" s="5" t="s">
        <v>6</v>
      </c>
      <c r="H1857" s="5" t="s">
        <v>3</v>
      </c>
      <c r="I1857" s="5" t="s">
        <v>27</v>
      </c>
      <c r="J1857" s="6">
        <f>Table1[[#This Row],[Profit]]/Table1[[#This Row],[Sales]]</f>
        <v>0.72788389850116975</v>
      </c>
      <c r="K1857" s="5" t="str">
        <f t="shared" si="28"/>
        <v>Low</v>
      </c>
      <c r="L1857" s="5" t="str">
        <f>TEXT(Table1[[#This Row],[Order_Date]],"MMM")</f>
        <v>Apr</v>
      </c>
      <c r="M1857" s="5" t="str">
        <f>IF(Table1[[#This Row],[Profit]]&gt;=1000,"Excellent",IF(Table1[[#This Row],[Profit]]&gt;=500,"Good", IF(Table1[[#This Row],[Profit]]&lt;500,"Low")))</f>
        <v>Good</v>
      </c>
      <c r="N1857" s="7" t="str">
        <f>TEXT(Table1[[#This Row],[Order_Date]],"YYY")</f>
        <v>2026</v>
      </c>
    </row>
    <row r="1858" spans="1:14" x14ac:dyDescent="0.3">
      <c r="A1858" s="4">
        <v>46125</v>
      </c>
      <c r="B1858" s="5" t="s">
        <v>13</v>
      </c>
      <c r="C1858" s="5" t="s">
        <v>31</v>
      </c>
      <c r="D1858" s="23">
        <v>70.739999999999995</v>
      </c>
      <c r="E1858" s="23">
        <v>27.63</v>
      </c>
      <c r="F1858" s="23">
        <v>43.11</v>
      </c>
      <c r="G1858" s="5" t="s">
        <v>32</v>
      </c>
      <c r="H1858" s="5" t="s">
        <v>15</v>
      </c>
      <c r="I1858" s="5" t="s">
        <v>27</v>
      </c>
      <c r="J1858" s="6">
        <f>Table1[[#This Row],[Profit]]/Table1[[#This Row],[Sales]]</f>
        <v>0.60941475826972014</v>
      </c>
      <c r="K1858" s="5" t="str">
        <f t="shared" ref="K1858:K1921" si="29">IF(D1858&gt;=2000,"High",IF(D1858&gt;=1500,"Medium","Low"))</f>
        <v>Low</v>
      </c>
      <c r="L1858" s="5" t="str">
        <f>TEXT(Table1[[#This Row],[Order_Date]],"MMM")</f>
        <v>Apr</v>
      </c>
      <c r="M1858" s="5" t="str">
        <f>IF(Table1[[#This Row],[Profit]]&gt;=1000,"Excellent",IF(Table1[[#This Row],[Profit]]&gt;=500,"Good", IF(Table1[[#This Row],[Profit]]&lt;500,"Low")))</f>
        <v>Low</v>
      </c>
      <c r="N1858" s="7" t="str">
        <f>TEXT(Table1[[#This Row],[Order_Date]],"YYY")</f>
        <v>2026</v>
      </c>
    </row>
    <row r="1859" spans="1:14" x14ac:dyDescent="0.3">
      <c r="A1859" s="4">
        <v>46126</v>
      </c>
      <c r="B1859" s="5" t="s">
        <v>18</v>
      </c>
      <c r="C1859" s="5" t="s">
        <v>26</v>
      </c>
      <c r="D1859" s="23">
        <v>361.79</v>
      </c>
      <c r="E1859" s="23">
        <v>115.27</v>
      </c>
      <c r="F1859" s="23">
        <v>246.52</v>
      </c>
      <c r="G1859" s="5" t="s">
        <v>20</v>
      </c>
      <c r="H1859" s="5" t="s">
        <v>12</v>
      </c>
      <c r="I1859" s="5" t="s">
        <v>22</v>
      </c>
      <c r="J1859" s="6">
        <f>Table1[[#This Row],[Profit]]/Table1[[#This Row],[Sales]]</f>
        <v>0.6813897564885707</v>
      </c>
      <c r="K1859" s="5" t="str">
        <f t="shared" si="29"/>
        <v>Low</v>
      </c>
      <c r="L1859" s="5" t="str">
        <f>TEXT(Table1[[#This Row],[Order_Date]],"MMM")</f>
        <v>Apr</v>
      </c>
      <c r="M1859" s="5" t="str">
        <f>IF(Table1[[#This Row],[Profit]]&gt;=1000,"Excellent",IF(Table1[[#This Row],[Profit]]&gt;=500,"Good", IF(Table1[[#This Row],[Profit]]&lt;500,"Low")))</f>
        <v>Low</v>
      </c>
      <c r="N1859" s="7" t="str">
        <f>TEXT(Table1[[#This Row],[Order_Date]],"YYY")</f>
        <v>2026</v>
      </c>
    </row>
    <row r="1860" spans="1:14" x14ac:dyDescent="0.3">
      <c r="A1860" s="4">
        <v>46127</v>
      </c>
      <c r="B1860" s="5" t="s">
        <v>18</v>
      </c>
      <c r="C1860" s="5" t="s">
        <v>1</v>
      </c>
      <c r="D1860" s="23">
        <v>763</v>
      </c>
      <c r="E1860" s="23">
        <v>398.64</v>
      </c>
      <c r="F1860" s="23">
        <v>364.36</v>
      </c>
      <c r="G1860" s="5" t="s">
        <v>2</v>
      </c>
      <c r="H1860" s="5" t="s">
        <v>29</v>
      </c>
      <c r="I1860" s="5" t="s">
        <v>22</v>
      </c>
      <c r="J1860" s="6">
        <f>Table1[[#This Row],[Profit]]/Table1[[#This Row],[Sales]]</f>
        <v>0.47753604193971166</v>
      </c>
      <c r="K1860" s="5" t="str">
        <f t="shared" si="29"/>
        <v>Low</v>
      </c>
      <c r="L1860" s="5" t="str">
        <f>TEXT(Table1[[#This Row],[Order_Date]],"MMM")</f>
        <v>Apr</v>
      </c>
      <c r="M1860" s="5" t="str">
        <f>IF(Table1[[#This Row],[Profit]]&gt;=1000,"Excellent",IF(Table1[[#This Row],[Profit]]&gt;=500,"Good", IF(Table1[[#This Row],[Profit]]&lt;500,"Low")))</f>
        <v>Low</v>
      </c>
      <c r="N1860" s="7" t="str">
        <f>TEXT(Table1[[#This Row],[Order_Date]],"YYY")</f>
        <v>2026</v>
      </c>
    </row>
    <row r="1861" spans="1:14" x14ac:dyDescent="0.3">
      <c r="A1861" s="4">
        <v>46127</v>
      </c>
      <c r="B1861" s="5" t="s">
        <v>13</v>
      </c>
      <c r="C1861" s="5" t="s">
        <v>5</v>
      </c>
      <c r="D1861" s="23">
        <v>2088.02</v>
      </c>
      <c r="E1861" s="23">
        <v>902.96</v>
      </c>
      <c r="F1861" s="23">
        <v>1185.06</v>
      </c>
      <c r="G1861" s="5" t="s">
        <v>20</v>
      </c>
      <c r="H1861" s="5" t="s">
        <v>37</v>
      </c>
      <c r="I1861" s="5" t="s">
        <v>4</v>
      </c>
      <c r="J1861" s="6">
        <f>Table1[[#This Row],[Profit]]/Table1[[#This Row],[Sales]]</f>
        <v>0.56755203494219397</v>
      </c>
      <c r="K1861" s="5" t="str">
        <f t="shared" si="29"/>
        <v>High</v>
      </c>
      <c r="L1861" s="5" t="str">
        <f>TEXT(Table1[[#This Row],[Order_Date]],"MMM")</f>
        <v>Apr</v>
      </c>
      <c r="M1861" s="5" t="str">
        <f>IF(Table1[[#This Row],[Profit]]&gt;=1000,"Excellent",IF(Table1[[#This Row],[Profit]]&gt;=500,"Good", IF(Table1[[#This Row],[Profit]]&lt;500,"Low")))</f>
        <v>Excellent</v>
      </c>
      <c r="N1861" s="7" t="str">
        <f>TEXT(Table1[[#This Row],[Order_Date]],"YYY")</f>
        <v>2026</v>
      </c>
    </row>
    <row r="1862" spans="1:14" x14ac:dyDescent="0.3">
      <c r="A1862" s="4">
        <v>46127</v>
      </c>
      <c r="B1862" s="5" t="s">
        <v>13</v>
      </c>
      <c r="C1862" s="5" t="s">
        <v>23</v>
      </c>
      <c r="D1862" s="23">
        <v>221.65</v>
      </c>
      <c r="E1862" s="23">
        <v>76.05</v>
      </c>
      <c r="F1862" s="23">
        <v>145.6</v>
      </c>
      <c r="G1862" s="5" t="s">
        <v>6</v>
      </c>
      <c r="H1862" s="5" t="s">
        <v>36</v>
      </c>
      <c r="I1862" s="5" t="s">
        <v>4</v>
      </c>
      <c r="J1862" s="6">
        <f>Table1[[#This Row],[Profit]]/Table1[[#This Row],[Sales]]</f>
        <v>0.65689149560117299</v>
      </c>
      <c r="K1862" s="5" t="str">
        <f t="shared" si="29"/>
        <v>Low</v>
      </c>
      <c r="L1862" s="5" t="str">
        <f>TEXT(Table1[[#This Row],[Order_Date]],"MMM")</f>
        <v>Apr</v>
      </c>
      <c r="M1862" s="5" t="str">
        <f>IF(Table1[[#This Row],[Profit]]&gt;=1000,"Excellent",IF(Table1[[#This Row],[Profit]]&gt;=500,"Good", IF(Table1[[#This Row],[Profit]]&lt;500,"Low")))</f>
        <v>Low</v>
      </c>
      <c r="N1862" s="7" t="str">
        <f>TEXT(Table1[[#This Row],[Order_Date]],"YYY")</f>
        <v>2026</v>
      </c>
    </row>
    <row r="1863" spans="1:14" x14ac:dyDescent="0.3">
      <c r="A1863" s="4">
        <v>46128</v>
      </c>
      <c r="B1863" s="5" t="s">
        <v>13</v>
      </c>
      <c r="C1863" s="5" t="s">
        <v>1</v>
      </c>
      <c r="D1863" s="23">
        <v>1420.53</v>
      </c>
      <c r="E1863" s="23">
        <v>705.45</v>
      </c>
      <c r="F1863" s="23">
        <v>715.08</v>
      </c>
      <c r="G1863" s="5" t="s">
        <v>20</v>
      </c>
      <c r="H1863" s="5" t="s">
        <v>24</v>
      </c>
      <c r="I1863" s="5" t="s">
        <v>17</v>
      </c>
      <c r="J1863" s="6">
        <f>Table1[[#This Row],[Profit]]/Table1[[#This Row],[Sales]]</f>
        <v>0.50338957994551337</v>
      </c>
      <c r="K1863" s="5" t="str">
        <f t="shared" si="29"/>
        <v>Low</v>
      </c>
      <c r="L1863" s="5" t="str">
        <f>TEXT(Table1[[#This Row],[Order_Date]],"MMM")</f>
        <v>Apr</v>
      </c>
      <c r="M1863" s="5" t="str">
        <f>IF(Table1[[#This Row],[Profit]]&gt;=1000,"Excellent",IF(Table1[[#This Row],[Profit]]&gt;=500,"Good", IF(Table1[[#This Row],[Profit]]&lt;500,"Low")))</f>
        <v>Good</v>
      </c>
      <c r="N1863" s="7" t="str">
        <f>TEXT(Table1[[#This Row],[Order_Date]],"YYY")</f>
        <v>2026</v>
      </c>
    </row>
    <row r="1864" spans="1:14" x14ac:dyDescent="0.3">
      <c r="A1864" s="4">
        <v>46128</v>
      </c>
      <c r="B1864" s="5" t="s">
        <v>0</v>
      </c>
      <c r="C1864" s="5" t="s">
        <v>19</v>
      </c>
      <c r="D1864" s="23">
        <v>97.86</v>
      </c>
      <c r="E1864" s="23">
        <v>43.69</v>
      </c>
      <c r="F1864" s="23">
        <v>54.17</v>
      </c>
      <c r="G1864" s="5" t="s">
        <v>2</v>
      </c>
      <c r="H1864" s="5" t="s">
        <v>34</v>
      </c>
      <c r="I1864" s="5" t="s">
        <v>11</v>
      </c>
      <c r="J1864" s="6">
        <f>Table1[[#This Row],[Profit]]/Table1[[#This Row],[Sales]]</f>
        <v>0.55354588187206211</v>
      </c>
      <c r="K1864" s="5" t="str">
        <f t="shared" si="29"/>
        <v>Low</v>
      </c>
      <c r="L1864" s="5" t="str">
        <f>TEXT(Table1[[#This Row],[Order_Date]],"MMM")</f>
        <v>Apr</v>
      </c>
      <c r="M1864" s="5" t="str">
        <f>IF(Table1[[#This Row],[Profit]]&gt;=1000,"Excellent",IF(Table1[[#This Row],[Profit]]&gt;=500,"Good", IF(Table1[[#This Row],[Profit]]&lt;500,"Low")))</f>
        <v>Low</v>
      </c>
      <c r="N1864" s="7" t="str">
        <f>TEXT(Table1[[#This Row],[Order_Date]],"YYY")</f>
        <v>2026</v>
      </c>
    </row>
    <row r="1865" spans="1:14" x14ac:dyDescent="0.3">
      <c r="A1865" s="4">
        <v>46130</v>
      </c>
      <c r="B1865" s="5" t="s">
        <v>16</v>
      </c>
      <c r="C1865" s="5" t="s">
        <v>1</v>
      </c>
      <c r="D1865" s="23">
        <v>966.19</v>
      </c>
      <c r="E1865" s="23">
        <v>557.37</v>
      </c>
      <c r="F1865" s="23">
        <v>408.82</v>
      </c>
      <c r="G1865" s="5" t="s">
        <v>9</v>
      </c>
      <c r="H1865" s="5" t="s">
        <v>10</v>
      </c>
      <c r="I1865" s="5" t="s">
        <v>4</v>
      </c>
      <c r="J1865" s="6">
        <f>Table1[[#This Row],[Profit]]/Table1[[#This Row],[Sales]]</f>
        <v>0.42312588621285663</v>
      </c>
      <c r="K1865" s="5" t="str">
        <f t="shared" si="29"/>
        <v>Low</v>
      </c>
      <c r="L1865" s="5" t="str">
        <f>TEXT(Table1[[#This Row],[Order_Date]],"MMM")</f>
        <v>Apr</v>
      </c>
      <c r="M1865" s="5" t="str">
        <f>IF(Table1[[#This Row],[Profit]]&gt;=1000,"Excellent",IF(Table1[[#This Row],[Profit]]&gt;=500,"Good", IF(Table1[[#This Row],[Profit]]&lt;500,"Low")))</f>
        <v>Low</v>
      </c>
      <c r="N1865" s="7" t="str">
        <f>TEXT(Table1[[#This Row],[Order_Date]],"YYY")</f>
        <v>2026</v>
      </c>
    </row>
    <row r="1866" spans="1:14" x14ac:dyDescent="0.3">
      <c r="A1866" s="4">
        <v>46131</v>
      </c>
      <c r="B1866" s="5" t="s">
        <v>13</v>
      </c>
      <c r="C1866" s="5" t="s">
        <v>23</v>
      </c>
      <c r="D1866" s="23">
        <v>725.01</v>
      </c>
      <c r="E1866" s="23">
        <v>265.68</v>
      </c>
      <c r="F1866" s="23">
        <v>459.33</v>
      </c>
      <c r="G1866" s="5" t="s">
        <v>6</v>
      </c>
      <c r="H1866" s="5" t="s">
        <v>34</v>
      </c>
      <c r="I1866" s="5" t="s">
        <v>11</v>
      </c>
      <c r="J1866" s="6">
        <f>Table1[[#This Row],[Profit]]/Table1[[#This Row],[Sales]]</f>
        <v>0.63354988207059215</v>
      </c>
      <c r="K1866" s="5" t="str">
        <f t="shared" si="29"/>
        <v>Low</v>
      </c>
      <c r="L1866" s="5" t="str">
        <f>TEXT(Table1[[#This Row],[Order_Date]],"MMM")</f>
        <v>Apr</v>
      </c>
      <c r="M1866" s="5" t="str">
        <f>IF(Table1[[#This Row],[Profit]]&gt;=1000,"Excellent",IF(Table1[[#This Row],[Profit]]&gt;=500,"Good", IF(Table1[[#This Row],[Profit]]&lt;500,"Low")))</f>
        <v>Low</v>
      </c>
      <c r="N1866" s="7" t="str">
        <f>TEXT(Table1[[#This Row],[Order_Date]],"YYY")</f>
        <v>2026</v>
      </c>
    </row>
    <row r="1867" spans="1:14" x14ac:dyDescent="0.3">
      <c r="A1867" s="4">
        <v>46131</v>
      </c>
      <c r="B1867" s="5" t="s">
        <v>18</v>
      </c>
      <c r="C1867" s="5" t="s">
        <v>5</v>
      </c>
      <c r="D1867" s="23">
        <v>1930.48</v>
      </c>
      <c r="E1867" s="23">
        <v>689.34</v>
      </c>
      <c r="F1867" s="23">
        <v>1241.1400000000001</v>
      </c>
      <c r="G1867" s="5" t="s">
        <v>2</v>
      </c>
      <c r="H1867" s="5" t="s">
        <v>34</v>
      </c>
      <c r="I1867" s="5" t="s">
        <v>4</v>
      </c>
      <c r="J1867" s="6">
        <f>Table1[[#This Row],[Profit]]/Table1[[#This Row],[Sales]]</f>
        <v>0.64291782354647553</v>
      </c>
      <c r="K1867" s="5" t="str">
        <f t="shared" si="29"/>
        <v>Medium</v>
      </c>
      <c r="L1867" s="5" t="str">
        <f>TEXT(Table1[[#This Row],[Order_Date]],"MMM")</f>
        <v>Apr</v>
      </c>
      <c r="M1867" s="5" t="str">
        <f>IF(Table1[[#This Row],[Profit]]&gt;=1000,"Excellent",IF(Table1[[#This Row],[Profit]]&gt;=500,"Good", IF(Table1[[#This Row],[Profit]]&lt;500,"Low")))</f>
        <v>Excellent</v>
      </c>
      <c r="N1867" s="7" t="str">
        <f>TEXT(Table1[[#This Row],[Order_Date]],"YYY")</f>
        <v>2026</v>
      </c>
    </row>
    <row r="1868" spans="1:14" x14ac:dyDescent="0.3">
      <c r="A1868" s="4">
        <v>46132</v>
      </c>
      <c r="B1868" s="5" t="s">
        <v>16</v>
      </c>
      <c r="C1868" s="5" t="s">
        <v>19</v>
      </c>
      <c r="D1868" s="23">
        <v>76.430000000000007</v>
      </c>
      <c r="E1868" s="23">
        <v>24.97</v>
      </c>
      <c r="F1868" s="23">
        <v>51.46</v>
      </c>
      <c r="G1868" s="5" t="s">
        <v>9</v>
      </c>
      <c r="H1868" s="5" t="s">
        <v>21</v>
      </c>
      <c r="I1868" s="5" t="s">
        <v>25</v>
      </c>
      <c r="J1868" s="6">
        <f>Table1[[#This Row],[Profit]]/Table1[[#This Row],[Sales]]</f>
        <v>0.67329582624623829</v>
      </c>
      <c r="K1868" s="5" t="str">
        <f t="shared" si="29"/>
        <v>Low</v>
      </c>
      <c r="L1868" s="5" t="str">
        <f>TEXT(Table1[[#This Row],[Order_Date]],"MMM")</f>
        <v>Apr</v>
      </c>
      <c r="M1868" s="5" t="str">
        <f>IF(Table1[[#This Row],[Profit]]&gt;=1000,"Excellent",IF(Table1[[#This Row],[Profit]]&gt;=500,"Good", IF(Table1[[#This Row],[Profit]]&lt;500,"Low")))</f>
        <v>Low</v>
      </c>
      <c r="N1868" s="7" t="str">
        <f>TEXT(Table1[[#This Row],[Order_Date]],"YYY")</f>
        <v>2026</v>
      </c>
    </row>
    <row r="1869" spans="1:14" x14ac:dyDescent="0.3">
      <c r="A1869" s="4">
        <v>46132</v>
      </c>
      <c r="B1869" s="5" t="s">
        <v>8</v>
      </c>
      <c r="C1869" s="5" t="s">
        <v>23</v>
      </c>
      <c r="D1869" s="23">
        <v>43</v>
      </c>
      <c r="E1869" s="23">
        <v>14.25</v>
      </c>
      <c r="F1869" s="23">
        <v>28.75</v>
      </c>
      <c r="G1869" s="5" t="s">
        <v>6</v>
      </c>
      <c r="H1869" s="5" t="s">
        <v>28</v>
      </c>
      <c r="I1869" s="5" t="s">
        <v>25</v>
      </c>
      <c r="J1869" s="6">
        <f>Table1[[#This Row],[Profit]]/Table1[[#This Row],[Sales]]</f>
        <v>0.66860465116279066</v>
      </c>
      <c r="K1869" s="5" t="str">
        <f t="shared" si="29"/>
        <v>Low</v>
      </c>
      <c r="L1869" s="5" t="str">
        <f>TEXT(Table1[[#This Row],[Order_Date]],"MMM")</f>
        <v>Apr</v>
      </c>
      <c r="M1869" s="5" t="str">
        <f>IF(Table1[[#This Row],[Profit]]&gt;=1000,"Excellent",IF(Table1[[#This Row],[Profit]]&gt;=500,"Good", IF(Table1[[#This Row],[Profit]]&lt;500,"Low")))</f>
        <v>Low</v>
      </c>
      <c r="N1869" s="7" t="str">
        <f>TEXT(Table1[[#This Row],[Order_Date]],"YYY")</f>
        <v>2026</v>
      </c>
    </row>
    <row r="1870" spans="1:14" x14ac:dyDescent="0.3">
      <c r="A1870" s="4">
        <v>46132</v>
      </c>
      <c r="B1870" s="5" t="s">
        <v>0</v>
      </c>
      <c r="C1870" s="5" t="s">
        <v>23</v>
      </c>
      <c r="D1870" s="23">
        <v>362.95</v>
      </c>
      <c r="E1870" s="23">
        <v>160.34</v>
      </c>
      <c r="F1870" s="23">
        <v>202.61</v>
      </c>
      <c r="G1870" s="5" t="s">
        <v>2</v>
      </c>
      <c r="H1870" s="5" t="s">
        <v>15</v>
      </c>
      <c r="I1870" s="5" t="s">
        <v>27</v>
      </c>
      <c r="J1870" s="6">
        <f>Table1[[#This Row],[Profit]]/Table1[[#This Row],[Sales]]</f>
        <v>0.55823116131698591</v>
      </c>
      <c r="K1870" s="5" t="str">
        <f t="shared" si="29"/>
        <v>Low</v>
      </c>
      <c r="L1870" s="5" t="str">
        <f>TEXT(Table1[[#This Row],[Order_Date]],"MMM")</f>
        <v>Apr</v>
      </c>
      <c r="M1870" s="5" t="str">
        <f>IF(Table1[[#This Row],[Profit]]&gt;=1000,"Excellent",IF(Table1[[#This Row],[Profit]]&gt;=500,"Good", IF(Table1[[#This Row],[Profit]]&lt;500,"Low")))</f>
        <v>Low</v>
      </c>
      <c r="N1870" s="7" t="str">
        <f>TEXT(Table1[[#This Row],[Order_Date]],"YYY")</f>
        <v>2026</v>
      </c>
    </row>
    <row r="1871" spans="1:14" x14ac:dyDescent="0.3">
      <c r="A1871" s="4">
        <v>46133</v>
      </c>
      <c r="B1871" s="5" t="s">
        <v>18</v>
      </c>
      <c r="C1871" s="5" t="s">
        <v>19</v>
      </c>
      <c r="D1871" s="23">
        <v>122.08</v>
      </c>
      <c r="E1871" s="23">
        <v>37.86</v>
      </c>
      <c r="F1871" s="23">
        <v>84.22</v>
      </c>
      <c r="G1871" s="5" t="s">
        <v>2</v>
      </c>
      <c r="H1871" s="5" t="s">
        <v>34</v>
      </c>
      <c r="I1871" s="5" t="s">
        <v>22</v>
      </c>
      <c r="J1871" s="6">
        <f>Table1[[#This Row],[Profit]]/Table1[[#This Row],[Sales]]</f>
        <v>0.68987549148099603</v>
      </c>
      <c r="K1871" s="5" t="str">
        <f t="shared" si="29"/>
        <v>Low</v>
      </c>
      <c r="L1871" s="5" t="str">
        <f>TEXT(Table1[[#This Row],[Order_Date]],"MMM")</f>
        <v>Apr</v>
      </c>
      <c r="M1871" s="5" t="str">
        <f>IF(Table1[[#This Row],[Profit]]&gt;=1000,"Excellent",IF(Table1[[#This Row],[Profit]]&gt;=500,"Good", IF(Table1[[#This Row],[Profit]]&lt;500,"Low")))</f>
        <v>Low</v>
      </c>
      <c r="N1871" s="7" t="str">
        <f>TEXT(Table1[[#This Row],[Order_Date]],"YYY")</f>
        <v>2026</v>
      </c>
    </row>
    <row r="1872" spans="1:14" x14ac:dyDescent="0.3">
      <c r="A1872" s="4">
        <v>46133</v>
      </c>
      <c r="B1872" s="5" t="s">
        <v>0</v>
      </c>
      <c r="C1872" s="5" t="s">
        <v>19</v>
      </c>
      <c r="D1872" s="23">
        <v>27.51</v>
      </c>
      <c r="E1872" s="23">
        <v>8.5</v>
      </c>
      <c r="F1872" s="23">
        <v>19.010000000000002</v>
      </c>
      <c r="G1872" s="5" t="s">
        <v>6</v>
      </c>
      <c r="H1872" s="5" t="s">
        <v>29</v>
      </c>
      <c r="I1872" s="5" t="s">
        <v>11</v>
      </c>
      <c r="J1872" s="6">
        <f>Table1[[#This Row],[Profit]]/Table1[[#This Row],[Sales]]</f>
        <v>0.69102144674663757</v>
      </c>
      <c r="K1872" s="5" t="str">
        <f t="shared" si="29"/>
        <v>Low</v>
      </c>
      <c r="L1872" s="5" t="str">
        <f>TEXT(Table1[[#This Row],[Order_Date]],"MMM")</f>
        <v>Apr</v>
      </c>
      <c r="M1872" s="5" t="str">
        <f>IF(Table1[[#This Row],[Profit]]&gt;=1000,"Excellent",IF(Table1[[#This Row],[Profit]]&gt;=500,"Good", IF(Table1[[#This Row],[Profit]]&lt;500,"Low")))</f>
        <v>Low</v>
      </c>
      <c r="N1872" s="7" t="str">
        <f>TEXT(Table1[[#This Row],[Order_Date]],"YYY")</f>
        <v>2026</v>
      </c>
    </row>
    <row r="1873" spans="1:14" x14ac:dyDescent="0.3">
      <c r="A1873" s="4">
        <v>46133</v>
      </c>
      <c r="B1873" s="5" t="s">
        <v>13</v>
      </c>
      <c r="C1873" s="5" t="s">
        <v>23</v>
      </c>
      <c r="D1873" s="23">
        <v>625.13</v>
      </c>
      <c r="E1873" s="23">
        <v>304.99</v>
      </c>
      <c r="F1873" s="23">
        <v>320.14</v>
      </c>
      <c r="G1873" s="5" t="s">
        <v>32</v>
      </c>
      <c r="H1873" s="5" t="s">
        <v>34</v>
      </c>
      <c r="I1873" s="5" t="s">
        <v>25</v>
      </c>
      <c r="J1873" s="6">
        <f>Table1[[#This Row],[Profit]]/Table1[[#This Row],[Sales]]</f>
        <v>0.51211747956425058</v>
      </c>
      <c r="K1873" s="5" t="str">
        <f t="shared" si="29"/>
        <v>Low</v>
      </c>
      <c r="L1873" s="5" t="str">
        <f>TEXT(Table1[[#This Row],[Order_Date]],"MMM")</f>
        <v>Apr</v>
      </c>
      <c r="M1873" s="5" t="str">
        <f>IF(Table1[[#This Row],[Profit]]&gt;=1000,"Excellent",IF(Table1[[#This Row],[Profit]]&gt;=500,"Good", IF(Table1[[#This Row],[Profit]]&lt;500,"Low")))</f>
        <v>Low</v>
      </c>
      <c r="N1873" s="7" t="str">
        <f>TEXT(Table1[[#This Row],[Order_Date]],"YYY")</f>
        <v>2026</v>
      </c>
    </row>
    <row r="1874" spans="1:14" x14ac:dyDescent="0.3">
      <c r="A1874" s="4">
        <v>46135</v>
      </c>
      <c r="B1874" s="5" t="s">
        <v>8</v>
      </c>
      <c r="C1874" s="5" t="s">
        <v>14</v>
      </c>
      <c r="D1874" s="23">
        <v>139.21</v>
      </c>
      <c r="E1874" s="23">
        <v>44.06</v>
      </c>
      <c r="F1874" s="23">
        <v>95.15</v>
      </c>
      <c r="G1874" s="5" t="s">
        <v>9</v>
      </c>
      <c r="H1874" s="5" t="s">
        <v>30</v>
      </c>
      <c r="I1874" s="5" t="s">
        <v>27</v>
      </c>
      <c r="J1874" s="6">
        <f>Table1[[#This Row],[Profit]]/Table1[[#This Row],[Sales]]</f>
        <v>0.68349974858128004</v>
      </c>
      <c r="K1874" s="5" t="str">
        <f t="shared" si="29"/>
        <v>Low</v>
      </c>
      <c r="L1874" s="5" t="str">
        <f>TEXT(Table1[[#This Row],[Order_Date]],"MMM")</f>
        <v>Apr</v>
      </c>
      <c r="M1874" s="5" t="str">
        <f>IF(Table1[[#This Row],[Profit]]&gt;=1000,"Excellent",IF(Table1[[#This Row],[Profit]]&gt;=500,"Good", IF(Table1[[#This Row],[Profit]]&lt;500,"Low")))</f>
        <v>Low</v>
      </c>
      <c r="N1874" s="7" t="str">
        <f>TEXT(Table1[[#This Row],[Order_Date]],"YYY")</f>
        <v>2026</v>
      </c>
    </row>
    <row r="1875" spans="1:14" x14ac:dyDescent="0.3">
      <c r="A1875" s="4">
        <v>46135</v>
      </c>
      <c r="B1875" s="5" t="s">
        <v>8</v>
      </c>
      <c r="C1875" s="5" t="s">
        <v>5</v>
      </c>
      <c r="D1875" s="23">
        <v>767.12</v>
      </c>
      <c r="E1875" s="23">
        <v>324.62</v>
      </c>
      <c r="F1875" s="23">
        <v>442.5</v>
      </c>
      <c r="G1875" s="5" t="s">
        <v>32</v>
      </c>
      <c r="H1875" s="5" t="s">
        <v>24</v>
      </c>
      <c r="I1875" s="5" t="s">
        <v>27</v>
      </c>
      <c r="J1875" s="6">
        <f>Table1[[#This Row],[Profit]]/Table1[[#This Row],[Sales]]</f>
        <v>0.57683282928355406</v>
      </c>
      <c r="K1875" s="5" t="str">
        <f t="shared" si="29"/>
        <v>Low</v>
      </c>
      <c r="L1875" s="5" t="str">
        <f>TEXT(Table1[[#This Row],[Order_Date]],"MMM")</f>
        <v>Apr</v>
      </c>
      <c r="M1875" s="5" t="str">
        <f>IF(Table1[[#This Row],[Profit]]&gt;=1000,"Excellent",IF(Table1[[#This Row],[Profit]]&gt;=500,"Good", IF(Table1[[#This Row],[Profit]]&lt;500,"Low")))</f>
        <v>Low</v>
      </c>
      <c r="N1875" s="7" t="str">
        <f>TEXT(Table1[[#This Row],[Order_Date]],"YYY")</f>
        <v>2026</v>
      </c>
    </row>
    <row r="1876" spans="1:14" x14ac:dyDescent="0.3">
      <c r="A1876" s="4">
        <v>46136</v>
      </c>
      <c r="B1876" s="5" t="s">
        <v>18</v>
      </c>
      <c r="C1876" s="5" t="s">
        <v>1</v>
      </c>
      <c r="D1876" s="23">
        <v>715.34</v>
      </c>
      <c r="E1876" s="23">
        <v>453.37</v>
      </c>
      <c r="F1876" s="23">
        <v>261.97000000000003</v>
      </c>
      <c r="G1876" s="5" t="s">
        <v>9</v>
      </c>
      <c r="H1876" s="5" t="s">
        <v>33</v>
      </c>
      <c r="I1876" s="5" t="s">
        <v>4</v>
      </c>
      <c r="J1876" s="6">
        <f>Table1[[#This Row],[Profit]]/Table1[[#This Row],[Sales]]</f>
        <v>0.36621746302457575</v>
      </c>
      <c r="K1876" s="5" t="str">
        <f t="shared" si="29"/>
        <v>Low</v>
      </c>
      <c r="L1876" s="5" t="str">
        <f>TEXT(Table1[[#This Row],[Order_Date]],"MMM")</f>
        <v>Apr</v>
      </c>
      <c r="M1876" s="5" t="str">
        <f>IF(Table1[[#This Row],[Profit]]&gt;=1000,"Excellent",IF(Table1[[#This Row],[Profit]]&gt;=500,"Good", IF(Table1[[#This Row],[Profit]]&lt;500,"Low")))</f>
        <v>Low</v>
      </c>
      <c r="N1876" s="7" t="str">
        <f>TEXT(Table1[[#This Row],[Order_Date]],"YYY")</f>
        <v>2026</v>
      </c>
    </row>
    <row r="1877" spans="1:14" x14ac:dyDescent="0.3">
      <c r="A1877" s="4">
        <v>46137</v>
      </c>
      <c r="B1877" s="5" t="s">
        <v>0</v>
      </c>
      <c r="C1877" s="5" t="s">
        <v>23</v>
      </c>
      <c r="D1877" s="23">
        <v>578.66999999999996</v>
      </c>
      <c r="E1877" s="23">
        <v>221.36</v>
      </c>
      <c r="F1877" s="23">
        <v>357.31</v>
      </c>
      <c r="G1877" s="5" t="s">
        <v>6</v>
      </c>
      <c r="H1877" s="5" t="s">
        <v>36</v>
      </c>
      <c r="I1877" s="5" t="s">
        <v>17</v>
      </c>
      <c r="J1877" s="6">
        <f>Table1[[#This Row],[Profit]]/Table1[[#This Row],[Sales]]</f>
        <v>0.6174676413154303</v>
      </c>
      <c r="K1877" s="5" t="str">
        <f t="shared" si="29"/>
        <v>Low</v>
      </c>
      <c r="L1877" s="5" t="str">
        <f>TEXT(Table1[[#This Row],[Order_Date]],"MMM")</f>
        <v>Apr</v>
      </c>
      <c r="M1877" s="5" t="str">
        <f>IF(Table1[[#This Row],[Profit]]&gt;=1000,"Excellent",IF(Table1[[#This Row],[Profit]]&gt;=500,"Good", IF(Table1[[#This Row],[Profit]]&lt;500,"Low")))</f>
        <v>Low</v>
      </c>
      <c r="N1877" s="7" t="str">
        <f>TEXT(Table1[[#This Row],[Order_Date]],"YYY")</f>
        <v>2026</v>
      </c>
    </row>
    <row r="1878" spans="1:14" x14ac:dyDescent="0.3">
      <c r="A1878" s="4">
        <v>46138</v>
      </c>
      <c r="B1878" s="5" t="s">
        <v>8</v>
      </c>
      <c r="C1878" s="5" t="s">
        <v>19</v>
      </c>
      <c r="D1878" s="23">
        <v>101.31</v>
      </c>
      <c r="E1878" s="23">
        <v>32.06</v>
      </c>
      <c r="F1878" s="23">
        <v>69.25</v>
      </c>
      <c r="G1878" s="5" t="s">
        <v>20</v>
      </c>
      <c r="H1878" s="5" t="s">
        <v>12</v>
      </c>
      <c r="I1878" s="5" t="s">
        <v>17</v>
      </c>
      <c r="J1878" s="6">
        <f>Table1[[#This Row],[Profit]]/Table1[[#This Row],[Sales]]</f>
        <v>0.68354555325239363</v>
      </c>
      <c r="K1878" s="5" t="str">
        <f t="shared" si="29"/>
        <v>Low</v>
      </c>
      <c r="L1878" s="5" t="str">
        <f>TEXT(Table1[[#This Row],[Order_Date]],"MMM")</f>
        <v>Apr</v>
      </c>
      <c r="M1878" s="5" t="str">
        <f>IF(Table1[[#This Row],[Profit]]&gt;=1000,"Excellent",IF(Table1[[#This Row],[Profit]]&gt;=500,"Good", IF(Table1[[#This Row],[Profit]]&lt;500,"Low")))</f>
        <v>Low</v>
      </c>
      <c r="N1878" s="7" t="str">
        <f>TEXT(Table1[[#This Row],[Order_Date]],"YYY")</f>
        <v>2026</v>
      </c>
    </row>
    <row r="1879" spans="1:14" x14ac:dyDescent="0.3">
      <c r="A1879" s="4">
        <v>46140</v>
      </c>
      <c r="B1879" s="5" t="s">
        <v>16</v>
      </c>
      <c r="C1879" s="5" t="s">
        <v>26</v>
      </c>
      <c r="D1879" s="23">
        <v>566.62</v>
      </c>
      <c r="E1879" s="23">
        <v>198.07</v>
      </c>
      <c r="F1879" s="23">
        <v>368.55</v>
      </c>
      <c r="G1879" s="5" t="s">
        <v>9</v>
      </c>
      <c r="H1879" s="5" t="s">
        <v>35</v>
      </c>
      <c r="I1879" s="5" t="s">
        <v>4</v>
      </c>
      <c r="J1879" s="6">
        <f>Table1[[#This Row],[Profit]]/Table1[[#This Row],[Sales]]</f>
        <v>0.65043591825209135</v>
      </c>
      <c r="K1879" s="5" t="str">
        <f t="shared" si="29"/>
        <v>Low</v>
      </c>
      <c r="L1879" s="5" t="str">
        <f>TEXT(Table1[[#This Row],[Order_Date]],"MMM")</f>
        <v>Apr</v>
      </c>
      <c r="M1879" s="5" t="str">
        <f>IF(Table1[[#This Row],[Profit]]&gt;=1000,"Excellent",IF(Table1[[#This Row],[Profit]]&gt;=500,"Good", IF(Table1[[#This Row],[Profit]]&lt;500,"Low")))</f>
        <v>Low</v>
      </c>
      <c r="N1879" s="7" t="str">
        <f>TEXT(Table1[[#This Row],[Order_Date]],"YYY")</f>
        <v>2026</v>
      </c>
    </row>
    <row r="1880" spans="1:14" x14ac:dyDescent="0.3">
      <c r="A1880" s="4">
        <v>46141</v>
      </c>
      <c r="B1880" s="5" t="s">
        <v>18</v>
      </c>
      <c r="C1880" s="5" t="s">
        <v>23</v>
      </c>
      <c r="D1880" s="23">
        <v>637.15</v>
      </c>
      <c r="E1880" s="23">
        <v>211.76</v>
      </c>
      <c r="F1880" s="23">
        <v>425.39</v>
      </c>
      <c r="G1880" s="5" t="s">
        <v>2</v>
      </c>
      <c r="H1880" s="5" t="s">
        <v>28</v>
      </c>
      <c r="I1880" s="5" t="s">
        <v>22</v>
      </c>
      <c r="J1880" s="6">
        <f>Table1[[#This Row],[Profit]]/Table1[[#This Row],[Sales]]</f>
        <v>0.66764498155850271</v>
      </c>
      <c r="K1880" s="5" t="str">
        <f t="shared" si="29"/>
        <v>Low</v>
      </c>
      <c r="L1880" s="5" t="str">
        <f>TEXT(Table1[[#This Row],[Order_Date]],"MMM")</f>
        <v>Apr</v>
      </c>
      <c r="M1880" s="5" t="str">
        <f>IF(Table1[[#This Row],[Profit]]&gt;=1000,"Excellent",IF(Table1[[#This Row],[Profit]]&gt;=500,"Good", IF(Table1[[#This Row],[Profit]]&lt;500,"Low")))</f>
        <v>Low</v>
      </c>
      <c r="N1880" s="7" t="str">
        <f>TEXT(Table1[[#This Row],[Order_Date]],"YYY")</f>
        <v>2026</v>
      </c>
    </row>
    <row r="1881" spans="1:14" x14ac:dyDescent="0.3">
      <c r="A1881" s="4">
        <v>46141</v>
      </c>
      <c r="B1881" s="5" t="s">
        <v>18</v>
      </c>
      <c r="C1881" s="5" t="s">
        <v>31</v>
      </c>
      <c r="D1881" s="23">
        <v>41.82</v>
      </c>
      <c r="E1881" s="23">
        <v>15.83</v>
      </c>
      <c r="F1881" s="23">
        <v>25.99</v>
      </c>
      <c r="G1881" s="5" t="s">
        <v>32</v>
      </c>
      <c r="H1881" s="5" t="s">
        <v>37</v>
      </c>
      <c r="I1881" s="5" t="s">
        <v>22</v>
      </c>
      <c r="J1881" s="6">
        <f>Table1[[#This Row],[Profit]]/Table1[[#This Row],[Sales]]</f>
        <v>0.6214729794356767</v>
      </c>
      <c r="K1881" s="5" t="str">
        <f t="shared" si="29"/>
        <v>Low</v>
      </c>
      <c r="L1881" s="5" t="str">
        <f>TEXT(Table1[[#This Row],[Order_Date]],"MMM")</f>
        <v>Apr</v>
      </c>
      <c r="M1881" s="5" t="str">
        <f>IF(Table1[[#This Row],[Profit]]&gt;=1000,"Excellent",IF(Table1[[#This Row],[Profit]]&gt;=500,"Good", IF(Table1[[#This Row],[Profit]]&lt;500,"Low")))</f>
        <v>Low</v>
      </c>
      <c r="N1881" s="7" t="str">
        <f>TEXT(Table1[[#This Row],[Order_Date]],"YYY")</f>
        <v>2026</v>
      </c>
    </row>
    <row r="1882" spans="1:14" x14ac:dyDescent="0.3">
      <c r="A1882" s="4">
        <v>46141</v>
      </c>
      <c r="B1882" s="5" t="s">
        <v>13</v>
      </c>
      <c r="C1882" s="5" t="s">
        <v>5</v>
      </c>
      <c r="D1882" s="23">
        <v>1939.41</v>
      </c>
      <c r="E1882" s="23">
        <v>786.67</v>
      </c>
      <c r="F1882" s="23">
        <v>1152.74</v>
      </c>
      <c r="G1882" s="5" t="s">
        <v>6</v>
      </c>
      <c r="H1882" s="5" t="s">
        <v>10</v>
      </c>
      <c r="I1882" s="5" t="s">
        <v>4</v>
      </c>
      <c r="J1882" s="6">
        <f>Table1[[#This Row],[Profit]]/Table1[[#This Row],[Sales]]</f>
        <v>0.59437664031844739</v>
      </c>
      <c r="K1882" s="5" t="str">
        <f t="shared" si="29"/>
        <v>Medium</v>
      </c>
      <c r="L1882" s="5" t="str">
        <f>TEXT(Table1[[#This Row],[Order_Date]],"MMM")</f>
        <v>Apr</v>
      </c>
      <c r="M1882" s="5" t="str">
        <f>IF(Table1[[#This Row],[Profit]]&gt;=1000,"Excellent",IF(Table1[[#This Row],[Profit]]&gt;=500,"Good", IF(Table1[[#This Row],[Profit]]&lt;500,"Low")))</f>
        <v>Excellent</v>
      </c>
      <c r="N1882" s="7" t="str">
        <f>TEXT(Table1[[#This Row],[Order_Date]],"YYY")</f>
        <v>2026</v>
      </c>
    </row>
    <row r="1883" spans="1:14" x14ac:dyDescent="0.3">
      <c r="A1883" s="4">
        <v>46142</v>
      </c>
      <c r="B1883" s="5" t="s">
        <v>13</v>
      </c>
      <c r="C1883" s="5" t="s">
        <v>14</v>
      </c>
      <c r="D1883" s="23">
        <v>122.77</v>
      </c>
      <c r="E1883" s="23">
        <v>66.72</v>
      </c>
      <c r="F1883" s="23">
        <v>56.05</v>
      </c>
      <c r="G1883" s="5" t="s">
        <v>20</v>
      </c>
      <c r="H1883" s="5" t="s">
        <v>34</v>
      </c>
      <c r="I1883" s="5" t="s">
        <v>25</v>
      </c>
      <c r="J1883" s="6">
        <f>Table1[[#This Row],[Profit]]/Table1[[#This Row],[Sales]]</f>
        <v>0.45654475849148812</v>
      </c>
      <c r="K1883" s="5" t="str">
        <f t="shared" si="29"/>
        <v>Low</v>
      </c>
      <c r="L1883" s="5" t="str">
        <f>TEXT(Table1[[#This Row],[Order_Date]],"MMM")</f>
        <v>Apr</v>
      </c>
      <c r="M1883" s="5" t="str">
        <f>IF(Table1[[#This Row],[Profit]]&gt;=1000,"Excellent",IF(Table1[[#This Row],[Profit]]&gt;=500,"Good", IF(Table1[[#This Row],[Profit]]&lt;500,"Low")))</f>
        <v>Low</v>
      </c>
      <c r="N1883" s="7" t="str">
        <f>TEXT(Table1[[#This Row],[Order_Date]],"YYY")</f>
        <v>2026</v>
      </c>
    </row>
    <row r="1884" spans="1:14" x14ac:dyDescent="0.3">
      <c r="A1884" s="4">
        <v>46142</v>
      </c>
      <c r="B1884" s="5" t="s">
        <v>13</v>
      </c>
      <c r="C1884" s="5" t="s">
        <v>23</v>
      </c>
      <c r="D1884" s="23">
        <v>441.99</v>
      </c>
      <c r="E1884" s="23">
        <v>188.41</v>
      </c>
      <c r="F1884" s="23">
        <v>253.58</v>
      </c>
      <c r="G1884" s="5" t="s">
        <v>20</v>
      </c>
      <c r="H1884" s="5" t="s">
        <v>15</v>
      </c>
      <c r="I1884" s="5" t="s">
        <v>25</v>
      </c>
      <c r="J1884" s="6">
        <f>Table1[[#This Row],[Profit]]/Table1[[#This Row],[Sales]]</f>
        <v>0.57372338740695494</v>
      </c>
      <c r="K1884" s="5" t="str">
        <f t="shared" si="29"/>
        <v>Low</v>
      </c>
      <c r="L1884" s="5" t="str">
        <f>TEXT(Table1[[#This Row],[Order_Date]],"MMM")</f>
        <v>Apr</v>
      </c>
      <c r="M1884" s="5" t="str">
        <f>IF(Table1[[#This Row],[Profit]]&gt;=1000,"Excellent",IF(Table1[[#This Row],[Profit]]&gt;=500,"Good", IF(Table1[[#This Row],[Profit]]&lt;500,"Low")))</f>
        <v>Low</v>
      </c>
      <c r="N1884" s="7" t="str">
        <f>TEXT(Table1[[#This Row],[Order_Date]],"YYY")</f>
        <v>2026</v>
      </c>
    </row>
    <row r="1885" spans="1:14" x14ac:dyDescent="0.3">
      <c r="A1885" s="4">
        <v>46143</v>
      </c>
      <c r="B1885" s="5" t="s">
        <v>13</v>
      </c>
      <c r="C1885" s="5" t="s">
        <v>31</v>
      </c>
      <c r="D1885" s="23">
        <v>188.3</v>
      </c>
      <c r="E1885" s="23">
        <v>61.64</v>
      </c>
      <c r="F1885" s="23">
        <v>126.66</v>
      </c>
      <c r="G1885" s="5" t="s">
        <v>2</v>
      </c>
      <c r="H1885" s="5" t="s">
        <v>34</v>
      </c>
      <c r="I1885" s="5" t="s">
        <v>17</v>
      </c>
      <c r="J1885" s="6">
        <f>Table1[[#This Row],[Profit]]/Table1[[#This Row],[Sales]]</f>
        <v>0.67265002655337225</v>
      </c>
      <c r="K1885" s="5" t="str">
        <f t="shared" si="29"/>
        <v>Low</v>
      </c>
      <c r="L1885" s="5" t="str">
        <f>TEXT(Table1[[#This Row],[Order_Date]],"MMM")</f>
        <v>May</v>
      </c>
      <c r="M1885" s="5" t="str">
        <f>IF(Table1[[#This Row],[Profit]]&gt;=1000,"Excellent",IF(Table1[[#This Row],[Profit]]&gt;=500,"Good", IF(Table1[[#This Row],[Profit]]&lt;500,"Low")))</f>
        <v>Low</v>
      </c>
      <c r="N1885" s="7" t="str">
        <f>TEXT(Table1[[#This Row],[Order_Date]],"YYY")</f>
        <v>2026</v>
      </c>
    </row>
    <row r="1886" spans="1:14" x14ac:dyDescent="0.3">
      <c r="A1886" s="4">
        <v>46144</v>
      </c>
      <c r="B1886" s="5" t="s">
        <v>16</v>
      </c>
      <c r="C1886" s="5" t="s">
        <v>23</v>
      </c>
      <c r="D1886" s="23">
        <v>58.39</v>
      </c>
      <c r="E1886" s="23">
        <v>25.47</v>
      </c>
      <c r="F1886" s="23">
        <v>32.92</v>
      </c>
      <c r="G1886" s="5" t="s">
        <v>2</v>
      </c>
      <c r="H1886" s="5" t="s">
        <v>34</v>
      </c>
      <c r="I1886" s="5" t="s">
        <v>22</v>
      </c>
      <c r="J1886" s="6">
        <f>Table1[[#This Row],[Profit]]/Table1[[#This Row],[Sales]]</f>
        <v>0.56379517040589144</v>
      </c>
      <c r="K1886" s="5" t="str">
        <f t="shared" si="29"/>
        <v>Low</v>
      </c>
      <c r="L1886" s="5" t="str">
        <f>TEXT(Table1[[#This Row],[Order_Date]],"MMM")</f>
        <v>May</v>
      </c>
      <c r="M1886" s="5" t="str">
        <f>IF(Table1[[#This Row],[Profit]]&gt;=1000,"Excellent",IF(Table1[[#This Row],[Profit]]&gt;=500,"Good", IF(Table1[[#This Row],[Profit]]&lt;500,"Low")))</f>
        <v>Low</v>
      </c>
      <c r="N1886" s="7" t="str">
        <f>TEXT(Table1[[#This Row],[Order_Date]],"YYY")</f>
        <v>2026</v>
      </c>
    </row>
    <row r="1887" spans="1:14" x14ac:dyDescent="0.3">
      <c r="A1887" s="4">
        <v>46146</v>
      </c>
      <c r="B1887" s="5" t="s">
        <v>18</v>
      </c>
      <c r="C1887" s="5" t="s">
        <v>5</v>
      </c>
      <c r="D1887" s="23">
        <v>1775.52</v>
      </c>
      <c r="E1887" s="23">
        <v>822.02</v>
      </c>
      <c r="F1887" s="23">
        <v>953.5</v>
      </c>
      <c r="G1887" s="5" t="s">
        <v>32</v>
      </c>
      <c r="H1887" s="5" t="s">
        <v>37</v>
      </c>
      <c r="I1887" s="5" t="s">
        <v>27</v>
      </c>
      <c r="J1887" s="6">
        <f>Table1[[#This Row],[Profit]]/Table1[[#This Row],[Sales]]</f>
        <v>0.53702577273136887</v>
      </c>
      <c r="K1887" s="5" t="str">
        <f t="shared" si="29"/>
        <v>Medium</v>
      </c>
      <c r="L1887" s="5" t="str">
        <f>TEXT(Table1[[#This Row],[Order_Date]],"MMM")</f>
        <v>May</v>
      </c>
      <c r="M1887" s="5" t="str">
        <f>IF(Table1[[#This Row],[Profit]]&gt;=1000,"Excellent",IF(Table1[[#This Row],[Profit]]&gt;=500,"Good", IF(Table1[[#This Row],[Profit]]&lt;500,"Low")))</f>
        <v>Good</v>
      </c>
      <c r="N1887" s="7" t="str">
        <f>TEXT(Table1[[#This Row],[Order_Date]],"YYY")</f>
        <v>2026</v>
      </c>
    </row>
    <row r="1888" spans="1:14" x14ac:dyDescent="0.3">
      <c r="A1888" s="4">
        <v>46147</v>
      </c>
      <c r="B1888" s="5" t="s">
        <v>0</v>
      </c>
      <c r="C1888" s="5" t="s">
        <v>26</v>
      </c>
      <c r="D1888" s="23">
        <v>410.13</v>
      </c>
      <c r="E1888" s="23">
        <v>148.65</v>
      </c>
      <c r="F1888" s="23">
        <v>261.48</v>
      </c>
      <c r="G1888" s="5" t="s">
        <v>2</v>
      </c>
      <c r="H1888" s="5" t="s">
        <v>28</v>
      </c>
      <c r="I1888" s="5" t="s">
        <v>4</v>
      </c>
      <c r="J1888" s="6">
        <f>Table1[[#This Row],[Profit]]/Table1[[#This Row],[Sales]]</f>
        <v>0.63755394630970674</v>
      </c>
      <c r="K1888" s="5" t="str">
        <f t="shared" si="29"/>
        <v>Low</v>
      </c>
      <c r="L1888" s="5" t="str">
        <f>TEXT(Table1[[#This Row],[Order_Date]],"MMM")</f>
        <v>May</v>
      </c>
      <c r="M1888" s="5" t="str">
        <f>IF(Table1[[#This Row],[Profit]]&gt;=1000,"Excellent",IF(Table1[[#This Row],[Profit]]&gt;=500,"Good", IF(Table1[[#This Row],[Profit]]&lt;500,"Low")))</f>
        <v>Low</v>
      </c>
      <c r="N1888" s="7" t="str">
        <f>TEXT(Table1[[#This Row],[Order_Date]],"YYY")</f>
        <v>2026</v>
      </c>
    </row>
    <row r="1889" spans="1:14" x14ac:dyDescent="0.3">
      <c r="A1889" s="4">
        <v>46147</v>
      </c>
      <c r="B1889" s="5" t="s">
        <v>8</v>
      </c>
      <c r="C1889" s="5" t="s">
        <v>31</v>
      </c>
      <c r="D1889" s="23">
        <v>135.26</v>
      </c>
      <c r="E1889" s="23">
        <v>32.83</v>
      </c>
      <c r="F1889" s="23">
        <v>102.43</v>
      </c>
      <c r="G1889" s="5" t="s">
        <v>9</v>
      </c>
      <c r="H1889" s="5" t="s">
        <v>37</v>
      </c>
      <c r="I1889" s="5" t="s">
        <v>27</v>
      </c>
      <c r="J1889" s="6">
        <f>Table1[[#This Row],[Profit]]/Table1[[#This Row],[Sales]]</f>
        <v>0.75728227118142843</v>
      </c>
      <c r="K1889" s="5" t="str">
        <f t="shared" si="29"/>
        <v>Low</v>
      </c>
      <c r="L1889" s="5" t="str">
        <f>TEXT(Table1[[#This Row],[Order_Date]],"MMM")</f>
        <v>May</v>
      </c>
      <c r="M1889" s="5" t="str">
        <f>IF(Table1[[#This Row],[Profit]]&gt;=1000,"Excellent",IF(Table1[[#This Row],[Profit]]&gt;=500,"Good", IF(Table1[[#This Row],[Profit]]&lt;500,"Low")))</f>
        <v>Low</v>
      </c>
      <c r="N1889" s="7" t="str">
        <f>TEXT(Table1[[#This Row],[Order_Date]],"YYY")</f>
        <v>2026</v>
      </c>
    </row>
    <row r="1890" spans="1:14" x14ac:dyDescent="0.3">
      <c r="A1890" s="4">
        <v>46147</v>
      </c>
      <c r="B1890" s="5" t="s">
        <v>18</v>
      </c>
      <c r="C1890" s="5" t="s">
        <v>23</v>
      </c>
      <c r="D1890" s="23">
        <v>421.44</v>
      </c>
      <c r="E1890" s="23">
        <v>169.08</v>
      </c>
      <c r="F1890" s="23">
        <v>252.36</v>
      </c>
      <c r="G1890" s="5" t="s">
        <v>6</v>
      </c>
      <c r="H1890" s="5" t="s">
        <v>30</v>
      </c>
      <c r="I1890" s="5" t="s">
        <v>4</v>
      </c>
      <c r="J1890" s="6">
        <f>Table1[[#This Row],[Profit]]/Table1[[#This Row],[Sales]]</f>
        <v>0.59880410022779051</v>
      </c>
      <c r="K1890" s="5" t="str">
        <f t="shared" si="29"/>
        <v>Low</v>
      </c>
      <c r="L1890" s="5" t="str">
        <f>TEXT(Table1[[#This Row],[Order_Date]],"MMM")</f>
        <v>May</v>
      </c>
      <c r="M1890" s="5" t="str">
        <f>IF(Table1[[#This Row],[Profit]]&gt;=1000,"Excellent",IF(Table1[[#This Row],[Profit]]&gt;=500,"Good", IF(Table1[[#This Row],[Profit]]&lt;500,"Low")))</f>
        <v>Low</v>
      </c>
      <c r="N1890" s="7" t="str">
        <f>TEXT(Table1[[#This Row],[Order_Date]],"YYY")</f>
        <v>2026</v>
      </c>
    </row>
    <row r="1891" spans="1:14" x14ac:dyDescent="0.3">
      <c r="A1891" s="4">
        <v>46147</v>
      </c>
      <c r="B1891" s="5" t="s">
        <v>18</v>
      </c>
      <c r="C1891" s="5" t="s">
        <v>26</v>
      </c>
      <c r="D1891" s="23">
        <v>432.75</v>
      </c>
      <c r="E1891" s="23">
        <v>167.19</v>
      </c>
      <c r="F1891" s="23">
        <v>265.56</v>
      </c>
      <c r="G1891" s="5" t="s">
        <v>20</v>
      </c>
      <c r="H1891" s="5" t="s">
        <v>21</v>
      </c>
      <c r="I1891" s="5" t="s">
        <v>25</v>
      </c>
      <c r="J1891" s="6">
        <f>Table1[[#This Row],[Profit]]/Table1[[#This Row],[Sales]]</f>
        <v>0.61365684575389945</v>
      </c>
      <c r="K1891" s="5" t="str">
        <f t="shared" si="29"/>
        <v>Low</v>
      </c>
      <c r="L1891" s="5" t="str">
        <f>TEXT(Table1[[#This Row],[Order_Date]],"MMM")</f>
        <v>May</v>
      </c>
      <c r="M1891" s="5" t="str">
        <f>IF(Table1[[#This Row],[Profit]]&gt;=1000,"Excellent",IF(Table1[[#This Row],[Profit]]&gt;=500,"Good", IF(Table1[[#This Row],[Profit]]&lt;500,"Low")))</f>
        <v>Low</v>
      </c>
      <c r="N1891" s="7" t="str">
        <f>TEXT(Table1[[#This Row],[Order_Date]],"YYY")</f>
        <v>2026</v>
      </c>
    </row>
    <row r="1892" spans="1:14" x14ac:dyDescent="0.3">
      <c r="A1892" s="4">
        <v>46147</v>
      </c>
      <c r="B1892" s="5" t="s">
        <v>8</v>
      </c>
      <c r="C1892" s="5" t="s">
        <v>31</v>
      </c>
      <c r="D1892" s="23">
        <v>154.4</v>
      </c>
      <c r="E1892" s="23">
        <v>59.07</v>
      </c>
      <c r="F1892" s="23">
        <v>95.33</v>
      </c>
      <c r="G1892" s="5" t="s">
        <v>20</v>
      </c>
      <c r="H1892" s="5" t="s">
        <v>35</v>
      </c>
      <c r="I1892" s="5" t="s">
        <v>17</v>
      </c>
      <c r="J1892" s="6">
        <f>Table1[[#This Row],[Profit]]/Table1[[#This Row],[Sales]]</f>
        <v>0.61742227979274611</v>
      </c>
      <c r="K1892" s="5" t="str">
        <f t="shared" si="29"/>
        <v>Low</v>
      </c>
      <c r="L1892" s="5" t="str">
        <f>TEXT(Table1[[#This Row],[Order_Date]],"MMM")</f>
        <v>May</v>
      </c>
      <c r="M1892" s="5" t="str">
        <f>IF(Table1[[#This Row],[Profit]]&gt;=1000,"Excellent",IF(Table1[[#This Row],[Profit]]&gt;=500,"Good", IF(Table1[[#This Row],[Profit]]&lt;500,"Low")))</f>
        <v>Low</v>
      </c>
      <c r="N1892" s="7" t="str">
        <f>TEXT(Table1[[#This Row],[Order_Date]],"YYY")</f>
        <v>2026</v>
      </c>
    </row>
    <row r="1893" spans="1:14" x14ac:dyDescent="0.3">
      <c r="A1893" s="4">
        <v>46149</v>
      </c>
      <c r="B1893" s="5" t="s">
        <v>0</v>
      </c>
      <c r="C1893" s="5" t="s">
        <v>19</v>
      </c>
      <c r="D1893" s="23">
        <v>82.82</v>
      </c>
      <c r="E1893" s="23">
        <v>34.130000000000003</v>
      </c>
      <c r="F1893" s="23">
        <v>48.69</v>
      </c>
      <c r="G1893" s="5" t="s">
        <v>20</v>
      </c>
      <c r="H1893" s="5" t="s">
        <v>29</v>
      </c>
      <c r="I1893" s="5" t="s">
        <v>25</v>
      </c>
      <c r="J1893" s="6">
        <f>Table1[[#This Row],[Profit]]/Table1[[#This Row],[Sales]]</f>
        <v>0.58790147307413665</v>
      </c>
      <c r="K1893" s="5" t="str">
        <f t="shared" si="29"/>
        <v>Low</v>
      </c>
      <c r="L1893" s="5" t="str">
        <f>TEXT(Table1[[#This Row],[Order_Date]],"MMM")</f>
        <v>May</v>
      </c>
      <c r="M1893" s="5" t="str">
        <f>IF(Table1[[#This Row],[Profit]]&gt;=1000,"Excellent",IF(Table1[[#This Row],[Profit]]&gt;=500,"Good", IF(Table1[[#This Row],[Profit]]&lt;500,"Low")))</f>
        <v>Low</v>
      </c>
      <c r="N1893" s="7" t="str">
        <f>TEXT(Table1[[#This Row],[Order_Date]],"YYY")</f>
        <v>2026</v>
      </c>
    </row>
    <row r="1894" spans="1:14" x14ac:dyDescent="0.3">
      <c r="A1894" s="4">
        <v>46149</v>
      </c>
      <c r="B1894" s="5" t="s">
        <v>18</v>
      </c>
      <c r="C1894" s="5" t="s">
        <v>5</v>
      </c>
      <c r="D1894" s="23">
        <v>245.08</v>
      </c>
      <c r="E1894" s="23">
        <v>91.28</v>
      </c>
      <c r="F1894" s="23">
        <v>153.80000000000001</v>
      </c>
      <c r="G1894" s="5" t="s">
        <v>20</v>
      </c>
      <c r="H1894" s="5" t="s">
        <v>10</v>
      </c>
      <c r="I1894" s="5" t="s">
        <v>17</v>
      </c>
      <c r="J1894" s="6">
        <f>Table1[[#This Row],[Profit]]/Table1[[#This Row],[Sales]]</f>
        <v>0.62755018769381432</v>
      </c>
      <c r="K1894" s="5" t="str">
        <f t="shared" si="29"/>
        <v>Low</v>
      </c>
      <c r="L1894" s="5" t="str">
        <f>TEXT(Table1[[#This Row],[Order_Date]],"MMM")</f>
        <v>May</v>
      </c>
      <c r="M1894" s="5" t="str">
        <f>IF(Table1[[#This Row],[Profit]]&gt;=1000,"Excellent",IF(Table1[[#This Row],[Profit]]&gt;=500,"Good", IF(Table1[[#This Row],[Profit]]&lt;500,"Low")))</f>
        <v>Low</v>
      </c>
      <c r="N1894" s="7" t="str">
        <f>TEXT(Table1[[#This Row],[Order_Date]],"YYY")</f>
        <v>2026</v>
      </c>
    </row>
    <row r="1895" spans="1:14" x14ac:dyDescent="0.3">
      <c r="A1895" s="4">
        <v>46151</v>
      </c>
      <c r="B1895" s="5" t="s">
        <v>8</v>
      </c>
      <c r="C1895" s="5" t="s">
        <v>14</v>
      </c>
      <c r="D1895" s="23">
        <v>120.09</v>
      </c>
      <c r="E1895" s="23">
        <v>48.3</v>
      </c>
      <c r="F1895" s="23">
        <v>71.790000000000006</v>
      </c>
      <c r="G1895" s="5" t="s">
        <v>2</v>
      </c>
      <c r="H1895" s="5" t="s">
        <v>3</v>
      </c>
      <c r="I1895" s="5" t="s">
        <v>11</v>
      </c>
      <c r="J1895" s="6">
        <f>Table1[[#This Row],[Profit]]/Table1[[#This Row],[Sales]]</f>
        <v>0.59780164876342745</v>
      </c>
      <c r="K1895" s="5" t="str">
        <f t="shared" si="29"/>
        <v>Low</v>
      </c>
      <c r="L1895" s="5" t="str">
        <f>TEXT(Table1[[#This Row],[Order_Date]],"MMM")</f>
        <v>May</v>
      </c>
      <c r="M1895" s="5" t="str">
        <f>IF(Table1[[#This Row],[Profit]]&gt;=1000,"Excellent",IF(Table1[[#This Row],[Profit]]&gt;=500,"Good", IF(Table1[[#This Row],[Profit]]&lt;500,"Low")))</f>
        <v>Low</v>
      </c>
      <c r="N1895" s="7" t="str">
        <f>TEXT(Table1[[#This Row],[Order_Date]],"YYY")</f>
        <v>2026</v>
      </c>
    </row>
    <row r="1896" spans="1:14" x14ac:dyDescent="0.3">
      <c r="A1896" s="4">
        <v>46151</v>
      </c>
      <c r="B1896" s="5" t="s">
        <v>16</v>
      </c>
      <c r="C1896" s="5" t="s">
        <v>1</v>
      </c>
      <c r="D1896" s="23">
        <v>798.92</v>
      </c>
      <c r="E1896" s="23">
        <v>526.71</v>
      </c>
      <c r="F1896" s="23">
        <v>272.20999999999998</v>
      </c>
      <c r="G1896" s="5" t="s">
        <v>9</v>
      </c>
      <c r="H1896" s="5" t="s">
        <v>30</v>
      </c>
      <c r="I1896" s="5" t="s">
        <v>17</v>
      </c>
      <c r="J1896" s="6">
        <f>Table1[[#This Row],[Profit]]/Table1[[#This Row],[Sales]]</f>
        <v>0.3407224753417113</v>
      </c>
      <c r="K1896" s="5" t="str">
        <f t="shared" si="29"/>
        <v>Low</v>
      </c>
      <c r="L1896" s="5" t="str">
        <f>TEXT(Table1[[#This Row],[Order_Date]],"MMM")</f>
        <v>May</v>
      </c>
      <c r="M1896" s="5" t="str">
        <f>IF(Table1[[#This Row],[Profit]]&gt;=1000,"Excellent",IF(Table1[[#This Row],[Profit]]&gt;=500,"Good", IF(Table1[[#This Row],[Profit]]&lt;500,"Low")))</f>
        <v>Low</v>
      </c>
      <c r="N1896" s="7" t="str">
        <f>TEXT(Table1[[#This Row],[Order_Date]],"YYY")</f>
        <v>2026</v>
      </c>
    </row>
    <row r="1897" spans="1:14" x14ac:dyDescent="0.3">
      <c r="A1897" s="4">
        <v>46152</v>
      </c>
      <c r="B1897" s="5" t="s">
        <v>16</v>
      </c>
      <c r="C1897" s="5" t="s">
        <v>19</v>
      </c>
      <c r="D1897" s="23">
        <v>76.03</v>
      </c>
      <c r="E1897" s="23">
        <v>24.37</v>
      </c>
      <c r="F1897" s="23">
        <v>51.66</v>
      </c>
      <c r="G1897" s="5" t="s">
        <v>2</v>
      </c>
      <c r="H1897" s="5" t="s">
        <v>35</v>
      </c>
      <c r="I1897" s="5" t="s">
        <v>25</v>
      </c>
      <c r="J1897" s="6">
        <f>Table1[[#This Row],[Profit]]/Table1[[#This Row],[Sales]]</f>
        <v>0.67946863080363007</v>
      </c>
      <c r="K1897" s="5" t="str">
        <f t="shared" si="29"/>
        <v>Low</v>
      </c>
      <c r="L1897" s="5" t="str">
        <f>TEXT(Table1[[#This Row],[Order_Date]],"MMM")</f>
        <v>May</v>
      </c>
      <c r="M1897" s="5" t="str">
        <f>IF(Table1[[#This Row],[Profit]]&gt;=1000,"Excellent",IF(Table1[[#This Row],[Profit]]&gt;=500,"Good", IF(Table1[[#This Row],[Profit]]&lt;500,"Low")))</f>
        <v>Low</v>
      </c>
      <c r="N1897" s="7" t="str">
        <f>TEXT(Table1[[#This Row],[Order_Date]],"YYY")</f>
        <v>2026</v>
      </c>
    </row>
    <row r="1898" spans="1:14" x14ac:dyDescent="0.3">
      <c r="A1898" s="4">
        <v>46152</v>
      </c>
      <c r="B1898" s="5" t="s">
        <v>16</v>
      </c>
      <c r="C1898" s="5" t="s">
        <v>23</v>
      </c>
      <c r="D1898" s="23">
        <v>77.510000000000005</v>
      </c>
      <c r="E1898" s="23">
        <v>32.89</v>
      </c>
      <c r="F1898" s="23">
        <v>44.62</v>
      </c>
      <c r="G1898" s="5" t="s">
        <v>9</v>
      </c>
      <c r="H1898" s="5" t="s">
        <v>7</v>
      </c>
      <c r="I1898" s="5" t="s">
        <v>22</v>
      </c>
      <c r="J1898" s="6">
        <f>Table1[[#This Row],[Profit]]/Table1[[#This Row],[Sales]]</f>
        <v>0.57566765578635004</v>
      </c>
      <c r="K1898" s="5" t="str">
        <f t="shared" si="29"/>
        <v>Low</v>
      </c>
      <c r="L1898" s="5" t="str">
        <f>TEXT(Table1[[#This Row],[Order_Date]],"MMM")</f>
        <v>May</v>
      </c>
      <c r="M1898" s="5" t="str">
        <f>IF(Table1[[#This Row],[Profit]]&gt;=1000,"Excellent",IF(Table1[[#This Row],[Profit]]&gt;=500,"Good", IF(Table1[[#This Row],[Profit]]&lt;500,"Low")))</f>
        <v>Low</v>
      </c>
      <c r="N1898" s="7" t="str">
        <f>TEXT(Table1[[#This Row],[Order_Date]],"YYY")</f>
        <v>2026</v>
      </c>
    </row>
    <row r="1899" spans="1:14" x14ac:dyDescent="0.3">
      <c r="A1899" s="4">
        <v>46152</v>
      </c>
      <c r="B1899" s="5" t="s">
        <v>16</v>
      </c>
      <c r="C1899" s="5" t="s">
        <v>5</v>
      </c>
      <c r="D1899" s="23">
        <v>410.61</v>
      </c>
      <c r="E1899" s="23">
        <v>178.69</v>
      </c>
      <c r="F1899" s="23">
        <v>231.92</v>
      </c>
      <c r="G1899" s="5" t="s">
        <v>20</v>
      </c>
      <c r="H1899" s="5" t="s">
        <v>15</v>
      </c>
      <c r="I1899" s="5" t="s">
        <v>4</v>
      </c>
      <c r="J1899" s="6">
        <f>Table1[[#This Row],[Profit]]/Table1[[#This Row],[Sales]]</f>
        <v>0.5648181973161881</v>
      </c>
      <c r="K1899" s="5" t="str">
        <f t="shared" si="29"/>
        <v>Low</v>
      </c>
      <c r="L1899" s="5" t="str">
        <f>TEXT(Table1[[#This Row],[Order_Date]],"MMM")</f>
        <v>May</v>
      </c>
      <c r="M1899" s="5" t="str">
        <f>IF(Table1[[#This Row],[Profit]]&gt;=1000,"Excellent",IF(Table1[[#This Row],[Profit]]&gt;=500,"Good", IF(Table1[[#This Row],[Profit]]&lt;500,"Low")))</f>
        <v>Low</v>
      </c>
      <c r="N1899" s="7" t="str">
        <f>TEXT(Table1[[#This Row],[Order_Date]],"YYY")</f>
        <v>2026</v>
      </c>
    </row>
    <row r="1900" spans="1:14" x14ac:dyDescent="0.3">
      <c r="A1900" s="4">
        <v>46152</v>
      </c>
      <c r="B1900" s="5" t="s">
        <v>13</v>
      </c>
      <c r="C1900" s="5" t="s">
        <v>5</v>
      </c>
      <c r="D1900" s="23">
        <v>1188.31</v>
      </c>
      <c r="E1900" s="23">
        <v>419.35</v>
      </c>
      <c r="F1900" s="23">
        <v>768.96</v>
      </c>
      <c r="G1900" s="5" t="s">
        <v>32</v>
      </c>
      <c r="H1900" s="5" t="s">
        <v>33</v>
      </c>
      <c r="I1900" s="5" t="s">
        <v>11</v>
      </c>
      <c r="J1900" s="6">
        <f>Table1[[#This Row],[Profit]]/Table1[[#This Row],[Sales]]</f>
        <v>0.64710387020222004</v>
      </c>
      <c r="K1900" s="5" t="str">
        <f t="shared" si="29"/>
        <v>Low</v>
      </c>
      <c r="L1900" s="5" t="str">
        <f>TEXT(Table1[[#This Row],[Order_Date]],"MMM")</f>
        <v>May</v>
      </c>
      <c r="M1900" s="5" t="str">
        <f>IF(Table1[[#This Row],[Profit]]&gt;=1000,"Excellent",IF(Table1[[#This Row],[Profit]]&gt;=500,"Good", IF(Table1[[#This Row],[Profit]]&lt;500,"Low")))</f>
        <v>Good</v>
      </c>
      <c r="N1900" s="7" t="str">
        <f>TEXT(Table1[[#This Row],[Order_Date]],"YYY")</f>
        <v>2026</v>
      </c>
    </row>
    <row r="1901" spans="1:14" x14ac:dyDescent="0.3">
      <c r="A1901" s="4">
        <v>46153</v>
      </c>
      <c r="B1901" s="5" t="s">
        <v>8</v>
      </c>
      <c r="C1901" s="5" t="s">
        <v>23</v>
      </c>
      <c r="D1901" s="23">
        <v>574.01</v>
      </c>
      <c r="E1901" s="23">
        <v>180.72</v>
      </c>
      <c r="F1901" s="23">
        <v>393.29</v>
      </c>
      <c r="G1901" s="5" t="s">
        <v>20</v>
      </c>
      <c r="H1901" s="5" t="s">
        <v>3</v>
      </c>
      <c r="I1901" s="5" t="s">
        <v>22</v>
      </c>
      <c r="J1901" s="6">
        <f>Table1[[#This Row],[Profit]]/Table1[[#This Row],[Sales]]</f>
        <v>0.68516227940279795</v>
      </c>
      <c r="K1901" s="5" t="str">
        <f t="shared" si="29"/>
        <v>Low</v>
      </c>
      <c r="L1901" s="5" t="str">
        <f>TEXT(Table1[[#This Row],[Order_Date]],"MMM")</f>
        <v>May</v>
      </c>
      <c r="M1901" s="5" t="str">
        <f>IF(Table1[[#This Row],[Profit]]&gt;=1000,"Excellent",IF(Table1[[#This Row],[Profit]]&gt;=500,"Good", IF(Table1[[#This Row],[Profit]]&lt;500,"Low")))</f>
        <v>Low</v>
      </c>
      <c r="N1901" s="7" t="str">
        <f>TEXT(Table1[[#This Row],[Order_Date]],"YYY")</f>
        <v>2026</v>
      </c>
    </row>
    <row r="1902" spans="1:14" x14ac:dyDescent="0.3">
      <c r="A1902" s="4">
        <v>46153</v>
      </c>
      <c r="B1902" s="5" t="s">
        <v>8</v>
      </c>
      <c r="C1902" s="5" t="s">
        <v>5</v>
      </c>
      <c r="D1902" s="23">
        <v>1208.18</v>
      </c>
      <c r="E1902" s="23">
        <v>595</v>
      </c>
      <c r="F1902" s="23">
        <v>613.17999999999995</v>
      </c>
      <c r="G1902" s="5" t="s">
        <v>6</v>
      </c>
      <c r="H1902" s="5" t="s">
        <v>35</v>
      </c>
      <c r="I1902" s="5" t="s">
        <v>27</v>
      </c>
      <c r="J1902" s="6">
        <f>Table1[[#This Row],[Profit]]/Table1[[#This Row],[Sales]]</f>
        <v>0.5075237133539704</v>
      </c>
      <c r="K1902" s="5" t="str">
        <f t="shared" si="29"/>
        <v>Low</v>
      </c>
      <c r="L1902" s="5" t="str">
        <f>TEXT(Table1[[#This Row],[Order_Date]],"MMM")</f>
        <v>May</v>
      </c>
      <c r="M1902" s="5" t="str">
        <f>IF(Table1[[#This Row],[Profit]]&gt;=1000,"Excellent",IF(Table1[[#This Row],[Profit]]&gt;=500,"Good", IF(Table1[[#This Row],[Profit]]&lt;500,"Low")))</f>
        <v>Good</v>
      </c>
      <c r="N1902" s="7" t="str">
        <f>TEXT(Table1[[#This Row],[Order_Date]],"YYY")</f>
        <v>2026</v>
      </c>
    </row>
    <row r="1903" spans="1:14" x14ac:dyDescent="0.3">
      <c r="A1903" s="4">
        <v>46153</v>
      </c>
      <c r="B1903" s="5" t="s">
        <v>0</v>
      </c>
      <c r="C1903" s="5" t="s">
        <v>14</v>
      </c>
      <c r="D1903" s="23">
        <v>312.73</v>
      </c>
      <c r="E1903" s="23">
        <v>120.45</v>
      </c>
      <c r="F1903" s="23">
        <v>192.28</v>
      </c>
      <c r="G1903" s="5" t="s">
        <v>6</v>
      </c>
      <c r="H1903" s="5" t="s">
        <v>24</v>
      </c>
      <c r="I1903" s="5" t="s">
        <v>22</v>
      </c>
      <c r="J1903" s="6">
        <f>Table1[[#This Row],[Profit]]/Table1[[#This Row],[Sales]]</f>
        <v>0.61484347520225113</v>
      </c>
      <c r="K1903" s="5" t="str">
        <f t="shared" si="29"/>
        <v>Low</v>
      </c>
      <c r="L1903" s="5" t="str">
        <f>TEXT(Table1[[#This Row],[Order_Date]],"MMM")</f>
        <v>May</v>
      </c>
      <c r="M1903" s="5" t="str">
        <f>IF(Table1[[#This Row],[Profit]]&gt;=1000,"Excellent",IF(Table1[[#This Row],[Profit]]&gt;=500,"Good", IF(Table1[[#This Row],[Profit]]&lt;500,"Low")))</f>
        <v>Low</v>
      </c>
      <c r="N1903" s="7" t="str">
        <f>TEXT(Table1[[#This Row],[Order_Date]],"YYY")</f>
        <v>2026</v>
      </c>
    </row>
    <row r="1904" spans="1:14" x14ac:dyDescent="0.3">
      <c r="A1904" s="4">
        <v>46153</v>
      </c>
      <c r="B1904" s="5" t="s">
        <v>13</v>
      </c>
      <c r="C1904" s="5" t="s">
        <v>1</v>
      </c>
      <c r="D1904" s="23">
        <v>1072.9000000000001</v>
      </c>
      <c r="E1904" s="23">
        <v>623.91999999999996</v>
      </c>
      <c r="F1904" s="23">
        <v>448.98</v>
      </c>
      <c r="G1904" s="5" t="s">
        <v>6</v>
      </c>
      <c r="H1904" s="5" t="s">
        <v>36</v>
      </c>
      <c r="I1904" s="5" t="s">
        <v>4</v>
      </c>
      <c r="J1904" s="6">
        <f>Table1[[#This Row],[Profit]]/Table1[[#This Row],[Sales]]</f>
        <v>0.41847329667256966</v>
      </c>
      <c r="K1904" s="5" t="str">
        <f t="shared" si="29"/>
        <v>Low</v>
      </c>
      <c r="L1904" s="5" t="str">
        <f>TEXT(Table1[[#This Row],[Order_Date]],"MMM")</f>
        <v>May</v>
      </c>
      <c r="M1904" s="5" t="str">
        <f>IF(Table1[[#This Row],[Profit]]&gt;=1000,"Excellent",IF(Table1[[#This Row],[Profit]]&gt;=500,"Good", IF(Table1[[#This Row],[Profit]]&lt;500,"Low")))</f>
        <v>Low</v>
      </c>
      <c r="N1904" s="7" t="str">
        <f>TEXT(Table1[[#This Row],[Order_Date]],"YYY")</f>
        <v>2026</v>
      </c>
    </row>
    <row r="1905" spans="1:14" x14ac:dyDescent="0.3">
      <c r="A1905" s="4">
        <v>46154</v>
      </c>
      <c r="B1905" s="5" t="s">
        <v>8</v>
      </c>
      <c r="C1905" s="5" t="s">
        <v>23</v>
      </c>
      <c r="D1905" s="23">
        <v>191.67</v>
      </c>
      <c r="E1905" s="23">
        <v>70.739999999999995</v>
      </c>
      <c r="F1905" s="23">
        <v>120.93</v>
      </c>
      <c r="G1905" s="5" t="s">
        <v>9</v>
      </c>
      <c r="H1905" s="5" t="s">
        <v>21</v>
      </c>
      <c r="I1905" s="5" t="s">
        <v>25</v>
      </c>
      <c r="J1905" s="6">
        <f>Table1[[#This Row],[Profit]]/Table1[[#This Row],[Sales]]</f>
        <v>0.63092815777116928</v>
      </c>
      <c r="K1905" s="5" t="str">
        <f t="shared" si="29"/>
        <v>Low</v>
      </c>
      <c r="L1905" s="5" t="str">
        <f>TEXT(Table1[[#This Row],[Order_Date]],"MMM")</f>
        <v>May</v>
      </c>
      <c r="M1905" s="5" t="str">
        <f>IF(Table1[[#This Row],[Profit]]&gt;=1000,"Excellent",IF(Table1[[#This Row],[Profit]]&gt;=500,"Good", IF(Table1[[#This Row],[Profit]]&lt;500,"Low")))</f>
        <v>Low</v>
      </c>
      <c r="N1905" s="7" t="str">
        <f>TEXT(Table1[[#This Row],[Order_Date]],"YYY")</f>
        <v>2026</v>
      </c>
    </row>
    <row r="1906" spans="1:14" x14ac:dyDescent="0.3">
      <c r="A1906" s="4">
        <v>46157</v>
      </c>
      <c r="B1906" s="5" t="s">
        <v>18</v>
      </c>
      <c r="C1906" s="5" t="s">
        <v>1</v>
      </c>
      <c r="D1906" s="23">
        <v>1472.67</v>
      </c>
      <c r="E1906" s="23">
        <v>833.45</v>
      </c>
      <c r="F1906" s="23">
        <v>639.22</v>
      </c>
      <c r="G1906" s="5" t="s">
        <v>32</v>
      </c>
      <c r="H1906" s="5" t="s">
        <v>30</v>
      </c>
      <c r="I1906" s="5" t="s">
        <v>27</v>
      </c>
      <c r="J1906" s="6">
        <f>Table1[[#This Row],[Profit]]/Table1[[#This Row],[Sales]]</f>
        <v>0.43405515152749768</v>
      </c>
      <c r="K1906" s="5" t="str">
        <f t="shared" si="29"/>
        <v>Low</v>
      </c>
      <c r="L1906" s="5" t="str">
        <f>TEXT(Table1[[#This Row],[Order_Date]],"MMM")</f>
        <v>May</v>
      </c>
      <c r="M1906" s="5" t="str">
        <f>IF(Table1[[#This Row],[Profit]]&gt;=1000,"Excellent",IF(Table1[[#This Row],[Profit]]&gt;=500,"Good", IF(Table1[[#This Row],[Profit]]&lt;500,"Low")))</f>
        <v>Good</v>
      </c>
      <c r="N1906" s="7" t="str">
        <f>TEXT(Table1[[#This Row],[Order_Date]],"YYY")</f>
        <v>2026</v>
      </c>
    </row>
    <row r="1907" spans="1:14" x14ac:dyDescent="0.3">
      <c r="A1907" s="4">
        <v>46157</v>
      </c>
      <c r="B1907" s="5" t="s">
        <v>0</v>
      </c>
      <c r="C1907" s="5" t="s">
        <v>1</v>
      </c>
      <c r="D1907" s="23">
        <v>618.04</v>
      </c>
      <c r="E1907" s="23">
        <v>332.79</v>
      </c>
      <c r="F1907" s="23">
        <v>285.25</v>
      </c>
      <c r="G1907" s="5" t="s">
        <v>9</v>
      </c>
      <c r="H1907" s="5" t="s">
        <v>29</v>
      </c>
      <c r="I1907" s="5" t="s">
        <v>17</v>
      </c>
      <c r="J1907" s="6">
        <f>Table1[[#This Row],[Profit]]/Table1[[#This Row],[Sales]]</f>
        <v>0.46153970616788559</v>
      </c>
      <c r="K1907" s="5" t="str">
        <f t="shared" si="29"/>
        <v>Low</v>
      </c>
      <c r="L1907" s="5" t="str">
        <f>TEXT(Table1[[#This Row],[Order_Date]],"MMM")</f>
        <v>May</v>
      </c>
      <c r="M1907" s="5" t="str">
        <f>IF(Table1[[#This Row],[Profit]]&gt;=1000,"Excellent",IF(Table1[[#This Row],[Profit]]&gt;=500,"Good", IF(Table1[[#This Row],[Profit]]&lt;500,"Low")))</f>
        <v>Low</v>
      </c>
      <c r="N1907" s="7" t="str">
        <f>TEXT(Table1[[#This Row],[Order_Date]],"YYY")</f>
        <v>2026</v>
      </c>
    </row>
    <row r="1908" spans="1:14" x14ac:dyDescent="0.3">
      <c r="A1908" s="4">
        <v>46157</v>
      </c>
      <c r="B1908" s="5" t="s">
        <v>18</v>
      </c>
      <c r="C1908" s="5" t="s">
        <v>19</v>
      </c>
      <c r="D1908" s="23">
        <v>118.01</v>
      </c>
      <c r="E1908" s="23">
        <v>42.22</v>
      </c>
      <c r="F1908" s="23">
        <v>75.790000000000006</v>
      </c>
      <c r="G1908" s="5" t="s">
        <v>6</v>
      </c>
      <c r="H1908" s="5" t="s">
        <v>34</v>
      </c>
      <c r="I1908" s="5" t="s">
        <v>22</v>
      </c>
      <c r="J1908" s="6">
        <f>Table1[[#This Row],[Profit]]/Table1[[#This Row],[Sales]]</f>
        <v>0.64223370900771126</v>
      </c>
      <c r="K1908" s="5" t="str">
        <f t="shared" si="29"/>
        <v>Low</v>
      </c>
      <c r="L1908" s="5" t="str">
        <f>TEXT(Table1[[#This Row],[Order_Date]],"MMM")</f>
        <v>May</v>
      </c>
      <c r="M1908" s="5" t="str">
        <f>IF(Table1[[#This Row],[Profit]]&gt;=1000,"Excellent",IF(Table1[[#This Row],[Profit]]&gt;=500,"Good", IF(Table1[[#This Row],[Profit]]&lt;500,"Low")))</f>
        <v>Low</v>
      </c>
      <c r="N1908" s="7" t="str">
        <f>TEXT(Table1[[#This Row],[Order_Date]],"YYY")</f>
        <v>2026</v>
      </c>
    </row>
    <row r="1909" spans="1:14" x14ac:dyDescent="0.3">
      <c r="A1909" s="4">
        <v>46157</v>
      </c>
      <c r="B1909" s="5" t="s">
        <v>8</v>
      </c>
      <c r="C1909" s="5" t="s">
        <v>31</v>
      </c>
      <c r="D1909" s="23">
        <v>269.72000000000003</v>
      </c>
      <c r="E1909" s="23">
        <v>75.87</v>
      </c>
      <c r="F1909" s="23">
        <v>193.85</v>
      </c>
      <c r="G1909" s="5" t="s">
        <v>6</v>
      </c>
      <c r="H1909" s="5" t="s">
        <v>7</v>
      </c>
      <c r="I1909" s="5" t="s">
        <v>11</v>
      </c>
      <c r="J1909" s="6">
        <f>Table1[[#This Row],[Profit]]/Table1[[#This Row],[Sales]]</f>
        <v>0.71870829007859993</v>
      </c>
      <c r="K1909" s="5" t="str">
        <f t="shared" si="29"/>
        <v>Low</v>
      </c>
      <c r="L1909" s="5" t="str">
        <f>TEXT(Table1[[#This Row],[Order_Date]],"MMM")</f>
        <v>May</v>
      </c>
      <c r="M1909" s="5" t="str">
        <f>IF(Table1[[#This Row],[Profit]]&gt;=1000,"Excellent",IF(Table1[[#This Row],[Profit]]&gt;=500,"Good", IF(Table1[[#This Row],[Profit]]&lt;500,"Low")))</f>
        <v>Low</v>
      </c>
      <c r="N1909" s="7" t="str">
        <f>TEXT(Table1[[#This Row],[Order_Date]],"YYY")</f>
        <v>2026</v>
      </c>
    </row>
    <row r="1910" spans="1:14" x14ac:dyDescent="0.3">
      <c r="A1910" s="4">
        <v>46159</v>
      </c>
      <c r="B1910" s="5" t="s">
        <v>18</v>
      </c>
      <c r="C1910" s="5" t="s">
        <v>23</v>
      </c>
      <c r="D1910" s="23">
        <v>140.97</v>
      </c>
      <c r="E1910" s="23">
        <v>61.36</v>
      </c>
      <c r="F1910" s="23">
        <v>79.61</v>
      </c>
      <c r="G1910" s="5" t="s">
        <v>6</v>
      </c>
      <c r="H1910" s="5" t="s">
        <v>10</v>
      </c>
      <c r="I1910" s="5" t="s">
        <v>4</v>
      </c>
      <c r="J1910" s="6">
        <f>Table1[[#This Row],[Profit]]/Table1[[#This Row],[Sales]]</f>
        <v>0.56473008441512373</v>
      </c>
      <c r="K1910" s="5" t="str">
        <f t="shared" si="29"/>
        <v>Low</v>
      </c>
      <c r="L1910" s="5" t="str">
        <f>TEXT(Table1[[#This Row],[Order_Date]],"MMM")</f>
        <v>May</v>
      </c>
      <c r="M1910" s="5" t="str">
        <f>IF(Table1[[#This Row],[Profit]]&gt;=1000,"Excellent",IF(Table1[[#This Row],[Profit]]&gt;=500,"Good", IF(Table1[[#This Row],[Profit]]&lt;500,"Low")))</f>
        <v>Low</v>
      </c>
      <c r="N1910" s="7" t="str">
        <f>TEXT(Table1[[#This Row],[Order_Date]],"YYY")</f>
        <v>2026</v>
      </c>
    </row>
    <row r="1911" spans="1:14" x14ac:dyDescent="0.3">
      <c r="A1911" s="4">
        <v>46159</v>
      </c>
      <c r="B1911" s="5" t="s">
        <v>0</v>
      </c>
      <c r="C1911" s="5" t="s">
        <v>1</v>
      </c>
      <c r="D1911" s="23">
        <v>193.56</v>
      </c>
      <c r="E1911" s="23">
        <v>95.82</v>
      </c>
      <c r="F1911" s="23">
        <v>97.74</v>
      </c>
      <c r="G1911" s="5" t="s">
        <v>9</v>
      </c>
      <c r="H1911" s="5" t="s">
        <v>24</v>
      </c>
      <c r="I1911" s="5" t="s">
        <v>22</v>
      </c>
      <c r="J1911" s="6">
        <f>Table1[[#This Row],[Profit]]/Table1[[#This Row],[Sales]]</f>
        <v>0.50495970241785493</v>
      </c>
      <c r="K1911" s="5" t="str">
        <f t="shared" si="29"/>
        <v>Low</v>
      </c>
      <c r="L1911" s="5" t="str">
        <f>TEXT(Table1[[#This Row],[Order_Date]],"MMM")</f>
        <v>May</v>
      </c>
      <c r="M1911" s="5" t="str">
        <f>IF(Table1[[#This Row],[Profit]]&gt;=1000,"Excellent",IF(Table1[[#This Row],[Profit]]&gt;=500,"Good", IF(Table1[[#This Row],[Profit]]&lt;500,"Low")))</f>
        <v>Low</v>
      </c>
      <c r="N1911" s="7" t="str">
        <f>TEXT(Table1[[#This Row],[Order_Date]],"YYY")</f>
        <v>2026</v>
      </c>
    </row>
    <row r="1912" spans="1:14" x14ac:dyDescent="0.3">
      <c r="A1912" s="4">
        <v>46160</v>
      </c>
      <c r="B1912" s="5" t="s">
        <v>13</v>
      </c>
      <c r="C1912" s="5" t="s">
        <v>31</v>
      </c>
      <c r="D1912" s="23">
        <v>220.01</v>
      </c>
      <c r="E1912" s="23">
        <v>72.930000000000007</v>
      </c>
      <c r="F1912" s="23">
        <v>147.08000000000001</v>
      </c>
      <c r="G1912" s="5" t="s">
        <v>2</v>
      </c>
      <c r="H1912" s="5" t="s">
        <v>3</v>
      </c>
      <c r="I1912" s="5" t="s">
        <v>4</v>
      </c>
      <c r="J1912" s="6">
        <f>Table1[[#This Row],[Profit]]/Table1[[#This Row],[Sales]]</f>
        <v>0.66851506749693201</v>
      </c>
      <c r="K1912" s="5" t="str">
        <f t="shared" si="29"/>
        <v>Low</v>
      </c>
      <c r="L1912" s="5" t="str">
        <f>TEXT(Table1[[#This Row],[Order_Date]],"MMM")</f>
        <v>May</v>
      </c>
      <c r="M1912" s="5" t="str">
        <f>IF(Table1[[#This Row],[Profit]]&gt;=1000,"Excellent",IF(Table1[[#This Row],[Profit]]&gt;=500,"Good", IF(Table1[[#This Row],[Profit]]&lt;500,"Low")))</f>
        <v>Low</v>
      </c>
      <c r="N1912" s="7" t="str">
        <f>TEXT(Table1[[#This Row],[Order_Date]],"YYY")</f>
        <v>2026</v>
      </c>
    </row>
    <row r="1913" spans="1:14" x14ac:dyDescent="0.3">
      <c r="A1913" s="4">
        <v>46160</v>
      </c>
      <c r="B1913" s="5" t="s">
        <v>8</v>
      </c>
      <c r="C1913" s="5" t="s">
        <v>1</v>
      </c>
      <c r="D1913" s="23">
        <v>347.34</v>
      </c>
      <c r="E1913" s="23">
        <v>230.62</v>
      </c>
      <c r="F1913" s="23">
        <v>116.72</v>
      </c>
      <c r="G1913" s="5" t="s">
        <v>2</v>
      </c>
      <c r="H1913" s="5" t="s">
        <v>37</v>
      </c>
      <c r="I1913" s="5" t="s">
        <v>22</v>
      </c>
      <c r="J1913" s="6">
        <f>Table1[[#This Row],[Profit]]/Table1[[#This Row],[Sales]]</f>
        <v>0.33603961536246907</v>
      </c>
      <c r="K1913" s="5" t="str">
        <f t="shared" si="29"/>
        <v>Low</v>
      </c>
      <c r="L1913" s="5" t="str">
        <f>TEXT(Table1[[#This Row],[Order_Date]],"MMM")</f>
        <v>May</v>
      </c>
      <c r="M1913" s="5" t="str">
        <f>IF(Table1[[#This Row],[Profit]]&gt;=1000,"Excellent",IF(Table1[[#This Row],[Profit]]&gt;=500,"Good", IF(Table1[[#This Row],[Profit]]&lt;500,"Low")))</f>
        <v>Low</v>
      </c>
      <c r="N1913" s="7" t="str">
        <f>TEXT(Table1[[#This Row],[Order_Date]],"YYY")</f>
        <v>2026</v>
      </c>
    </row>
    <row r="1914" spans="1:14" x14ac:dyDescent="0.3">
      <c r="A1914" s="4">
        <v>46160</v>
      </c>
      <c r="B1914" s="5" t="s">
        <v>0</v>
      </c>
      <c r="C1914" s="5" t="s">
        <v>31</v>
      </c>
      <c r="D1914" s="23">
        <v>253.6</v>
      </c>
      <c r="E1914" s="23">
        <v>90.19</v>
      </c>
      <c r="F1914" s="23">
        <v>163.41</v>
      </c>
      <c r="G1914" s="5" t="s">
        <v>32</v>
      </c>
      <c r="H1914" s="5" t="s">
        <v>34</v>
      </c>
      <c r="I1914" s="5" t="s">
        <v>11</v>
      </c>
      <c r="J1914" s="6">
        <f>Table1[[#This Row],[Profit]]/Table1[[#This Row],[Sales]]</f>
        <v>0.64436119873817033</v>
      </c>
      <c r="K1914" s="5" t="str">
        <f t="shared" si="29"/>
        <v>Low</v>
      </c>
      <c r="L1914" s="5" t="str">
        <f>TEXT(Table1[[#This Row],[Order_Date]],"MMM")</f>
        <v>May</v>
      </c>
      <c r="M1914" s="5" t="str">
        <f>IF(Table1[[#This Row],[Profit]]&gt;=1000,"Excellent",IF(Table1[[#This Row],[Profit]]&gt;=500,"Good", IF(Table1[[#This Row],[Profit]]&lt;500,"Low")))</f>
        <v>Low</v>
      </c>
      <c r="N1914" s="7" t="str">
        <f>TEXT(Table1[[#This Row],[Order_Date]],"YYY")</f>
        <v>2026</v>
      </c>
    </row>
    <row r="1915" spans="1:14" x14ac:dyDescent="0.3">
      <c r="A1915" s="4">
        <v>46161</v>
      </c>
      <c r="B1915" s="5" t="s">
        <v>16</v>
      </c>
      <c r="C1915" s="5" t="s">
        <v>26</v>
      </c>
      <c r="D1915" s="23">
        <v>446.84</v>
      </c>
      <c r="E1915" s="23">
        <v>130.94999999999999</v>
      </c>
      <c r="F1915" s="23">
        <v>315.89</v>
      </c>
      <c r="G1915" s="5" t="s">
        <v>2</v>
      </c>
      <c r="H1915" s="5" t="s">
        <v>34</v>
      </c>
      <c r="I1915" s="5" t="s">
        <v>4</v>
      </c>
      <c r="J1915" s="6">
        <f>Table1[[#This Row],[Profit]]/Table1[[#This Row],[Sales]]</f>
        <v>0.70694208217706567</v>
      </c>
      <c r="K1915" s="5" t="str">
        <f t="shared" si="29"/>
        <v>Low</v>
      </c>
      <c r="L1915" s="5" t="str">
        <f>TEXT(Table1[[#This Row],[Order_Date]],"MMM")</f>
        <v>May</v>
      </c>
      <c r="M1915" s="5" t="str">
        <f>IF(Table1[[#This Row],[Profit]]&gt;=1000,"Excellent",IF(Table1[[#This Row],[Profit]]&gt;=500,"Good", IF(Table1[[#This Row],[Profit]]&lt;500,"Low")))</f>
        <v>Low</v>
      </c>
      <c r="N1915" s="7" t="str">
        <f>TEXT(Table1[[#This Row],[Order_Date]],"YYY")</f>
        <v>2026</v>
      </c>
    </row>
    <row r="1916" spans="1:14" x14ac:dyDescent="0.3">
      <c r="A1916" s="4">
        <v>46161</v>
      </c>
      <c r="B1916" s="5" t="s">
        <v>16</v>
      </c>
      <c r="C1916" s="5" t="s">
        <v>19</v>
      </c>
      <c r="D1916" s="23">
        <v>139.26</v>
      </c>
      <c r="E1916" s="23">
        <v>57.71</v>
      </c>
      <c r="F1916" s="23">
        <v>81.55</v>
      </c>
      <c r="G1916" s="5" t="s">
        <v>32</v>
      </c>
      <c r="H1916" s="5" t="s">
        <v>29</v>
      </c>
      <c r="I1916" s="5" t="s">
        <v>27</v>
      </c>
      <c r="J1916" s="6">
        <f>Table1[[#This Row],[Profit]]/Table1[[#This Row],[Sales]]</f>
        <v>0.58559528938675864</v>
      </c>
      <c r="K1916" s="5" t="str">
        <f t="shared" si="29"/>
        <v>Low</v>
      </c>
      <c r="L1916" s="5" t="str">
        <f>TEXT(Table1[[#This Row],[Order_Date]],"MMM")</f>
        <v>May</v>
      </c>
      <c r="M1916" s="5" t="str">
        <f>IF(Table1[[#This Row],[Profit]]&gt;=1000,"Excellent",IF(Table1[[#This Row],[Profit]]&gt;=500,"Good", IF(Table1[[#This Row],[Profit]]&lt;500,"Low")))</f>
        <v>Low</v>
      </c>
      <c r="N1916" s="7" t="str">
        <f>TEXT(Table1[[#This Row],[Order_Date]],"YYY")</f>
        <v>2026</v>
      </c>
    </row>
    <row r="1917" spans="1:14" x14ac:dyDescent="0.3">
      <c r="A1917" s="4">
        <v>46161</v>
      </c>
      <c r="B1917" s="5" t="s">
        <v>16</v>
      </c>
      <c r="C1917" s="5" t="s">
        <v>31</v>
      </c>
      <c r="D1917" s="23">
        <v>131.71</v>
      </c>
      <c r="E1917" s="23">
        <v>48.64</v>
      </c>
      <c r="F1917" s="23">
        <v>83.07</v>
      </c>
      <c r="G1917" s="5" t="s">
        <v>2</v>
      </c>
      <c r="H1917" s="5" t="s">
        <v>21</v>
      </c>
      <c r="I1917" s="5" t="s">
        <v>25</v>
      </c>
      <c r="J1917" s="6">
        <f>Table1[[#This Row],[Profit]]/Table1[[#This Row],[Sales]]</f>
        <v>0.63070381899627959</v>
      </c>
      <c r="K1917" s="5" t="str">
        <f t="shared" si="29"/>
        <v>Low</v>
      </c>
      <c r="L1917" s="5" t="str">
        <f>TEXT(Table1[[#This Row],[Order_Date]],"MMM")</f>
        <v>May</v>
      </c>
      <c r="M1917" s="5" t="str">
        <f>IF(Table1[[#This Row],[Profit]]&gt;=1000,"Excellent",IF(Table1[[#This Row],[Profit]]&gt;=500,"Good", IF(Table1[[#This Row],[Profit]]&lt;500,"Low")))</f>
        <v>Low</v>
      </c>
      <c r="N1917" s="7" t="str">
        <f>TEXT(Table1[[#This Row],[Order_Date]],"YYY")</f>
        <v>2026</v>
      </c>
    </row>
    <row r="1918" spans="1:14" x14ac:dyDescent="0.3">
      <c r="A1918" s="4">
        <v>46163</v>
      </c>
      <c r="B1918" s="5" t="s">
        <v>0</v>
      </c>
      <c r="C1918" s="5" t="s">
        <v>31</v>
      </c>
      <c r="D1918" s="23">
        <v>63.36</v>
      </c>
      <c r="E1918" s="23">
        <v>17.53</v>
      </c>
      <c r="F1918" s="23">
        <v>45.83</v>
      </c>
      <c r="G1918" s="5" t="s">
        <v>6</v>
      </c>
      <c r="H1918" s="5" t="s">
        <v>34</v>
      </c>
      <c r="I1918" s="5" t="s">
        <v>25</v>
      </c>
      <c r="J1918" s="6">
        <f>Table1[[#This Row],[Profit]]/Table1[[#This Row],[Sales]]</f>
        <v>0.72332702020202022</v>
      </c>
      <c r="K1918" s="5" t="str">
        <f t="shared" si="29"/>
        <v>Low</v>
      </c>
      <c r="L1918" s="5" t="str">
        <f>TEXT(Table1[[#This Row],[Order_Date]],"MMM")</f>
        <v>May</v>
      </c>
      <c r="M1918" s="5" t="str">
        <f>IF(Table1[[#This Row],[Profit]]&gt;=1000,"Excellent",IF(Table1[[#This Row],[Profit]]&gt;=500,"Good", IF(Table1[[#This Row],[Profit]]&lt;500,"Low")))</f>
        <v>Low</v>
      </c>
      <c r="N1918" s="7" t="str">
        <f>TEXT(Table1[[#This Row],[Order_Date]],"YYY")</f>
        <v>2026</v>
      </c>
    </row>
    <row r="1919" spans="1:14" x14ac:dyDescent="0.3">
      <c r="A1919" s="4">
        <v>46163</v>
      </c>
      <c r="B1919" s="5" t="s">
        <v>16</v>
      </c>
      <c r="C1919" s="5" t="s">
        <v>5</v>
      </c>
      <c r="D1919" s="23">
        <v>996.84</v>
      </c>
      <c r="E1919" s="23">
        <v>362.41</v>
      </c>
      <c r="F1919" s="23">
        <v>634.42999999999995</v>
      </c>
      <c r="G1919" s="5" t="s">
        <v>20</v>
      </c>
      <c r="H1919" s="5" t="s">
        <v>29</v>
      </c>
      <c r="I1919" s="5" t="s">
        <v>27</v>
      </c>
      <c r="J1919" s="6">
        <f>Table1[[#This Row],[Profit]]/Table1[[#This Row],[Sales]]</f>
        <v>0.6364411540467878</v>
      </c>
      <c r="K1919" s="5" t="str">
        <f t="shared" si="29"/>
        <v>Low</v>
      </c>
      <c r="L1919" s="5" t="str">
        <f>TEXT(Table1[[#This Row],[Order_Date]],"MMM")</f>
        <v>May</v>
      </c>
      <c r="M1919" s="5" t="str">
        <f>IF(Table1[[#This Row],[Profit]]&gt;=1000,"Excellent",IF(Table1[[#This Row],[Profit]]&gt;=500,"Good", IF(Table1[[#This Row],[Profit]]&lt;500,"Low")))</f>
        <v>Good</v>
      </c>
      <c r="N1919" s="7" t="str">
        <f>TEXT(Table1[[#This Row],[Order_Date]],"YYY")</f>
        <v>2026</v>
      </c>
    </row>
    <row r="1920" spans="1:14" x14ac:dyDescent="0.3">
      <c r="A1920" s="4">
        <v>46164</v>
      </c>
      <c r="B1920" s="5" t="s">
        <v>18</v>
      </c>
      <c r="C1920" s="5" t="s">
        <v>14</v>
      </c>
      <c r="D1920" s="23">
        <v>57.47</v>
      </c>
      <c r="E1920" s="23">
        <v>17.510000000000002</v>
      </c>
      <c r="F1920" s="23">
        <v>39.96</v>
      </c>
      <c r="G1920" s="5" t="s">
        <v>2</v>
      </c>
      <c r="H1920" s="5" t="s">
        <v>36</v>
      </c>
      <c r="I1920" s="5" t="s">
        <v>27</v>
      </c>
      <c r="J1920" s="6">
        <f>Table1[[#This Row],[Profit]]/Table1[[#This Row],[Sales]]</f>
        <v>0.69531929702453454</v>
      </c>
      <c r="K1920" s="5" t="str">
        <f t="shared" si="29"/>
        <v>Low</v>
      </c>
      <c r="L1920" s="5" t="str">
        <f>TEXT(Table1[[#This Row],[Order_Date]],"MMM")</f>
        <v>May</v>
      </c>
      <c r="M1920" s="5" t="str">
        <f>IF(Table1[[#This Row],[Profit]]&gt;=1000,"Excellent",IF(Table1[[#This Row],[Profit]]&gt;=500,"Good", IF(Table1[[#This Row],[Profit]]&lt;500,"Low")))</f>
        <v>Low</v>
      </c>
      <c r="N1920" s="7" t="str">
        <f>TEXT(Table1[[#This Row],[Order_Date]],"YYY")</f>
        <v>2026</v>
      </c>
    </row>
    <row r="1921" spans="1:14" x14ac:dyDescent="0.3">
      <c r="A1921" s="4">
        <v>46165</v>
      </c>
      <c r="B1921" s="5" t="s">
        <v>18</v>
      </c>
      <c r="C1921" s="5" t="s">
        <v>14</v>
      </c>
      <c r="D1921" s="23">
        <v>234.29</v>
      </c>
      <c r="E1921" s="23">
        <v>96.13</v>
      </c>
      <c r="F1921" s="23">
        <v>138.16</v>
      </c>
      <c r="G1921" s="5" t="s">
        <v>6</v>
      </c>
      <c r="H1921" s="5" t="s">
        <v>33</v>
      </c>
      <c r="I1921" s="5" t="s">
        <v>25</v>
      </c>
      <c r="J1921" s="6">
        <f>Table1[[#This Row],[Profit]]/Table1[[#This Row],[Sales]]</f>
        <v>0.58969652994152544</v>
      </c>
      <c r="K1921" s="5" t="str">
        <f t="shared" si="29"/>
        <v>Low</v>
      </c>
      <c r="L1921" s="5" t="str">
        <f>TEXT(Table1[[#This Row],[Order_Date]],"MMM")</f>
        <v>May</v>
      </c>
      <c r="M1921" s="5" t="str">
        <f>IF(Table1[[#This Row],[Profit]]&gt;=1000,"Excellent",IF(Table1[[#This Row],[Profit]]&gt;=500,"Good", IF(Table1[[#This Row],[Profit]]&lt;500,"Low")))</f>
        <v>Low</v>
      </c>
      <c r="N1921" s="7" t="str">
        <f>TEXT(Table1[[#This Row],[Order_Date]],"YYY")</f>
        <v>2026</v>
      </c>
    </row>
    <row r="1922" spans="1:14" x14ac:dyDescent="0.3">
      <c r="A1922" s="4">
        <v>46165</v>
      </c>
      <c r="B1922" s="5" t="s">
        <v>8</v>
      </c>
      <c r="C1922" s="5" t="s">
        <v>19</v>
      </c>
      <c r="D1922" s="23">
        <v>66.61</v>
      </c>
      <c r="E1922" s="23">
        <v>28.53</v>
      </c>
      <c r="F1922" s="23">
        <v>38.08</v>
      </c>
      <c r="G1922" s="5" t="s">
        <v>20</v>
      </c>
      <c r="H1922" s="5" t="s">
        <v>35</v>
      </c>
      <c r="I1922" s="5" t="s">
        <v>27</v>
      </c>
      <c r="J1922" s="6">
        <f>Table1[[#This Row],[Profit]]/Table1[[#This Row],[Sales]]</f>
        <v>0.57168593304308657</v>
      </c>
      <c r="K1922" s="5" t="str">
        <f t="shared" ref="K1922:K1985" si="30">IF(D1922&gt;=2000,"High",IF(D1922&gt;=1500,"Medium","Low"))</f>
        <v>Low</v>
      </c>
      <c r="L1922" s="5" t="str">
        <f>TEXT(Table1[[#This Row],[Order_Date]],"MMM")</f>
        <v>May</v>
      </c>
      <c r="M1922" s="5" t="str">
        <f>IF(Table1[[#This Row],[Profit]]&gt;=1000,"Excellent",IF(Table1[[#This Row],[Profit]]&gt;=500,"Good", IF(Table1[[#This Row],[Profit]]&lt;500,"Low")))</f>
        <v>Low</v>
      </c>
      <c r="N1922" s="7" t="str">
        <f>TEXT(Table1[[#This Row],[Order_Date]],"YYY")</f>
        <v>2026</v>
      </c>
    </row>
    <row r="1923" spans="1:14" x14ac:dyDescent="0.3">
      <c r="A1923" s="4">
        <v>46169</v>
      </c>
      <c r="B1923" s="5" t="s">
        <v>16</v>
      </c>
      <c r="C1923" s="5" t="s">
        <v>1</v>
      </c>
      <c r="D1923" s="23">
        <v>201.01</v>
      </c>
      <c r="E1923" s="23">
        <v>138.16999999999999</v>
      </c>
      <c r="F1923" s="23">
        <v>62.84</v>
      </c>
      <c r="G1923" s="5" t="s">
        <v>2</v>
      </c>
      <c r="H1923" s="5" t="s">
        <v>36</v>
      </c>
      <c r="I1923" s="5" t="s">
        <v>17</v>
      </c>
      <c r="J1923" s="6">
        <f>Table1[[#This Row],[Profit]]/Table1[[#This Row],[Sales]]</f>
        <v>0.31262126262375012</v>
      </c>
      <c r="K1923" s="5" t="str">
        <f t="shared" si="30"/>
        <v>Low</v>
      </c>
      <c r="L1923" s="5" t="str">
        <f>TEXT(Table1[[#This Row],[Order_Date]],"MMM")</f>
        <v>May</v>
      </c>
      <c r="M1923" s="5" t="str">
        <f>IF(Table1[[#This Row],[Profit]]&gt;=1000,"Excellent",IF(Table1[[#This Row],[Profit]]&gt;=500,"Good", IF(Table1[[#This Row],[Profit]]&lt;500,"Low")))</f>
        <v>Low</v>
      </c>
      <c r="N1923" s="7" t="str">
        <f>TEXT(Table1[[#This Row],[Order_Date]],"YYY")</f>
        <v>2026</v>
      </c>
    </row>
    <row r="1924" spans="1:14" x14ac:dyDescent="0.3">
      <c r="A1924" s="4">
        <v>46171</v>
      </c>
      <c r="B1924" s="5" t="s">
        <v>0</v>
      </c>
      <c r="C1924" s="5" t="s">
        <v>31</v>
      </c>
      <c r="D1924" s="23">
        <v>220.13</v>
      </c>
      <c r="E1924" s="23">
        <v>67.83</v>
      </c>
      <c r="F1924" s="23">
        <v>152.30000000000001</v>
      </c>
      <c r="G1924" s="5" t="s">
        <v>20</v>
      </c>
      <c r="H1924" s="5" t="s">
        <v>30</v>
      </c>
      <c r="I1924" s="5" t="s">
        <v>25</v>
      </c>
      <c r="J1924" s="6">
        <f>Table1[[#This Row],[Profit]]/Table1[[#This Row],[Sales]]</f>
        <v>0.69186389860536956</v>
      </c>
      <c r="K1924" s="5" t="str">
        <f t="shared" si="30"/>
        <v>Low</v>
      </c>
      <c r="L1924" s="5" t="str">
        <f>TEXT(Table1[[#This Row],[Order_Date]],"MMM")</f>
        <v>May</v>
      </c>
      <c r="M1924" s="5" t="str">
        <f>IF(Table1[[#This Row],[Profit]]&gt;=1000,"Excellent",IF(Table1[[#This Row],[Profit]]&gt;=500,"Good", IF(Table1[[#This Row],[Profit]]&lt;500,"Low")))</f>
        <v>Low</v>
      </c>
      <c r="N1924" s="7" t="str">
        <f>TEXT(Table1[[#This Row],[Order_Date]],"YYY")</f>
        <v>2026</v>
      </c>
    </row>
    <row r="1925" spans="1:14" x14ac:dyDescent="0.3">
      <c r="A1925" s="4">
        <v>46172</v>
      </c>
      <c r="B1925" s="5" t="s">
        <v>16</v>
      </c>
      <c r="C1925" s="5" t="s">
        <v>1</v>
      </c>
      <c r="D1925" s="23">
        <v>1474.99</v>
      </c>
      <c r="E1925" s="23">
        <v>978.12</v>
      </c>
      <c r="F1925" s="23">
        <v>496.87</v>
      </c>
      <c r="G1925" s="5" t="s">
        <v>2</v>
      </c>
      <c r="H1925" s="5" t="s">
        <v>37</v>
      </c>
      <c r="I1925" s="5" t="s">
        <v>22</v>
      </c>
      <c r="J1925" s="6">
        <f>Table1[[#This Row],[Profit]]/Table1[[#This Row],[Sales]]</f>
        <v>0.33686330076814081</v>
      </c>
      <c r="K1925" s="5" t="str">
        <f t="shared" si="30"/>
        <v>Low</v>
      </c>
      <c r="L1925" s="5" t="str">
        <f>TEXT(Table1[[#This Row],[Order_Date]],"MMM")</f>
        <v>May</v>
      </c>
      <c r="M1925" s="5" t="str">
        <f>IF(Table1[[#This Row],[Profit]]&gt;=1000,"Excellent",IF(Table1[[#This Row],[Profit]]&gt;=500,"Good", IF(Table1[[#This Row],[Profit]]&lt;500,"Low")))</f>
        <v>Low</v>
      </c>
      <c r="N1925" s="7" t="str">
        <f>TEXT(Table1[[#This Row],[Order_Date]],"YYY")</f>
        <v>2026</v>
      </c>
    </row>
    <row r="1926" spans="1:14" x14ac:dyDescent="0.3">
      <c r="A1926" s="4">
        <v>46173</v>
      </c>
      <c r="B1926" s="5" t="s">
        <v>13</v>
      </c>
      <c r="C1926" s="5" t="s">
        <v>31</v>
      </c>
      <c r="D1926" s="23">
        <v>264.61</v>
      </c>
      <c r="E1926" s="23">
        <v>64.55</v>
      </c>
      <c r="F1926" s="23">
        <v>200.06</v>
      </c>
      <c r="G1926" s="5" t="s">
        <v>20</v>
      </c>
      <c r="H1926" s="5" t="s">
        <v>37</v>
      </c>
      <c r="I1926" s="5" t="s">
        <v>22</v>
      </c>
      <c r="J1926" s="6">
        <f>Table1[[#This Row],[Profit]]/Table1[[#This Row],[Sales]]</f>
        <v>0.7560560825365632</v>
      </c>
      <c r="K1926" s="5" t="str">
        <f t="shared" si="30"/>
        <v>Low</v>
      </c>
      <c r="L1926" s="5" t="str">
        <f>TEXT(Table1[[#This Row],[Order_Date]],"MMM")</f>
        <v>May</v>
      </c>
      <c r="M1926" s="5" t="str">
        <f>IF(Table1[[#This Row],[Profit]]&gt;=1000,"Excellent",IF(Table1[[#This Row],[Profit]]&gt;=500,"Good", IF(Table1[[#This Row],[Profit]]&lt;500,"Low")))</f>
        <v>Low</v>
      </c>
      <c r="N1926" s="7" t="str">
        <f>TEXT(Table1[[#This Row],[Order_Date]],"YYY")</f>
        <v>2026</v>
      </c>
    </row>
    <row r="1927" spans="1:14" x14ac:dyDescent="0.3">
      <c r="A1927" s="4">
        <v>46173</v>
      </c>
      <c r="B1927" s="5" t="s">
        <v>0</v>
      </c>
      <c r="C1927" s="5" t="s">
        <v>26</v>
      </c>
      <c r="D1927" s="23">
        <v>995.7</v>
      </c>
      <c r="E1927" s="23">
        <v>288.27999999999997</v>
      </c>
      <c r="F1927" s="23">
        <v>707.42</v>
      </c>
      <c r="G1927" s="5" t="s">
        <v>20</v>
      </c>
      <c r="H1927" s="5" t="s">
        <v>21</v>
      </c>
      <c r="I1927" s="5" t="s">
        <v>11</v>
      </c>
      <c r="J1927" s="6">
        <f>Table1[[#This Row],[Profit]]/Table1[[#This Row],[Sales]]</f>
        <v>0.71047504268353912</v>
      </c>
      <c r="K1927" s="5" t="str">
        <f t="shared" si="30"/>
        <v>Low</v>
      </c>
      <c r="L1927" s="5" t="str">
        <f>TEXT(Table1[[#This Row],[Order_Date]],"MMM")</f>
        <v>May</v>
      </c>
      <c r="M1927" s="5" t="str">
        <f>IF(Table1[[#This Row],[Profit]]&gt;=1000,"Excellent",IF(Table1[[#This Row],[Profit]]&gt;=500,"Good", IF(Table1[[#This Row],[Profit]]&lt;500,"Low")))</f>
        <v>Good</v>
      </c>
      <c r="N1927" s="7" t="str">
        <f>TEXT(Table1[[#This Row],[Order_Date]],"YYY")</f>
        <v>2026</v>
      </c>
    </row>
    <row r="1928" spans="1:14" x14ac:dyDescent="0.3">
      <c r="A1928" s="4">
        <v>46173</v>
      </c>
      <c r="B1928" s="5" t="s">
        <v>8</v>
      </c>
      <c r="C1928" s="5" t="s">
        <v>14</v>
      </c>
      <c r="D1928" s="23">
        <v>326.37</v>
      </c>
      <c r="E1928" s="23">
        <v>151.25</v>
      </c>
      <c r="F1928" s="23">
        <v>175.12</v>
      </c>
      <c r="G1928" s="5" t="s">
        <v>32</v>
      </c>
      <c r="H1928" s="5" t="s">
        <v>7</v>
      </c>
      <c r="I1928" s="5" t="s">
        <v>17</v>
      </c>
      <c r="J1928" s="6">
        <f>Table1[[#This Row],[Profit]]/Table1[[#This Row],[Sales]]</f>
        <v>0.53656892483990559</v>
      </c>
      <c r="K1928" s="5" t="str">
        <f t="shared" si="30"/>
        <v>Low</v>
      </c>
      <c r="L1928" s="5" t="str">
        <f>TEXT(Table1[[#This Row],[Order_Date]],"MMM")</f>
        <v>May</v>
      </c>
      <c r="M1928" s="5" t="str">
        <f>IF(Table1[[#This Row],[Profit]]&gt;=1000,"Excellent",IF(Table1[[#This Row],[Profit]]&gt;=500,"Good", IF(Table1[[#This Row],[Profit]]&lt;500,"Low")))</f>
        <v>Low</v>
      </c>
      <c r="N1928" s="7" t="str">
        <f>TEXT(Table1[[#This Row],[Order_Date]],"YYY")</f>
        <v>2026</v>
      </c>
    </row>
    <row r="1929" spans="1:14" x14ac:dyDescent="0.3">
      <c r="A1929" s="4">
        <v>46173</v>
      </c>
      <c r="B1929" s="5" t="s">
        <v>18</v>
      </c>
      <c r="C1929" s="5" t="s">
        <v>31</v>
      </c>
      <c r="D1929" s="23">
        <v>283.52999999999997</v>
      </c>
      <c r="E1929" s="23">
        <v>112.06</v>
      </c>
      <c r="F1929" s="23">
        <v>171.47</v>
      </c>
      <c r="G1929" s="5" t="s">
        <v>9</v>
      </c>
      <c r="H1929" s="5" t="s">
        <v>21</v>
      </c>
      <c r="I1929" s="5" t="s">
        <v>4</v>
      </c>
      <c r="J1929" s="6">
        <f>Table1[[#This Row],[Profit]]/Table1[[#This Row],[Sales]]</f>
        <v>0.60476845483723063</v>
      </c>
      <c r="K1929" s="5" t="str">
        <f t="shared" si="30"/>
        <v>Low</v>
      </c>
      <c r="L1929" s="5" t="str">
        <f>TEXT(Table1[[#This Row],[Order_Date]],"MMM")</f>
        <v>May</v>
      </c>
      <c r="M1929" s="5" t="str">
        <f>IF(Table1[[#This Row],[Profit]]&gt;=1000,"Excellent",IF(Table1[[#This Row],[Profit]]&gt;=500,"Good", IF(Table1[[#This Row],[Profit]]&lt;500,"Low")))</f>
        <v>Low</v>
      </c>
      <c r="N1929" s="7" t="str">
        <f>TEXT(Table1[[#This Row],[Order_Date]],"YYY")</f>
        <v>2026</v>
      </c>
    </row>
    <row r="1930" spans="1:14" x14ac:dyDescent="0.3">
      <c r="A1930" s="4">
        <v>46176</v>
      </c>
      <c r="B1930" s="5" t="s">
        <v>16</v>
      </c>
      <c r="C1930" s="5" t="s">
        <v>14</v>
      </c>
      <c r="D1930" s="23">
        <v>393.86</v>
      </c>
      <c r="E1930" s="23">
        <v>212.76</v>
      </c>
      <c r="F1930" s="23">
        <v>181.1</v>
      </c>
      <c r="G1930" s="5" t="s">
        <v>2</v>
      </c>
      <c r="H1930" s="5" t="s">
        <v>28</v>
      </c>
      <c r="I1930" s="5" t="s">
        <v>11</v>
      </c>
      <c r="J1930" s="6">
        <f>Table1[[#This Row],[Profit]]/Table1[[#This Row],[Sales]]</f>
        <v>0.45980805362311478</v>
      </c>
      <c r="K1930" s="5" t="str">
        <f t="shared" si="30"/>
        <v>Low</v>
      </c>
      <c r="L1930" s="5" t="str">
        <f>TEXT(Table1[[#This Row],[Order_Date]],"MMM")</f>
        <v>Jun</v>
      </c>
      <c r="M1930" s="5" t="str">
        <f>IF(Table1[[#This Row],[Profit]]&gt;=1000,"Excellent",IF(Table1[[#This Row],[Profit]]&gt;=500,"Good", IF(Table1[[#This Row],[Profit]]&lt;500,"Low")))</f>
        <v>Low</v>
      </c>
      <c r="N1930" s="7" t="str">
        <f>TEXT(Table1[[#This Row],[Order_Date]],"YYY")</f>
        <v>2026</v>
      </c>
    </row>
    <row r="1931" spans="1:14" x14ac:dyDescent="0.3">
      <c r="A1931" s="4">
        <v>46176</v>
      </c>
      <c r="B1931" s="5" t="s">
        <v>18</v>
      </c>
      <c r="C1931" s="5" t="s">
        <v>23</v>
      </c>
      <c r="D1931" s="23">
        <v>259.41000000000003</v>
      </c>
      <c r="E1931" s="23">
        <v>101.24</v>
      </c>
      <c r="F1931" s="23">
        <v>158.16999999999999</v>
      </c>
      <c r="G1931" s="5" t="s">
        <v>2</v>
      </c>
      <c r="H1931" s="5" t="s">
        <v>29</v>
      </c>
      <c r="I1931" s="5" t="s">
        <v>11</v>
      </c>
      <c r="J1931" s="6">
        <f>Table1[[#This Row],[Profit]]/Table1[[#This Row],[Sales]]</f>
        <v>0.60972977140434048</v>
      </c>
      <c r="K1931" s="5" t="str">
        <f t="shared" si="30"/>
        <v>Low</v>
      </c>
      <c r="L1931" s="5" t="str">
        <f>TEXT(Table1[[#This Row],[Order_Date]],"MMM")</f>
        <v>Jun</v>
      </c>
      <c r="M1931" s="5" t="str">
        <f>IF(Table1[[#This Row],[Profit]]&gt;=1000,"Excellent",IF(Table1[[#This Row],[Profit]]&gt;=500,"Good", IF(Table1[[#This Row],[Profit]]&lt;500,"Low")))</f>
        <v>Low</v>
      </c>
      <c r="N1931" s="7" t="str">
        <f>TEXT(Table1[[#This Row],[Order_Date]],"YYY")</f>
        <v>2026</v>
      </c>
    </row>
    <row r="1932" spans="1:14" x14ac:dyDescent="0.3">
      <c r="A1932" s="4">
        <v>46176</v>
      </c>
      <c r="B1932" s="5" t="s">
        <v>18</v>
      </c>
      <c r="C1932" s="5" t="s">
        <v>31</v>
      </c>
      <c r="D1932" s="23">
        <v>103.33</v>
      </c>
      <c r="E1932" s="23">
        <v>33.61</v>
      </c>
      <c r="F1932" s="23">
        <v>69.72</v>
      </c>
      <c r="G1932" s="5" t="s">
        <v>2</v>
      </c>
      <c r="H1932" s="5" t="s">
        <v>33</v>
      </c>
      <c r="I1932" s="5" t="s">
        <v>17</v>
      </c>
      <c r="J1932" s="6">
        <f>Table1[[#This Row],[Profit]]/Table1[[#This Row],[Sales]]</f>
        <v>0.67473144294977261</v>
      </c>
      <c r="K1932" s="5" t="str">
        <f t="shared" si="30"/>
        <v>Low</v>
      </c>
      <c r="L1932" s="5" t="str">
        <f>TEXT(Table1[[#This Row],[Order_Date]],"MMM")</f>
        <v>Jun</v>
      </c>
      <c r="M1932" s="5" t="str">
        <f>IF(Table1[[#This Row],[Profit]]&gt;=1000,"Excellent",IF(Table1[[#This Row],[Profit]]&gt;=500,"Good", IF(Table1[[#This Row],[Profit]]&lt;500,"Low")))</f>
        <v>Low</v>
      </c>
      <c r="N1932" s="7" t="str">
        <f>TEXT(Table1[[#This Row],[Order_Date]],"YYY")</f>
        <v>2026</v>
      </c>
    </row>
    <row r="1933" spans="1:14" x14ac:dyDescent="0.3">
      <c r="A1933" s="4">
        <v>46176</v>
      </c>
      <c r="B1933" s="5" t="s">
        <v>16</v>
      </c>
      <c r="C1933" s="5" t="s">
        <v>19</v>
      </c>
      <c r="D1933" s="23">
        <v>108.49</v>
      </c>
      <c r="E1933" s="23">
        <v>29.11</v>
      </c>
      <c r="F1933" s="23">
        <v>79.38</v>
      </c>
      <c r="G1933" s="5" t="s">
        <v>32</v>
      </c>
      <c r="H1933" s="5" t="s">
        <v>36</v>
      </c>
      <c r="I1933" s="5" t="s">
        <v>22</v>
      </c>
      <c r="J1933" s="6">
        <f>Table1[[#This Row],[Profit]]/Table1[[#This Row],[Sales]]</f>
        <v>0.73168033920176978</v>
      </c>
      <c r="K1933" s="5" t="str">
        <f t="shared" si="30"/>
        <v>Low</v>
      </c>
      <c r="L1933" s="5" t="str">
        <f>TEXT(Table1[[#This Row],[Order_Date]],"MMM")</f>
        <v>Jun</v>
      </c>
      <c r="M1933" s="5" t="str">
        <f>IF(Table1[[#This Row],[Profit]]&gt;=1000,"Excellent",IF(Table1[[#This Row],[Profit]]&gt;=500,"Good", IF(Table1[[#This Row],[Profit]]&lt;500,"Low")))</f>
        <v>Low</v>
      </c>
      <c r="N1933" s="7" t="str">
        <f>TEXT(Table1[[#This Row],[Order_Date]],"YYY")</f>
        <v>2026</v>
      </c>
    </row>
    <row r="1934" spans="1:14" x14ac:dyDescent="0.3">
      <c r="A1934" s="4">
        <v>46176</v>
      </c>
      <c r="B1934" s="5" t="s">
        <v>18</v>
      </c>
      <c r="C1934" s="5" t="s">
        <v>26</v>
      </c>
      <c r="D1934" s="23">
        <v>865.22</v>
      </c>
      <c r="E1934" s="23">
        <v>277.5</v>
      </c>
      <c r="F1934" s="23">
        <v>587.72</v>
      </c>
      <c r="G1934" s="5" t="s">
        <v>32</v>
      </c>
      <c r="H1934" s="5" t="s">
        <v>34</v>
      </c>
      <c r="I1934" s="5" t="s">
        <v>25</v>
      </c>
      <c r="J1934" s="6">
        <f>Table1[[#This Row],[Profit]]/Table1[[#This Row],[Sales]]</f>
        <v>0.67927232380203884</v>
      </c>
      <c r="K1934" s="5" t="str">
        <f t="shared" si="30"/>
        <v>Low</v>
      </c>
      <c r="L1934" s="5" t="str">
        <f>TEXT(Table1[[#This Row],[Order_Date]],"MMM")</f>
        <v>Jun</v>
      </c>
      <c r="M1934" s="5" t="str">
        <f>IF(Table1[[#This Row],[Profit]]&gt;=1000,"Excellent",IF(Table1[[#This Row],[Profit]]&gt;=500,"Good", IF(Table1[[#This Row],[Profit]]&lt;500,"Low")))</f>
        <v>Good</v>
      </c>
      <c r="N1934" s="7" t="str">
        <f>TEXT(Table1[[#This Row],[Order_Date]],"YYY")</f>
        <v>2026</v>
      </c>
    </row>
    <row r="1935" spans="1:14" x14ac:dyDescent="0.3">
      <c r="A1935" s="4">
        <v>46177</v>
      </c>
      <c r="B1935" s="5" t="s">
        <v>8</v>
      </c>
      <c r="C1935" s="5" t="s">
        <v>26</v>
      </c>
      <c r="D1935" s="23">
        <v>911.43</v>
      </c>
      <c r="E1935" s="23">
        <v>313.23</v>
      </c>
      <c r="F1935" s="23">
        <v>598.20000000000005</v>
      </c>
      <c r="G1935" s="5" t="s">
        <v>9</v>
      </c>
      <c r="H1935" s="5" t="s">
        <v>34</v>
      </c>
      <c r="I1935" s="5" t="s">
        <v>4</v>
      </c>
      <c r="J1935" s="6">
        <f>Table1[[#This Row],[Profit]]/Table1[[#This Row],[Sales]]</f>
        <v>0.65633125966887207</v>
      </c>
      <c r="K1935" s="5" t="str">
        <f t="shared" si="30"/>
        <v>Low</v>
      </c>
      <c r="L1935" s="5" t="str">
        <f>TEXT(Table1[[#This Row],[Order_Date]],"MMM")</f>
        <v>Jun</v>
      </c>
      <c r="M1935" s="5" t="str">
        <f>IF(Table1[[#This Row],[Profit]]&gt;=1000,"Excellent",IF(Table1[[#This Row],[Profit]]&gt;=500,"Good", IF(Table1[[#This Row],[Profit]]&lt;500,"Low")))</f>
        <v>Good</v>
      </c>
      <c r="N1935" s="7" t="str">
        <f>TEXT(Table1[[#This Row],[Order_Date]],"YYY")</f>
        <v>2026</v>
      </c>
    </row>
    <row r="1936" spans="1:14" x14ac:dyDescent="0.3">
      <c r="A1936" s="4">
        <v>46178</v>
      </c>
      <c r="B1936" s="5" t="s">
        <v>13</v>
      </c>
      <c r="C1936" s="5" t="s">
        <v>14</v>
      </c>
      <c r="D1936" s="23">
        <v>239.91</v>
      </c>
      <c r="E1936" s="23">
        <v>92.62</v>
      </c>
      <c r="F1936" s="23">
        <v>147.29</v>
      </c>
      <c r="G1936" s="5" t="s">
        <v>6</v>
      </c>
      <c r="H1936" s="5" t="s">
        <v>29</v>
      </c>
      <c r="I1936" s="5" t="s">
        <v>4</v>
      </c>
      <c r="J1936" s="6">
        <f>Table1[[#This Row],[Profit]]/Table1[[#This Row],[Sales]]</f>
        <v>0.6139385602934434</v>
      </c>
      <c r="K1936" s="5" t="str">
        <f t="shared" si="30"/>
        <v>Low</v>
      </c>
      <c r="L1936" s="5" t="str">
        <f>TEXT(Table1[[#This Row],[Order_Date]],"MMM")</f>
        <v>Jun</v>
      </c>
      <c r="M1936" s="5" t="str">
        <f>IF(Table1[[#This Row],[Profit]]&gt;=1000,"Excellent",IF(Table1[[#This Row],[Profit]]&gt;=500,"Good", IF(Table1[[#This Row],[Profit]]&lt;500,"Low")))</f>
        <v>Low</v>
      </c>
      <c r="N1936" s="7" t="str">
        <f>TEXT(Table1[[#This Row],[Order_Date]],"YYY")</f>
        <v>2026</v>
      </c>
    </row>
    <row r="1937" spans="1:14" x14ac:dyDescent="0.3">
      <c r="A1937" s="4">
        <v>46179</v>
      </c>
      <c r="B1937" s="5" t="s">
        <v>16</v>
      </c>
      <c r="C1937" s="5" t="s">
        <v>19</v>
      </c>
      <c r="D1937" s="23">
        <v>53.99</v>
      </c>
      <c r="E1937" s="23">
        <v>13.27</v>
      </c>
      <c r="F1937" s="23">
        <v>40.72</v>
      </c>
      <c r="G1937" s="5" t="s">
        <v>9</v>
      </c>
      <c r="H1937" s="5" t="s">
        <v>15</v>
      </c>
      <c r="I1937" s="5" t="s">
        <v>17</v>
      </c>
      <c r="J1937" s="6">
        <f>Table1[[#This Row],[Profit]]/Table1[[#This Row],[Sales]]</f>
        <v>0.7542137432857936</v>
      </c>
      <c r="K1937" s="5" t="str">
        <f t="shared" si="30"/>
        <v>Low</v>
      </c>
      <c r="L1937" s="5" t="str">
        <f>TEXT(Table1[[#This Row],[Order_Date]],"MMM")</f>
        <v>Jun</v>
      </c>
      <c r="M1937" s="5" t="str">
        <f>IF(Table1[[#This Row],[Profit]]&gt;=1000,"Excellent",IF(Table1[[#This Row],[Profit]]&gt;=500,"Good", IF(Table1[[#This Row],[Profit]]&lt;500,"Low")))</f>
        <v>Low</v>
      </c>
      <c r="N1937" s="7" t="str">
        <f>TEXT(Table1[[#This Row],[Order_Date]],"YYY")</f>
        <v>2026</v>
      </c>
    </row>
    <row r="1938" spans="1:14" x14ac:dyDescent="0.3">
      <c r="A1938" s="4">
        <v>46180</v>
      </c>
      <c r="B1938" s="5" t="s">
        <v>16</v>
      </c>
      <c r="C1938" s="5" t="s">
        <v>14</v>
      </c>
      <c r="D1938" s="23">
        <v>242.11</v>
      </c>
      <c r="E1938" s="23">
        <v>132.72</v>
      </c>
      <c r="F1938" s="23">
        <v>109.39</v>
      </c>
      <c r="G1938" s="5" t="s">
        <v>6</v>
      </c>
      <c r="H1938" s="5" t="s">
        <v>28</v>
      </c>
      <c r="I1938" s="5" t="s">
        <v>11</v>
      </c>
      <c r="J1938" s="6">
        <f>Table1[[#This Row],[Profit]]/Table1[[#This Row],[Sales]]</f>
        <v>0.45181942092437322</v>
      </c>
      <c r="K1938" s="5" t="str">
        <f t="shared" si="30"/>
        <v>Low</v>
      </c>
      <c r="L1938" s="5" t="str">
        <f>TEXT(Table1[[#This Row],[Order_Date]],"MMM")</f>
        <v>Jun</v>
      </c>
      <c r="M1938" s="5" t="str">
        <f>IF(Table1[[#This Row],[Profit]]&gt;=1000,"Excellent",IF(Table1[[#This Row],[Profit]]&gt;=500,"Good", IF(Table1[[#This Row],[Profit]]&lt;500,"Low")))</f>
        <v>Low</v>
      </c>
      <c r="N1938" s="7" t="str">
        <f>TEXT(Table1[[#This Row],[Order_Date]],"YYY")</f>
        <v>2026</v>
      </c>
    </row>
    <row r="1939" spans="1:14" x14ac:dyDescent="0.3">
      <c r="A1939" s="4">
        <v>46180</v>
      </c>
      <c r="B1939" s="5" t="s">
        <v>13</v>
      </c>
      <c r="C1939" s="5" t="s">
        <v>19</v>
      </c>
      <c r="D1939" s="23">
        <v>19.88</v>
      </c>
      <c r="E1939" s="23">
        <v>6.07</v>
      </c>
      <c r="F1939" s="23">
        <v>13.81</v>
      </c>
      <c r="G1939" s="5" t="s">
        <v>2</v>
      </c>
      <c r="H1939" s="5" t="s">
        <v>34</v>
      </c>
      <c r="I1939" s="5" t="s">
        <v>11</v>
      </c>
      <c r="J1939" s="6">
        <f>Table1[[#This Row],[Profit]]/Table1[[#This Row],[Sales]]</f>
        <v>0.69466800804828976</v>
      </c>
      <c r="K1939" s="5" t="str">
        <f t="shared" si="30"/>
        <v>Low</v>
      </c>
      <c r="L1939" s="5" t="str">
        <f>TEXT(Table1[[#This Row],[Order_Date]],"MMM")</f>
        <v>Jun</v>
      </c>
      <c r="M1939" s="5" t="str">
        <f>IF(Table1[[#This Row],[Profit]]&gt;=1000,"Excellent",IF(Table1[[#This Row],[Profit]]&gt;=500,"Good", IF(Table1[[#This Row],[Profit]]&lt;500,"Low")))</f>
        <v>Low</v>
      </c>
      <c r="N1939" s="7" t="str">
        <f>TEXT(Table1[[#This Row],[Order_Date]],"YYY")</f>
        <v>2026</v>
      </c>
    </row>
    <row r="1940" spans="1:14" x14ac:dyDescent="0.3">
      <c r="A1940" s="4">
        <v>46181</v>
      </c>
      <c r="B1940" s="5" t="s">
        <v>0</v>
      </c>
      <c r="C1940" s="5" t="s">
        <v>1</v>
      </c>
      <c r="D1940" s="23">
        <v>602.05999999999995</v>
      </c>
      <c r="E1940" s="23">
        <v>400.54</v>
      </c>
      <c r="F1940" s="23">
        <v>201.52</v>
      </c>
      <c r="G1940" s="5" t="s">
        <v>6</v>
      </c>
      <c r="H1940" s="5" t="s">
        <v>12</v>
      </c>
      <c r="I1940" s="5" t="s">
        <v>17</v>
      </c>
      <c r="J1940" s="6">
        <f>Table1[[#This Row],[Profit]]/Table1[[#This Row],[Sales]]</f>
        <v>0.33471747001959945</v>
      </c>
      <c r="K1940" s="5" t="str">
        <f t="shared" si="30"/>
        <v>Low</v>
      </c>
      <c r="L1940" s="5" t="str">
        <f>TEXT(Table1[[#This Row],[Order_Date]],"MMM")</f>
        <v>Jun</v>
      </c>
      <c r="M1940" s="5" t="str">
        <f>IF(Table1[[#This Row],[Profit]]&gt;=1000,"Excellent",IF(Table1[[#This Row],[Profit]]&gt;=500,"Good", IF(Table1[[#This Row],[Profit]]&lt;500,"Low")))</f>
        <v>Low</v>
      </c>
      <c r="N1940" s="7" t="str">
        <f>TEXT(Table1[[#This Row],[Order_Date]],"YYY")</f>
        <v>2026</v>
      </c>
    </row>
    <row r="1941" spans="1:14" x14ac:dyDescent="0.3">
      <c r="A1941" s="4">
        <v>46181</v>
      </c>
      <c r="B1941" s="5" t="s">
        <v>13</v>
      </c>
      <c r="C1941" s="5" t="s">
        <v>31</v>
      </c>
      <c r="D1941" s="23">
        <v>138.28</v>
      </c>
      <c r="E1941" s="23">
        <v>55.14</v>
      </c>
      <c r="F1941" s="23">
        <v>83.14</v>
      </c>
      <c r="G1941" s="5" t="s">
        <v>2</v>
      </c>
      <c r="H1941" s="5" t="s">
        <v>30</v>
      </c>
      <c r="I1941" s="5" t="s">
        <v>22</v>
      </c>
      <c r="J1941" s="6">
        <f>Table1[[#This Row],[Profit]]/Table1[[#This Row],[Sales]]</f>
        <v>0.60124385305177896</v>
      </c>
      <c r="K1941" s="5" t="str">
        <f t="shared" si="30"/>
        <v>Low</v>
      </c>
      <c r="L1941" s="5" t="str">
        <f>TEXT(Table1[[#This Row],[Order_Date]],"MMM")</f>
        <v>Jun</v>
      </c>
      <c r="M1941" s="5" t="str">
        <f>IF(Table1[[#This Row],[Profit]]&gt;=1000,"Excellent",IF(Table1[[#This Row],[Profit]]&gt;=500,"Good", IF(Table1[[#This Row],[Profit]]&lt;500,"Low")))</f>
        <v>Low</v>
      </c>
      <c r="N1941" s="7" t="str">
        <f>TEXT(Table1[[#This Row],[Order_Date]],"YYY")</f>
        <v>2026</v>
      </c>
    </row>
    <row r="1942" spans="1:14" x14ac:dyDescent="0.3">
      <c r="A1942" s="4">
        <v>46182</v>
      </c>
      <c r="B1942" s="5" t="s">
        <v>18</v>
      </c>
      <c r="C1942" s="5" t="s">
        <v>23</v>
      </c>
      <c r="D1942" s="23">
        <v>896.23</v>
      </c>
      <c r="E1942" s="23">
        <v>331.47</v>
      </c>
      <c r="F1942" s="23">
        <v>564.76</v>
      </c>
      <c r="G1942" s="5" t="s">
        <v>2</v>
      </c>
      <c r="H1942" s="5" t="s">
        <v>12</v>
      </c>
      <c r="I1942" s="5" t="s">
        <v>25</v>
      </c>
      <c r="J1942" s="6">
        <f>Table1[[#This Row],[Profit]]/Table1[[#This Row],[Sales]]</f>
        <v>0.63015074255492454</v>
      </c>
      <c r="K1942" s="5" t="str">
        <f t="shared" si="30"/>
        <v>Low</v>
      </c>
      <c r="L1942" s="5" t="str">
        <f>TEXT(Table1[[#This Row],[Order_Date]],"MMM")</f>
        <v>Jun</v>
      </c>
      <c r="M1942" s="5" t="str">
        <f>IF(Table1[[#This Row],[Profit]]&gt;=1000,"Excellent",IF(Table1[[#This Row],[Profit]]&gt;=500,"Good", IF(Table1[[#This Row],[Profit]]&lt;500,"Low")))</f>
        <v>Good</v>
      </c>
      <c r="N1942" s="7" t="str">
        <f>TEXT(Table1[[#This Row],[Order_Date]],"YYY")</f>
        <v>2026</v>
      </c>
    </row>
    <row r="1943" spans="1:14" x14ac:dyDescent="0.3">
      <c r="A1943" s="4">
        <v>46182</v>
      </c>
      <c r="B1943" s="5" t="s">
        <v>0</v>
      </c>
      <c r="C1943" s="5" t="s">
        <v>23</v>
      </c>
      <c r="D1943" s="23">
        <v>443.98</v>
      </c>
      <c r="E1943" s="23">
        <v>134.38999999999999</v>
      </c>
      <c r="F1943" s="23">
        <v>309.58999999999997</v>
      </c>
      <c r="G1943" s="5" t="s">
        <v>32</v>
      </c>
      <c r="H1943" s="5" t="s">
        <v>7</v>
      </c>
      <c r="I1943" s="5" t="s">
        <v>4</v>
      </c>
      <c r="J1943" s="6">
        <f>Table1[[#This Row],[Profit]]/Table1[[#This Row],[Sales]]</f>
        <v>0.69730618496328656</v>
      </c>
      <c r="K1943" s="5" t="str">
        <f t="shared" si="30"/>
        <v>Low</v>
      </c>
      <c r="L1943" s="5" t="str">
        <f>TEXT(Table1[[#This Row],[Order_Date]],"MMM")</f>
        <v>Jun</v>
      </c>
      <c r="M1943" s="5" t="str">
        <f>IF(Table1[[#This Row],[Profit]]&gt;=1000,"Excellent",IF(Table1[[#This Row],[Profit]]&gt;=500,"Good", IF(Table1[[#This Row],[Profit]]&lt;500,"Low")))</f>
        <v>Low</v>
      </c>
      <c r="N1943" s="7" t="str">
        <f>TEXT(Table1[[#This Row],[Order_Date]],"YYY")</f>
        <v>2026</v>
      </c>
    </row>
    <row r="1944" spans="1:14" x14ac:dyDescent="0.3">
      <c r="A1944" s="4">
        <v>46183</v>
      </c>
      <c r="B1944" s="5" t="s">
        <v>13</v>
      </c>
      <c r="C1944" s="5" t="s">
        <v>19</v>
      </c>
      <c r="D1944" s="23">
        <v>16.34</v>
      </c>
      <c r="E1944" s="23">
        <v>5.08</v>
      </c>
      <c r="F1944" s="23">
        <v>11.26</v>
      </c>
      <c r="G1944" s="5" t="s">
        <v>9</v>
      </c>
      <c r="H1944" s="5" t="s">
        <v>37</v>
      </c>
      <c r="I1944" s="5" t="s">
        <v>11</v>
      </c>
      <c r="J1944" s="6">
        <f>Table1[[#This Row],[Profit]]/Table1[[#This Row],[Sales]]</f>
        <v>0.68910648714810285</v>
      </c>
      <c r="K1944" s="5" t="str">
        <f t="shared" si="30"/>
        <v>Low</v>
      </c>
      <c r="L1944" s="5" t="str">
        <f>TEXT(Table1[[#This Row],[Order_Date]],"MMM")</f>
        <v>Jun</v>
      </c>
      <c r="M1944" s="5" t="str">
        <f>IF(Table1[[#This Row],[Profit]]&gt;=1000,"Excellent",IF(Table1[[#This Row],[Profit]]&gt;=500,"Good", IF(Table1[[#This Row],[Profit]]&lt;500,"Low")))</f>
        <v>Low</v>
      </c>
      <c r="N1944" s="7" t="str">
        <f>TEXT(Table1[[#This Row],[Order_Date]],"YYY")</f>
        <v>2026</v>
      </c>
    </row>
    <row r="1945" spans="1:14" x14ac:dyDescent="0.3">
      <c r="A1945" s="4">
        <v>46184</v>
      </c>
      <c r="B1945" s="5" t="s">
        <v>18</v>
      </c>
      <c r="C1945" s="5" t="s">
        <v>26</v>
      </c>
      <c r="D1945" s="23">
        <v>585.16</v>
      </c>
      <c r="E1945" s="23">
        <v>245.98</v>
      </c>
      <c r="F1945" s="23">
        <v>339.18</v>
      </c>
      <c r="G1945" s="5" t="s">
        <v>20</v>
      </c>
      <c r="H1945" s="5" t="s">
        <v>3</v>
      </c>
      <c r="I1945" s="5" t="s">
        <v>25</v>
      </c>
      <c r="J1945" s="6">
        <f>Table1[[#This Row],[Profit]]/Table1[[#This Row],[Sales]]</f>
        <v>0.57963633877913734</v>
      </c>
      <c r="K1945" s="5" t="str">
        <f t="shared" si="30"/>
        <v>Low</v>
      </c>
      <c r="L1945" s="5" t="str">
        <f>TEXT(Table1[[#This Row],[Order_Date]],"MMM")</f>
        <v>Jun</v>
      </c>
      <c r="M1945" s="5" t="str">
        <f>IF(Table1[[#This Row],[Profit]]&gt;=1000,"Excellent",IF(Table1[[#This Row],[Profit]]&gt;=500,"Good", IF(Table1[[#This Row],[Profit]]&lt;500,"Low")))</f>
        <v>Low</v>
      </c>
      <c r="N1945" s="7" t="str">
        <f>TEXT(Table1[[#This Row],[Order_Date]],"YYY")</f>
        <v>2026</v>
      </c>
    </row>
    <row r="1946" spans="1:14" x14ac:dyDescent="0.3">
      <c r="A1946" s="4">
        <v>46184</v>
      </c>
      <c r="B1946" s="5" t="s">
        <v>8</v>
      </c>
      <c r="C1946" s="5" t="s">
        <v>26</v>
      </c>
      <c r="D1946" s="23">
        <v>300.54000000000002</v>
      </c>
      <c r="E1946" s="23">
        <v>111.16</v>
      </c>
      <c r="F1946" s="23">
        <v>189.38</v>
      </c>
      <c r="G1946" s="5" t="s">
        <v>20</v>
      </c>
      <c r="H1946" s="5" t="s">
        <v>30</v>
      </c>
      <c r="I1946" s="5" t="s">
        <v>11</v>
      </c>
      <c r="J1946" s="6">
        <f>Table1[[#This Row],[Profit]]/Table1[[#This Row],[Sales]]</f>
        <v>0.63013242829573424</v>
      </c>
      <c r="K1946" s="5" t="str">
        <f t="shared" si="30"/>
        <v>Low</v>
      </c>
      <c r="L1946" s="5" t="str">
        <f>TEXT(Table1[[#This Row],[Order_Date]],"MMM")</f>
        <v>Jun</v>
      </c>
      <c r="M1946" s="5" t="str">
        <f>IF(Table1[[#This Row],[Profit]]&gt;=1000,"Excellent",IF(Table1[[#This Row],[Profit]]&gt;=500,"Good", IF(Table1[[#This Row],[Profit]]&lt;500,"Low")))</f>
        <v>Low</v>
      </c>
      <c r="N1946" s="7" t="str">
        <f>TEXT(Table1[[#This Row],[Order_Date]],"YYY")</f>
        <v>2026</v>
      </c>
    </row>
    <row r="1947" spans="1:14" x14ac:dyDescent="0.3">
      <c r="A1947" s="4">
        <v>46184</v>
      </c>
      <c r="B1947" s="5" t="s">
        <v>13</v>
      </c>
      <c r="C1947" s="5" t="s">
        <v>26</v>
      </c>
      <c r="D1947" s="23">
        <v>368.12</v>
      </c>
      <c r="E1947" s="23">
        <v>147.69</v>
      </c>
      <c r="F1947" s="23">
        <v>220.43</v>
      </c>
      <c r="G1947" s="5" t="s">
        <v>20</v>
      </c>
      <c r="H1947" s="5" t="s">
        <v>29</v>
      </c>
      <c r="I1947" s="5" t="s">
        <v>17</v>
      </c>
      <c r="J1947" s="6">
        <f>Table1[[#This Row],[Profit]]/Table1[[#This Row],[Sales]]</f>
        <v>0.59879930457459529</v>
      </c>
      <c r="K1947" s="5" t="str">
        <f t="shared" si="30"/>
        <v>Low</v>
      </c>
      <c r="L1947" s="5" t="str">
        <f>TEXT(Table1[[#This Row],[Order_Date]],"MMM")</f>
        <v>Jun</v>
      </c>
      <c r="M1947" s="5" t="str">
        <f>IF(Table1[[#This Row],[Profit]]&gt;=1000,"Excellent",IF(Table1[[#This Row],[Profit]]&gt;=500,"Good", IF(Table1[[#This Row],[Profit]]&lt;500,"Low")))</f>
        <v>Low</v>
      </c>
      <c r="N1947" s="7" t="str">
        <f>TEXT(Table1[[#This Row],[Order_Date]],"YYY")</f>
        <v>2026</v>
      </c>
    </row>
    <row r="1948" spans="1:14" x14ac:dyDescent="0.3">
      <c r="A1948" s="4">
        <v>46184</v>
      </c>
      <c r="B1948" s="5" t="s">
        <v>8</v>
      </c>
      <c r="C1948" s="5" t="s">
        <v>14</v>
      </c>
      <c r="D1948" s="23">
        <v>329</v>
      </c>
      <c r="E1948" s="23">
        <v>129.29</v>
      </c>
      <c r="F1948" s="23">
        <v>199.71</v>
      </c>
      <c r="G1948" s="5" t="s">
        <v>2</v>
      </c>
      <c r="H1948" s="5" t="s">
        <v>7</v>
      </c>
      <c r="I1948" s="5" t="s">
        <v>25</v>
      </c>
      <c r="J1948" s="6">
        <f>Table1[[#This Row],[Profit]]/Table1[[#This Row],[Sales]]</f>
        <v>0.60702127659574467</v>
      </c>
      <c r="K1948" s="5" t="str">
        <f t="shared" si="30"/>
        <v>Low</v>
      </c>
      <c r="L1948" s="5" t="str">
        <f>TEXT(Table1[[#This Row],[Order_Date]],"MMM")</f>
        <v>Jun</v>
      </c>
      <c r="M1948" s="5" t="str">
        <f>IF(Table1[[#This Row],[Profit]]&gt;=1000,"Excellent",IF(Table1[[#This Row],[Profit]]&gt;=500,"Good", IF(Table1[[#This Row],[Profit]]&lt;500,"Low")))</f>
        <v>Low</v>
      </c>
      <c r="N1948" s="7" t="str">
        <f>TEXT(Table1[[#This Row],[Order_Date]],"YYY")</f>
        <v>2026</v>
      </c>
    </row>
    <row r="1949" spans="1:14" x14ac:dyDescent="0.3">
      <c r="A1949" s="4">
        <v>46185</v>
      </c>
      <c r="B1949" s="5" t="s">
        <v>16</v>
      </c>
      <c r="C1949" s="5" t="s">
        <v>23</v>
      </c>
      <c r="D1949" s="23">
        <v>745.58</v>
      </c>
      <c r="E1949" s="23">
        <v>330.27</v>
      </c>
      <c r="F1949" s="23">
        <v>415.31</v>
      </c>
      <c r="G1949" s="5" t="s">
        <v>6</v>
      </c>
      <c r="H1949" s="5" t="s">
        <v>37</v>
      </c>
      <c r="I1949" s="5" t="s">
        <v>11</v>
      </c>
      <c r="J1949" s="6">
        <f>Table1[[#This Row],[Profit]]/Table1[[#This Row],[Sales]]</f>
        <v>0.55702942675500955</v>
      </c>
      <c r="K1949" s="5" t="str">
        <f t="shared" si="30"/>
        <v>Low</v>
      </c>
      <c r="L1949" s="5" t="str">
        <f>TEXT(Table1[[#This Row],[Order_Date]],"MMM")</f>
        <v>Jun</v>
      </c>
      <c r="M1949" s="5" t="str">
        <f>IF(Table1[[#This Row],[Profit]]&gt;=1000,"Excellent",IF(Table1[[#This Row],[Profit]]&gt;=500,"Good", IF(Table1[[#This Row],[Profit]]&lt;500,"Low")))</f>
        <v>Low</v>
      </c>
      <c r="N1949" s="7" t="str">
        <f>TEXT(Table1[[#This Row],[Order_Date]],"YYY")</f>
        <v>2026</v>
      </c>
    </row>
    <row r="1950" spans="1:14" x14ac:dyDescent="0.3">
      <c r="A1950" s="4">
        <v>46185</v>
      </c>
      <c r="B1950" s="5" t="s">
        <v>18</v>
      </c>
      <c r="C1950" s="5" t="s">
        <v>1</v>
      </c>
      <c r="D1950" s="23">
        <v>1311.79</v>
      </c>
      <c r="E1950" s="23">
        <v>742.29</v>
      </c>
      <c r="F1950" s="23">
        <v>569.5</v>
      </c>
      <c r="G1950" s="5" t="s">
        <v>20</v>
      </c>
      <c r="H1950" s="5" t="s">
        <v>34</v>
      </c>
      <c r="I1950" s="5" t="s">
        <v>25</v>
      </c>
      <c r="J1950" s="6">
        <f>Table1[[#This Row],[Profit]]/Table1[[#This Row],[Sales]]</f>
        <v>0.43413961076086877</v>
      </c>
      <c r="K1950" s="5" t="str">
        <f t="shared" si="30"/>
        <v>Low</v>
      </c>
      <c r="L1950" s="5" t="str">
        <f>TEXT(Table1[[#This Row],[Order_Date]],"MMM")</f>
        <v>Jun</v>
      </c>
      <c r="M1950" s="5" t="str">
        <f>IF(Table1[[#This Row],[Profit]]&gt;=1000,"Excellent",IF(Table1[[#This Row],[Profit]]&gt;=500,"Good", IF(Table1[[#This Row],[Profit]]&lt;500,"Low")))</f>
        <v>Good</v>
      </c>
      <c r="N1950" s="7" t="str">
        <f>TEXT(Table1[[#This Row],[Order_Date]],"YYY")</f>
        <v>2026</v>
      </c>
    </row>
    <row r="1951" spans="1:14" x14ac:dyDescent="0.3">
      <c r="A1951" s="4">
        <v>46185</v>
      </c>
      <c r="B1951" s="5" t="s">
        <v>16</v>
      </c>
      <c r="C1951" s="5" t="s">
        <v>23</v>
      </c>
      <c r="D1951" s="23">
        <v>232.21</v>
      </c>
      <c r="E1951" s="23">
        <v>76.900000000000006</v>
      </c>
      <c r="F1951" s="23">
        <v>155.31</v>
      </c>
      <c r="G1951" s="5" t="s">
        <v>6</v>
      </c>
      <c r="H1951" s="5" t="s">
        <v>21</v>
      </c>
      <c r="I1951" s="5" t="s">
        <v>27</v>
      </c>
      <c r="J1951" s="6">
        <f>Table1[[#This Row],[Profit]]/Table1[[#This Row],[Sales]]</f>
        <v>0.66883424486456222</v>
      </c>
      <c r="K1951" s="5" t="str">
        <f t="shared" si="30"/>
        <v>Low</v>
      </c>
      <c r="L1951" s="5" t="str">
        <f>TEXT(Table1[[#This Row],[Order_Date]],"MMM")</f>
        <v>Jun</v>
      </c>
      <c r="M1951" s="5" t="str">
        <f>IF(Table1[[#This Row],[Profit]]&gt;=1000,"Excellent",IF(Table1[[#This Row],[Profit]]&gt;=500,"Good", IF(Table1[[#This Row],[Profit]]&lt;500,"Low")))</f>
        <v>Low</v>
      </c>
      <c r="N1951" s="7" t="str">
        <f>TEXT(Table1[[#This Row],[Order_Date]],"YYY")</f>
        <v>2026</v>
      </c>
    </row>
    <row r="1952" spans="1:14" x14ac:dyDescent="0.3">
      <c r="A1952" s="4">
        <v>46185</v>
      </c>
      <c r="B1952" s="5" t="s">
        <v>18</v>
      </c>
      <c r="C1952" s="5" t="s">
        <v>23</v>
      </c>
      <c r="D1952" s="23">
        <v>578.99</v>
      </c>
      <c r="E1952" s="23">
        <v>183.55</v>
      </c>
      <c r="F1952" s="23">
        <v>395.44</v>
      </c>
      <c r="G1952" s="5" t="s">
        <v>32</v>
      </c>
      <c r="H1952" s="5" t="s">
        <v>35</v>
      </c>
      <c r="I1952" s="5" t="s">
        <v>4</v>
      </c>
      <c r="J1952" s="6">
        <f>Table1[[#This Row],[Profit]]/Table1[[#This Row],[Sales]]</f>
        <v>0.68298243492979149</v>
      </c>
      <c r="K1952" s="5" t="str">
        <f t="shared" si="30"/>
        <v>Low</v>
      </c>
      <c r="L1952" s="5" t="str">
        <f>TEXT(Table1[[#This Row],[Order_Date]],"MMM")</f>
        <v>Jun</v>
      </c>
      <c r="M1952" s="5" t="str">
        <f>IF(Table1[[#This Row],[Profit]]&gt;=1000,"Excellent",IF(Table1[[#This Row],[Profit]]&gt;=500,"Good", IF(Table1[[#This Row],[Profit]]&lt;500,"Low")))</f>
        <v>Low</v>
      </c>
      <c r="N1952" s="7" t="str">
        <f>TEXT(Table1[[#This Row],[Order_Date]],"YYY")</f>
        <v>2026</v>
      </c>
    </row>
    <row r="1953" spans="1:14" x14ac:dyDescent="0.3">
      <c r="A1953" s="4">
        <v>46186</v>
      </c>
      <c r="B1953" s="5" t="s">
        <v>0</v>
      </c>
      <c r="C1953" s="5" t="s">
        <v>14</v>
      </c>
      <c r="D1953" s="23">
        <v>398.36</v>
      </c>
      <c r="E1953" s="23">
        <v>121.92</v>
      </c>
      <c r="F1953" s="23">
        <v>276.44</v>
      </c>
      <c r="G1953" s="5" t="s">
        <v>9</v>
      </c>
      <c r="H1953" s="5" t="s">
        <v>7</v>
      </c>
      <c r="I1953" s="5" t="s">
        <v>4</v>
      </c>
      <c r="J1953" s="6">
        <f>Table1[[#This Row],[Profit]]/Table1[[#This Row],[Sales]]</f>
        <v>0.69394517521839538</v>
      </c>
      <c r="K1953" s="5" t="str">
        <f t="shared" si="30"/>
        <v>Low</v>
      </c>
      <c r="L1953" s="5" t="str">
        <f>TEXT(Table1[[#This Row],[Order_Date]],"MMM")</f>
        <v>Jun</v>
      </c>
      <c r="M1953" s="5" t="str">
        <f>IF(Table1[[#This Row],[Profit]]&gt;=1000,"Excellent",IF(Table1[[#This Row],[Profit]]&gt;=500,"Good", IF(Table1[[#This Row],[Profit]]&lt;500,"Low")))</f>
        <v>Low</v>
      </c>
      <c r="N1953" s="7" t="str">
        <f>TEXT(Table1[[#This Row],[Order_Date]],"YYY")</f>
        <v>2026</v>
      </c>
    </row>
    <row r="1954" spans="1:14" x14ac:dyDescent="0.3">
      <c r="A1954" s="4">
        <v>46187</v>
      </c>
      <c r="B1954" s="5" t="s">
        <v>8</v>
      </c>
      <c r="C1954" s="5" t="s">
        <v>14</v>
      </c>
      <c r="D1954" s="23">
        <v>350.8</v>
      </c>
      <c r="E1954" s="23">
        <v>127.53</v>
      </c>
      <c r="F1954" s="23">
        <v>223.27</v>
      </c>
      <c r="G1954" s="5" t="s">
        <v>9</v>
      </c>
      <c r="H1954" s="5" t="s">
        <v>15</v>
      </c>
      <c r="I1954" s="5" t="s">
        <v>22</v>
      </c>
      <c r="J1954" s="6">
        <f>Table1[[#This Row],[Profit]]/Table1[[#This Row],[Sales]]</f>
        <v>0.63645952109464088</v>
      </c>
      <c r="K1954" s="5" t="str">
        <f t="shared" si="30"/>
        <v>Low</v>
      </c>
      <c r="L1954" s="5" t="str">
        <f>TEXT(Table1[[#This Row],[Order_Date]],"MMM")</f>
        <v>Jun</v>
      </c>
      <c r="M1954" s="5" t="str">
        <f>IF(Table1[[#This Row],[Profit]]&gt;=1000,"Excellent",IF(Table1[[#This Row],[Profit]]&gt;=500,"Good", IF(Table1[[#This Row],[Profit]]&lt;500,"Low")))</f>
        <v>Low</v>
      </c>
      <c r="N1954" s="7" t="str">
        <f>TEXT(Table1[[#This Row],[Order_Date]],"YYY")</f>
        <v>2026</v>
      </c>
    </row>
    <row r="1955" spans="1:14" x14ac:dyDescent="0.3">
      <c r="A1955" s="4">
        <v>46187</v>
      </c>
      <c r="B1955" s="5" t="s">
        <v>18</v>
      </c>
      <c r="C1955" s="5" t="s">
        <v>31</v>
      </c>
      <c r="D1955" s="23">
        <v>256.81</v>
      </c>
      <c r="E1955" s="23">
        <v>78.69</v>
      </c>
      <c r="F1955" s="23">
        <v>178.12</v>
      </c>
      <c r="G1955" s="5" t="s">
        <v>9</v>
      </c>
      <c r="H1955" s="5" t="s">
        <v>36</v>
      </c>
      <c r="I1955" s="5" t="s">
        <v>25</v>
      </c>
      <c r="J1955" s="6">
        <f>Table1[[#This Row],[Profit]]/Table1[[#This Row],[Sales]]</f>
        <v>0.69358669833729214</v>
      </c>
      <c r="K1955" s="5" t="str">
        <f t="shared" si="30"/>
        <v>Low</v>
      </c>
      <c r="L1955" s="5" t="str">
        <f>TEXT(Table1[[#This Row],[Order_Date]],"MMM")</f>
        <v>Jun</v>
      </c>
      <c r="M1955" s="5" t="str">
        <f>IF(Table1[[#This Row],[Profit]]&gt;=1000,"Excellent",IF(Table1[[#This Row],[Profit]]&gt;=500,"Good", IF(Table1[[#This Row],[Profit]]&lt;500,"Low")))</f>
        <v>Low</v>
      </c>
      <c r="N1955" s="7" t="str">
        <f>TEXT(Table1[[#This Row],[Order_Date]],"YYY")</f>
        <v>2026</v>
      </c>
    </row>
    <row r="1956" spans="1:14" x14ac:dyDescent="0.3">
      <c r="A1956" s="4">
        <v>46187</v>
      </c>
      <c r="B1956" s="5" t="s">
        <v>8</v>
      </c>
      <c r="C1956" s="5" t="s">
        <v>23</v>
      </c>
      <c r="D1956" s="23">
        <v>766.63</v>
      </c>
      <c r="E1956" s="23">
        <v>223.9</v>
      </c>
      <c r="F1956" s="23">
        <v>542.73</v>
      </c>
      <c r="G1956" s="5" t="s">
        <v>32</v>
      </c>
      <c r="H1956" s="5" t="s">
        <v>36</v>
      </c>
      <c r="I1956" s="5" t="s">
        <v>25</v>
      </c>
      <c r="J1956" s="6">
        <f>Table1[[#This Row],[Profit]]/Table1[[#This Row],[Sales]]</f>
        <v>0.70794255377431092</v>
      </c>
      <c r="K1956" s="5" t="str">
        <f t="shared" si="30"/>
        <v>Low</v>
      </c>
      <c r="L1956" s="5" t="str">
        <f>TEXT(Table1[[#This Row],[Order_Date]],"MMM")</f>
        <v>Jun</v>
      </c>
      <c r="M1956" s="5" t="str">
        <f>IF(Table1[[#This Row],[Profit]]&gt;=1000,"Excellent",IF(Table1[[#This Row],[Profit]]&gt;=500,"Good", IF(Table1[[#This Row],[Profit]]&lt;500,"Low")))</f>
        <v>Good</v>
      </c>
      <c r="N1956" s="7" t="str">
        <f>TEXT(Table1[[#This Row],[Order_Date]],"YYY")</f>
        <v>2026</v>
      </c>
    </row>
    <row r="1957" spans="1:14" x14ac:dyDescent="0.3">
      <c r="A1957" s="4">
        <v>46187</v>
      </c>
      <c r="B1957" s="5" t="s">
        <v>16</v>
      </c>
      <c r="C1957" s="5" t="s">
        <v>26</v>
      </c>
      <c r="D1957" s="23">
        <v>332.42</v>
      </c>
      <c r="E1957" s="23">
        <v>91.4</v>
      </c>
      <c r="F1957" s="23">
        <v>241.02</v>
      </c>
      <c r="G1957" s="5" t="s">
        <v>9</v>
      </c>
      <c r="H1957" s="5" t="s">
        <v>35</v>
      </c>
      <c r="I1957" s="5" t="s">
        <v>25</v>
      </c>
      <c r="J1957" s="6">
        <f>Table1[[#This Row],[Profit]]/Table1[[#This Row],[Sales]]</f>
        <v>0.72504662776006257</v>
      </c>
      <c r="K1957" s="5" t="str">
        <f t="shared" si="30"/>
        <v>Low</v>
      </c>
      <c r="L1957" s="5" t="str">
        <f>TEXT(Table1[[#This Row],[Order_Date]],"MMM")</f>
        <v>Jun</v>
      </c>
      <c r="M1957" s="5" t="str">
        <f>IF(Table1[[#This Row],[Profit]]&gt;=1000,"Excellent",IF(Table1[[#This Row],[Profit]]&gt;=500,"Good", IF(Table1[[#This Row],[Profit]]&lt;500,"Low")))</f>
        <v>Low</v>
      </c>
      <c r="N1957" s="7" t="str">
        <f>TEXT(Table1[[#This Row],[Order_Date]],"YYY")</f>
        <v>2026</v>
      </c>
    </row>
    <row r="1958" spans="1:14" x14ac:dyDescent="0.3">
      <c r="A1958" s="4">
        <v>46187</v>
      </c>
      <c r="B1958" s="5" t="s">
        <v>0</v>
      </c>
      <c r="C1958" s="5" t="s">
        <v>1</v>
      </c>
      <c r="D1958" s="23">
        <v>343.67</v>
      </c>
      <c r="E1958" s="23">
        <v>183.5</v>
      </c>
      <c r="F1958" s="23">
        <v>160.16999999999999</v>
      </c>
      <c r="G1958" s="5" t="s">
        <v>2</v>
      </c>
      <c r="H1958" s="5" t="s">
        <v>7</v>
      </c>
      <c r="I1958" s="5" t="s">
        <v>25</v>
      </c>
      <c r="J1958" s="6">
        <f>Table1[[#This Row],[Profit]]/Table1[[#This Row],[Sales]]</f>
        <v>0.46605755521284947</v>
      </c>
      <c r="K1958" s="5" t="str">
        <f t="shared" si="30"/>
        <v>Low</v>
      </c>
      <c r="L1958" s="5" t="str">
        <f>TEXT(Table1[[#This Row],[Order_Date]],"MMM")</f>
        <v>Jun</v>
      </c>
      <c r="M1958" s="5" t="str">
        <f>IF(Table1[[#This Row],[Profit]]&gt;=1000,"Excellent",IF(Table1[[#This Row],[Profit]]&gt;=500,"Good", IF(Table1[[#This Row],[Profit]]&lt;500,"Low")))</f>
        <v>Low</v>
      </c>
      <c r="N1958" s="7" t="str">
        <f>TEXT(Table1[[#This Row],[Order_Date]],"YYY")</f>
        <v>2026</v>
      </c>
    </row>
    <row r="1959" spans="1:14" x14ac:dyDescent="0.3">
      <c r="A1959" s="4">
        <v>46188</v>
      </c>
      <c r="B1959" s="5" t="s">
        <v>16</v>
      </c>
      <c r="C1959" s="5" t="s">
        <v>1</v>
      </c>
      <c r="D1959" s="23">
        <v>869.27</v>
      </c>
      <c r="E1959" s="23">
        <v>395.98</v>
      </c>
      <c r="F1959" s="23">
        <v>473.29</v>
      </c>
      <c r="G1959" s="5" t="s">
        <v>6</v>
      </c>
      <c r="H1959" s="5" t="s">
        <v>28</v>
      </c>
      <c r="I1959" s="5" t="s">
        <v>4</v>
      </c>
      <c r="J1959" s="6">
        <f>Table1[[#This Row],[Profit]]/Table1[[#This Row],[Sales]]</f>
        <v>0.54446834700380786</v>
      </c>
      <c r="K1959" s="5" t="str">
        <f t="shared" si="30"/>
        <v>Low</v>
      </c>
      <c r="L1959" s="5" t="str">
        <f>TEXT(Table1[[#This Row],[Order_Date]],"MMM")</f>
        <v>Jun</v>
      </c>
      <c r="M1959" s="5" t="str">
        <f>IF(Table1[[#This Row],[Profit]]&gt;=1000,"Excellent",IF(Table1[[#This Row],[Profit]]&gt;=500,"Good", IF(Table1[[#This Row],[Profit]]&lt;500,"Low")))</f>
        <v>Low</v>
      </c>
      <c r="N1959" s="7" t="str">
        <f>TEXT(Table1[[#This Row],[Order_Date]],"YYY")</f>
        <v>2026</v>
      </c>
    </row>
    <row r="1960" spans="1:14" x14ac:dyDescent="0.3">
      <c r="A1960" s="4">
        <v>46188</v>
      </c>
      <c r="B1960" s="5" t="s">
        <v>18</v>
      </c>
      <c r="C1960" s="5" t="s">
        <v>31</v>
      </c>
      <c r="D1960" s="23">
        <v>227.21</v>
      </c>
      <c r="E1960" s="23">
        <v>66.02</v>
      </c>
      <c r="F1960" s="23">
        <v>161.19</v>
      </c>
      <c r="G1960" s="5" t="s">
        <v>2</v>
      </c>
      <c r="H1960" s="5" t="s">
        <v>24</v>
      </c>
      <c r="I1960" s="5" t="s">
        <v>27</v>
      </c>
      <c r="J1960" s="6">
        <f>Table1[[#This Row],[Profit]]/Table1[[#This Row],[Sales]]</f>
        <v>0.70943180317767696</v>
      </c>
      <c r="K1960" s="5" t="str">
        <f t="shared" si="30"/>
        <v>Low</v>
      </c>
      <c r="L1960" s="5" t="str">
        <f>TEXT(Table1[[#This Row],[Order_Date]],"MMM")</f>
        <v>Jun</v>
      </c>
      <c r="M1960" s="5" t="str">
        <f>IF(Table1[[#This Row],[Profit]]&gt;=1000,"Excellent",IF(Table1[[#This Row],[Profit]]&gt;=500,"Good", IF(Table1[[#This Row],[Profit]]&lt;500,"Low")))</f>
        <v>Low</v>
      </c>
      <c r="N1960" s="7" t="str">
        <f>TEXT(Table1[[#This Row],[Order_Date]],"YYY")</f>
        <v>2026</v>
      </c>
    </row>
    <row r="1961" spans="1:14" x14ac:dyDescent="0.3">
      <c r="A1961" s="4">
        <v>46189</v>
      </c>
      <c r="B1961" s="5" t="s">
        <v>13</v>
      </c>
      <c r="C1961" s="5" t="s">
        <v>5</v>
      </c>
      <c r="D1961" s="23">
        <v>2145.94</v>
      </c>
      <c r="E1961" s="23">
        <v>945.77</v>
      </c>
      <c r="F1961" s="23">
        <v>1200.17</v>
      </c>
      <c r="G1961" s="5" t="s">
        <v>6</v>
      </c>
      <c r="H1961" s="5" t="s">
        <v>28</v>
      </c>
      <c r="I1961" s="5" t="s">
        <v>25</v>
      </c>
      <c r="J1961" s="6">
        <f>Table1[[#This Row],[Profit]]/Table1[[#This Row],[Sales]]</f>
        <v>0.55927472343122364</v>
      </c>
      <c r="K1961" s="5" t="str">
        <f t="shared" si="30"/>
        <v>High</v>
      </c>
      <c r="L1961" s="5" t="str">
        <f>TEXT(Table1[[#This Row],[Order_Date]],"MMM")</f>
        <v>Jun</v>
      </c>
      <c r="M1961" s="5" t="str">
        <f>IF(Table1[[#This Row],[Profit]]&gt;=1000,"Excellent",IF(Table1[[#This Row],[Profit]]&gt;=500,"Good", IF(Table1[[#This Row],[Profit]]&lt;500,"Low")))</f>
        <v>Excellent</v>
      </c>
      <c r="N1961" s="7" t="str">
        <f>TEXT(Table1[[#This Row],[Order_Date]],"YYY")</f>
        <v>2026</v>
      </c>
    </row>
    <row r="1962" spans="1:14" x14ac:dyDescent="0.3">
      <c r="A1962" s="4">
        <v>46189</v>
      </c>
      <c r="B1962" s="5" t="s">
        <v>16</v>
      </c>
      <c r="C1962" s="5" t="s">
        <v>31</v>
      </c>
      <c r="D1962" s="23">
        <v>228.95</v>
      </c>
      <c r="E1962" s="23">
        <v>56.08</v>
      </c>
      <c r="F1962" s="23">
        <v>172.87</v>
      </c>
      <c r="G1962" s="5" t="s">
        <v>32</v>
      </c>
      <c r="H1962" s="5" t="s">
        <v>12</v>
      </c>
      <c r="I1962" s="5" t="s">
        <v>11</v>
      </c>
      <c r="J1962" s="6">
        <f>Table1[[#This Row],[Profit]]/Table1[[#This Row],[Sales]]</f>
        <v>0.75505568901506881</v>
      </c>
      <c r="K1962" s="5" t="str">
        <f t="shared" si="30"/>
        <v>Low</v>
      </c>
      <c r="L1962" s="5" t="str">
        <f>TEXT(Table1[[#This Row],[Order_Date]],"MMM")</f>
        <v>Jun</v>
      </c>
      <c r="M1962" s="5" t="str">
        <f>IF(Table1[[#This Row],[Profit]]&gt;=1000,"Excellent",IF(Table1[[#This Row],[Profit]]&gt;=500,"Good", IF(Table1[[#This Row],[Profit]]&lt;500,"Low")))</f>
        <v>Low</v>
      </c>
      <c r="N1962" s="7" t="str">
        <f>TEXT(Table1[[#This Row],[Order_Date]],"YYY")</f>
        <v>2026</v>
      </c>
    </row>
    <row r="1963" spans="1:14" x14ac:dyDescent="0.3">
      <c r="A1963" s="4">
        <v>46189</v>
      </c>
      <c r="B1963" s="5" t="s">
        <v>18</v>
      </c>
      <c r="C1963" s="5" t="s">
        <v>19</v>
      </c>
      <c r="D1963" s="23">
        <v>14.1</v>
      </c>
      <c r="E1963" s="23">
        <v>4.22</v>
      </c>
      <c r="F1963" s="23">
        <v>9.8800000000000008</v>
      </c>
      <c r="G1963" s="5" t="s">
        <v>6</v>
      </c>
      <c r="H1963" s="5" t="s">
        <v>7</v>
      </c>
      <c r="I1963" s="5" t="s">
        <v>11</v>
      </c>
      <c r="J1963" s="6">
        <f>Table1[[#This Row],[Profit]]/Table1[[#This Row],[Sales]]</f>
        <v>0.70070921985815615</v>
      </c>
      <c r="K1963" s="5" t="str">
        <f t="shared" si="30"/>
        <v>Low</v>
      </c>
      <c r="L1963" s="5" t="str">
        <f>TEXT(Table1[[#This Row],[Order_Date]],"MMM")</f>
        <v>Jun</v>
      </c>
      <c r="M1963" s="5" t="str">
        <f>IF(Table1[[#This Row],[Profit]]&gt;=1000,"Excellent",IF(Table1[[#This Row],[Profit]]&gt;=500,"Good", IF(Table1[[#This Row],[Profit]]&lt;500,"Low")))</f>
        <v>Low</v>
      </c>
      <c r="N1963" s="7" t="str">
        <f>TEXT(Table1[[#This Row],[Order_Date]],"YYY")</f>
        <v>2026</v>
      </c>
    </row>
    <row r="1964" spans="1:14" x14ac:dyDescent="0.3">
      <c r="A1964" s="4">
        <v>46190</v>
      </c>
      <c r="B1964" s="5" t="s">
        <v>18</v>
      </c>
      <c r="C1964" s="5" t="s">
        <v>5</v>
      </c>
      <c r="D1964" s="23">
        <v>2396.0500000000002</v>
      </c>
      <c r="E1964" s="23">
        <v>977.75</v>
      </c>
      <c r="F1964" s="23">
        <v>1418.3</v>
      </c>
      <c r="G1964" s="5" t="s">
        <v>20</v>
      </c>
      <c r="H1964" s="5" t="s">
        <v>15</v>
      </c>
      <c r="I1964" s="5" t="s">
        <v>4</v>
      </c>
      <c r="J1964" s="6">
        <f>Table1[[#This Row],[Profit]]/Table1[[#This Row],[Sales]]</f>
        <v>0.59193255566453118</v>
      </c>
      <c r="K1964" s="5" t="str">
        <f t="shared" si="30"/>
        <v>High</v>
      </c>
      <c r="L1964" s="5" t="str">
        <f>TEXT(Table1[[#This Row],[Order_Date]],"MMM")</f>
        <v>Jun</v>
      </c>
      <c r="M1964" s="5" t="str">
        <f>IF(Table1[[#This Row],[Profit]]&gt;=1000,"Excellent",IF(Table1[[#This Row],[Profit]]&gt;=500,"Good", IF(Table1[[#This Row],[Profit]]&lt;500,"Low")))</f>
        <v>Excellent</v>
      </c>
      <c r="N1964" s="7" t="str">
        <f>TEXT(Table1[[#This Row],[Order_Date]],"YYY")</f>
        <v>2026</v>
      </c>
    </row>
    <row r="1965" spans="1:14" x14ac:dyDescent="0.3">
      <c r="A1965" s="4">
        <v>46190</v>
      </c>
      <c r="B1965" s="5" t="s">
        <v>16</v>
      </c>
      <c r="C1965" s="5" t="s">
        <v>1</v>
      </c>
      <c r="D1965" s="23">
        <v>849.11</v>
      </c>
      <c r="E1965" s="23">
        <v>433.83</v>
      </c>
      <c r="F1965" s="23">
        <v>415.28</v>
      </c>
      <c r="G1965" s="5" t="s">
        <v>32</v>
      </c>
      <c r="H1965" s="5" t="s">
        <v>21</v>
      </c>
      <c r="I1965" s="5" t="s">
        <v>17</v>
      </c>
      <c r="J1965" s="6">
        <f>Table1[[#This Row],[Profit]]/Table1[[#This Row],[Sales]]</f>
        <v>0.48907679805914422</v>
      </c>
      <c r="K1965" s="5" t="str">
        <f t="shared" si="30"/>
        <v>Low</v>
      </c>
      <c r="L1965" s="5" t="str">
        <f>TEXT(Table1[[#This Row],[Order_Date]],"MMM")</f>
        <v>Jun</v>
      </c>
      <c r="M1965" s="5" t="str">
        <f>IF(Table1[[#This Row],[Profit]]&gt;=1000,"Excellent",IF(Table1[[#This Row],[Profit]]&gt;=500,"Good", IF(Table1[[#This Row],[Profit]]&lt;500,"Low")))</f>
        <v>Low</v>
      </c>
      <c r="N1965" s="7" t="str">
        <f>TEXT(Table1[[#This Row],[Order_Date]],"YYY")</f>
        <v>2026</v>
      </c>
    </row>
    <row r="1966" spans="1:14" x14ac:dyDescent="0.3">
      <c r="A1966" s="4">
        <v>46190</v>
      </c>
      <c r="B1966" s="5" t="s">
        <v>18</v>
      </c>
      <c r="C1966" s="5" t="s">
        <v>23</v>
      </c>
      <c r="D1966" s="23">
        <v>830.39</v>
      </c>
      <c r="E1966" s="23">
        <v>332.31</v>
      </c>
      <c r="F1966" s="23">
        <v>498.08</v>
      </c>
      <c r="G1966" s="5" t="s">
        <v>2</v>
      </c>
      <c r="H1966" s="5" t="s">
        <v>30</v>
      </c>
      <c r="I1966" s="5" t="s">
        <v>22</v>
      </c>
      <c r="J1966" s="6">
        <f>Table1[[#This Row],[Profit]]/Table1[[#This Row],[Sales]]</f>
        <v>0.59981454497284403</v>
      </c>
      <c r="K1966" s="5" t="str">
        <f t="shared" si="30"/>
        <v>Low</v>
      </c>
      <c r="L1966" s="5" t="str">
        <f>TEXT(Table1[[#This Row],[Order_Date]],"MMM")</f>
        <v>Jun</v>
      </c>
      <c r="M1966" s="5" t="str">
        <f>IF(Table1[[#This Row],[Profit]]&gt;=1000,"Excellent",IF(Table1[[#This Row],[Profit]]&gt;=500,"Good", IF(Table1[[#This Row],[Profit]]&lt;500,"Low")))</f>
        <v>Low</v>
      </c>
      <c r="N1966" s="7" t="str">
        <f>TEXT(Table1[[#This Row],[Order_Date]],"YYY")</f>
        <v>2026</v>
      </c>
    </row>
    <row r="1967" spans="1:14" x14ac:dyDescent="0.3">
      <c r="A1967" s="4">
        <v>46192</v>
      </c>
      <c r="B1967" s="5" t="s">
        <v>8</v>
      </c>
      <c r="C1967" s="5" t="s">
        <v>1</v>
      </c>
      <c r="D1967" s="23">
        <v>538.30999999999995</v>
      </c>
      <c r="E1967" s="23">
        <v>273.69</v>
      </c>
      <c r="F1967" s="23">
        <v>264.62</v>
      </c>
      <c r="G1967" s="5" t="s">
        <v>9</v>
      </c>
      <c r="H1967" s="5" t="s">
        <v>3</v>
      </c>
      <c r="I1967" s="5" t="s">
        <v>17</v>
      </c>
      <c r="J1967" s="6">
        <f>Table1[[#This Row],[Profit]]/Table1[[#This Row],[Sales]]</f>
        <v>0.49157548624398589</v>
      </c>
      <c r="K1967" s="5" t="str">
        <f t="shared" si="30"/>
        <v>Low</v>
      </c>
      <c r="L1967" s="5" t="str">
        <f>TEXT(Table1[[#This Row],[Order_Date]],"MMM")</f>
        <v>Jun</v>
      </c>
      <c r="M1967" s="5" t="str">
        <f>IF(Table1[[#This Row],[Profit]]&gt;=1000,"Excellent",IF(Table1[[#This Row],[Profit]]&gt;=500,"Good", IF(Table1[[#This Row],[Profit]]&lt;500,"Low")))</f>
        <v>Low</v>
      </c>
      <c r="N1967" s="7" t="str">
        <f>TEXT(Table1[[#This Row],[Order_Date]],"YYY")</f>
        <v>2026</v>
      </c>
    </row>
    <row r="1968" spans="1:14" x14ac:dyDescent="0.3">
      <c r="A1968" s="4">
        <v>46192</v>
      </c>
      <c r="B1968" s="5" t="s">
        <v>13</v>
      </c>
      <c r="C1968" s="5" t="s">
        <v>14</v>
      </c>
      <c r="D1968" s="23">
        <v>216.44</v>
      </c>
      <c r="E1968" s="23">
        <v>90.72</v>
      </c>
      <c r="F1968" s="23">
        <v>125.72</v>
      </c>
      <c r="G1968" s="5" t="s">
        <v>20</v>
      </c>
      <c r="H1968" s="5" t="s">
        <v>30</v>
      </c>
      <c r="I1968" s="5" t="s">
        <v>22</v>
      </c>
      <c r="J1968" s="6">
        <f>Table1[[#This Row],[Profit]]/Table1[[#This Row],[Sales]]</f>
        <v>0.58085381630012933</v>
      </c>
      <c r="K1968" s="5" t="str">
        <f t="shared" si="30"/>
        <v>Low</v>
      </c>
      <c r="L1968" s="5" t="str">
        <f>TEXT(Table1[[#This Row],[Order_Date]],"MMM")</f>
        <v>Jun</v>
      </c>
      <c r="M1968" s="5" t="str">
        <f>IF(Table1[[#This Row],[Profit]]&gt;=1000,"Excellent",IF(Table1[[#This Row],[Profit]]&gt;=500,"Good", IF(Table1[[#This Row],[Profit]]&lt;500,"Low")))</f>
        <v>Low</v>
      </c>
      <c r="N1968" s="7" t="str">
        <f>TEXT(Table1[[#This Row],[Order_Date]],"YYY")</f>
        <v>2026</v>
      </c>
    </row>
    <row r="1969" spans="1:14" x14ac:dyDescent="0.3">
      <c r="A1969" s="4">
        <v>46192</v>
      </c>
      <c r="B1969" s="5" t="s">
        <v>0</v>
      </c>
      <c r="C1969" s="5" t="s">
        <v>1</v>
      </c>
      <c r="D1969" s="23">
        <v>1138.1400000000001</v>
      </c>
      <c r="E1969" s="23">
        <v>793.34</v>
      </c>
      <c r="F1969" s="23">
        <v>344.8</v>
      </c>
      <c r="G1969" s="5" t="s">
        <v>32</v>
      </c>
      <c r="H1969" s="5" t="s">
        <v>21</v>
      </c>
      <c r="I1969" s="5" t="s">
        <v>17</v>
      </c>
      <c r="J1969" s="6">
        <f>Table1[[#This Row],[Profit]]/Table1[[#This Row],[Sales]]</f>
        <v>0.30295042789112059</v>
      </c>
      <c r="K1969" s="5" t="str">
        <f t="shared" si="30"/>
        <v>Low</v>
      </c>
      <c r="L1969" s="5" t="str">
        <f>TEXT(Table1[[#This Row],[Order_Date]],"MMM")</f>
        <v>Jun</v>
      </c>
      <c r="M1969" s="5" t="str">
        <f>IF(Table1[[#This Row],[Profit]]&gt;=1000,"Excellent",IF(Table1[[#This Row],[Profit]]&gt;=500,"Good", IF(Table1[[#This Row],[Profit]]&lt;500,"Low")))</f>
        <v>Low</v>
      </c>
      <c r="N1969" s="7" t="str">
        <f>TEXT(Table1[[#This Row],[Order_Date]],"YYY")</f>
        <v>2026</v>
      </c>
    </row>
    <row r="1970" spans="1:14" x14ac:dyDescent="0.3">
      <c r="A1970" s="4">
        <v>46192</v>
      </c>
      <c r="B1970" s="5" t="s">
        <v>18</v>
      </c>
      <c r="C1970" s="5" t="s">
        <v>1</v>
      </c>
      <c r="D1970" s="23">
        <v>504.23</v>
      </c>
      <c r="E1970" s="23">
        <v>235.11</v>
      </c>
      <c r="F1970" s="23">
        <v>269.12</v>
      </c>
      <c r="G1970" s="5" t="s">
        <v>6</v>
      </c>
      <c r="H1970" s="5" t="s">
        <v>29</v>
      </c>
      <c r="I1970" s="5" t="s">
        <v>27</v>
      </c>
      <c r="J1970" s="6">
        <f>Table1[[#This Row],[Profit]]/Table1[[#This Row],[Sales]]</f>
        <v>0.53372468912996052</v>
      </c>
      <c r="K1970" s="5" t="str">
        <f t="shared" si="30"/>
        <v>Low</v>
      </c>
      <c r="L1970" s="5" t="str">
        <f>TEXT(Table1[[#This Row],[Order_Date]],"MMM")</f>
        <v>Jun</v>
      </c>
      <c r="M1970" s="5" t="str">
        <f>IF(Table1[[#This Row],[Profit]]&gt;=1000,"Excellent",IF(Table1[[#This Row],[Profit]]&gt;=500,"Good", IF(Table1[[#This Row],[Profit]]&lt;500,"Low")))</f>
        <v>Low</v>
      </c>
      <c r="N1970" s="7" t="str">
        <f>TEXT(Table1[[#This Row],[Order_Date]],"YYY")</f>
        <v>2026</v>
      </c>
    </row>
    <row r="1971" spans="1:14" x14ac:dyDescent="0.3">
      <c r="A1971" s="4">
        <v>46193</v>
      </c>
      <c r="B1971" s="5" t="s">
        <v>0</v>
      </c>
      <c r="C1971" s="5" t="s">
        <v>5</v>
      </c>
      <c r="D1971" s="23">
        <v>2284.79</v>
      </c>
      <c r="E1971" s="23">
        <v>982.99</v>
      </c>
      <c r="F1971" s="23">
        <v>1301.8</v>
      </c>
      <c r="G1971" s="5" t="s">
        <v>6</v>
      </c>
      <c r="H1971" s="5" t="s">
        <v>21</v>
      </c>
      <c r="I1971" s="5" t="s">
        <v>4</v>
      </c>
      <c r="J1971" s="6">
        <f>Table1[[#This Row],[Profit]]/Table1[[#This Row],[Sales]]</f>
        <v>0.56976789989451981</v>
      </c>
      <c r="K1971" s="5" t="str">
        <f t="shared" si="30"/>
        <v>High</v>
      </c>
      <c r="L1971" s="5" t="str">
        <f>TEXT(Table1[[#This Row],[Order_Date]],"MMM")</f>
        <v>Jun</v>
      </c>
      <c r="M1971" s="5" t="str">
        <f>IF(Table1[[#This Row],[Profit]]&gt;=1000,"Excellent",IF(Table1[[#This Row],[Profit]]&gt;=500,"Good", IF(Table1[[#This Row],[Profit]]&lt;500,"Low")))</f>
        <v>Excellent</v>
      </c>
      <c r="N1971" s="7" t="str">
        <f>TEXT(Table1[[#This Row],[Order_Date]],"YYY")</f>
        <v>2026</v>
      </c>
    </row>
    <row r="1972" spans="1:14" x14ac:dyDescent="0.3">
      <c r="A1972" s="4">
        <v>46194</v>
      </c>
      <c r="B1972" s="5" t="s">
        <v>18</v>
      </c>
      <c r="C1972" s="5" t="s">
        <v>26</v>
      </c>
      <c r="D1972" s="23">
        <v>964.98</v>
      </c>
      <c r="E1972" s="23">
        <v>388.38</v>
      </c>
      <c r="F1972" s="23">
        <v>576.6</v>
      </c>
      <c r="G1972" s="5" t="s">
        <v>32</v>
      </c>
      <c r="H1972" s="5" t="s">
        <v>24</v>
      </c>
      <c r="I1972" s="5" t="s">
        <v>22</v>
      </c>
      <c r="J1972" s="6">
        <f>Table1[[#This Row],[Profit]]/Table1[[#This Row],[Sales]]</f>
        <v>0.59752533731269042</v>
      </c>
      <c r="K1972" s="5" t="str">
        <f t="shared" si="30"/>
        <v>Low</v>
      </c>
      <c r="L1972" s="5" t="str">
        <f>TEXT(Table1[[#This Row],[Order_Date]],"MMM")</f>
        <v>Jun</v>
      </c>
      <c r="M1972" s="5" t="str">
        <f>IF(Table1[[#This Row],[Profit]]&gt;=1000,"Excellent",IF(Table1[[#This Row],[Profit]]&gt;=500,"Good", IF(Table1[[#This Row],[Profit]]&lt;500,"Low")))</f>
        <v>Good</v>
      </c>
      <c r="N1972" s="7" t="str">
        <f>TEXT(Table1[[#This Row],[Order_Date]],"YYY")</f>
        <v>2026</v>
      </c>
    </row>
    <row r="1973" spans="1:14" x14ac:dyDescent="0.3">
      <c r="A1973" s="4">
        <v>46194</v>
      </c>
      <c r="B1973" s="5" t="s">
        <v>16</v>
      </c>
      <c r="C1973" s="5" t="s">
        <v>31</v>
      </c>
      <c r="D1973" s="23">
        <v>213.09</v>
      </c>
      <c r="E1973" s="23">
        <v>66.22</v>
      </c>
      <c r="F1973" s="23">
        <v>146.87</v>
      </c>
      <c r="G1973" s="5" t="s">
        <v>9</v>
      </c>
      <c r="H1973" s="5" t="s">
        <v>10</v>
      </c>
      <c r="I1973" s="5" t="s">
        <v>4</v>
      </c>
      <c r="J1973" s="6">
        <f>Table1[[#This Row],[Profit]]/Table1[[#This Row],[Sales]]</f>
        <v>0.68923928856351779</v>
      </c>
      <c r="K1973" s="5" t="str">
        <f t="shared" si="30"/>
        <v>Low</v>
      </c>
      <c r="L1973" s="5" t="str">
        <f>TEXT(Table1[[#This Row],[Order_Date]],"MMM")</f>
        <v>Jun</v>
      </c>
      <c r="M1973" s="5" t="str">
        <f>IF(Table1[[#This Row],[Profit]]&gt;=1000,"Excellent",IF(Table1[[#This Row],[Profit]]&gt;=500,"Good", IF(Table1[[#This Row],[Profit]]&lt;500,"Low")))</f>
        <v>Low</v>
      </c>
      <c r="N1973" s="7" t="str">
        <f>TEXT(Table1[[#This Row],[Order_Date]],"YYY")</f>
        <v>2026</v>
      </c>
    </row>
    <row r="1974" spans="1:14" x14ac:dyDescent="0.3">
      <c r="A1974" s="4">
        <v>46195</v>
      </c>
      <c r="B1974" s="5" t="s">
        <v>13</v>
      </c>
      <c r="C1974" s="5" t="s">
        <v>5</v>
      </c>
      <c r="D1974" s="23">
        <v>1771.3</v>
      </c>
      <c r="E1974" s="23">
        <v>816.54</v>
      </c>
      <c r="F1974" s="23">
        <v>954.76</v>
      </c>
      <c r="G1974" s="5" t="s">
        <v>20</v>
      </c>
      <c r="H1974" s="5" t="s">
        <v>21</v>
      </c>
      <c r="I1974" s="5" t="s">
        <v>25</v>
      </c>
      <c r="J1974" s="6">
        <f>Table1[[#This Row],[Profit]]/Table1[[#This Row],[Sales]]</f>
        <v>0.53901654152317513</v>
      </c>
      <c r="K1974" s="5" t="str">
        <f t="shared" si="30"/>
        <v>Medium</v>
      </c>
      <c r="L1974" s="5" t="str">
        <f>TEXT(Table1[[#This Row],[Order_Date]],"MMM")</f>
        <v>Jun</v>
      </c>
      <c r="M1974" s="5" t="str">
        <f>IF(Table1[[#This Row],[Profit]]&gt;=1000,"Excellent",IF(Table1[[#This Row],[Profit]]&gt;=500,"Good", IF(Table1[[#This Row],[Profit]]&lt;500,"Low")))</f>
        <v>Good</v>
      </c>
      <c r="N1974" s="7" t="str">
        <f>TEXT(Table1[[#This Row],[Order_Date]],"YYY")</f>
        <v>2026</v>
      </c>
    </row>
    <row r="1975" spans="1:14" x14ac:dyDescent="0.3">
      <c r="A1975" s="4">
        <v>46196</v>
      </c>
      <c r="B1975" s="5" t="s">
        <v>8</v>
      </c>
      <c r="C1975" s="5" t="s">
        <v>19</v>
      </c>
      <c r="D1975" s="23">
        <v>59.15</v>
      </c>
      <c r="E1975" s="23">
        <v>18.920000000000002</v>
      </c>
      <c r="F1975" s="23">
        <v>40.229999999999997</v>
      </c>
      <c r="G1975" s="5" t="s">
        <v>32</v>
      </c>
      <c r="H1975" s="5" t="s">
        <v>28</v>
      </c>
      <c r="I1975" s="5" t="s">
        <v>27</v>
      </c>
      <c r="J1975" s="6">
        <f>Table1[[#This Row],[Profit]]/Table1[[#This Row],[Sales]]</f>
        <v>0.68013524936601855</v>
      </c>
      <c r="K1975" s="5" t="str">
        <f t="shared" si="30"/>
        <v>Low</v>
      </c>
      <c r="L1975" s="5" t="str">
        <f>TEXT(Table1[[#This Row],[Order_Date]],"MMM")</f>
        <v>Jun</v>
      </c>
      <c r="M1975" s="5" t="str">
        <f>IF(Table1[[#This Row],[Profit]]&gt;=1000,"Excellent",IF(Table1[[#This Row],[Profit]]&gt;=500,"Good", IF(Table1[[#This Row],[Profit]]&lt;500,"Low")))</f>
        <v>Low</v>
      </c>
      <c r="N1975" s="7" t="str">
        <f>TEXT(Table1[[#This Row],[Order_Date]],"YYY")</f>
        <v>2026</v>
      </c>
    </row>
    <row r="1976" spans="1:14" x14ac:dyDescent="0.3">
      <c r="A1976" s="4">
        <v>46196</v>
      </c>
      <c r="B1976" s="5" t="s">
        <v>13</v>
      </c>
      <c r="C1976" s="5" t="s">
        <v>19</v>
      </c>
      <c r="D1976" s="23">
        <v>28.36</v>
      </c>
      <c r="E1976" s="23">
        <v>9.19</v>
      </c>
      <c r="F1976" s="23">
        <v>19.170000000000002</v>
      </c>
      <c r="G1976" s="5" t="s">
        <v>6</v>
      </c>
      <c r="H1976" s="5" t="s">
        <v>24</v>
      </c>
      <c r="I1976" s="5" t="s">
        <v>25</v>
      </c>
      <c r="J1976" s="6">
        <f>Table1[[#This Row],[Profit]]/Table1[[#This Row],[Sales]]</f>
        <v>0.67595204513399165</v>
      </c>
      <c r="K1976" s="5" t="str">
        <f t="shared" si="30"/>
        <v>Low</v>
      </c>
      <c r="L1976" s="5" t="str">
        <f>TEXT(Table1[[#This Row],[Order_Date]],"MMM")</f>
        <v>Jun</v>
      </c>
      <c r="M1976" s="5" t="str">
        <f>IF(Table1[[#This Row],[Profit]]&gt;=1000,"Excellent",IF(Table1[[#This Row],[Profit]]&gt;=500,"Good", IF(Table1[[#This Row],[Profit]]&lt;500,"Low")))</f>
        <v>Low</v>
      </c>
      <c r="N1976" s="7" t="str">
        <f>TEXT(Table1[[#This Row],[Order_Date]],"YYY")</f>
        <v>2026</v>
      </c>
    </row>
    <row r="1977" spans="1:14" x14ac:dyDescent="0.3">
      <c r="A1977" s="4">
        <v>46197</v>
      </c>
      <c r="B1977" s="5" t="s">
        <v>8</v>
      </c>
      <c r="C1977" s="5" t="s">
        <v>1</v>
      </c>
      <c r="D1977" s="23">
        <v>1234.8</v>
      </c>
      <c r="E1977" s="23">
        <v>771.94</v>
      </c>
      <c r="F1977" s="23">
        <v>462.86</v>
      </c>
      <c r="G1977" s="5" t="s">
        <v>32</v>
      </c>
      <c r="H1977" s="5" t="s">
        <v>10</v>
      </c>
      <c r="I1977" s="5" t="s">
        <v>22</v>
      </c>
      <c r="J1977" s="6">
        <f>Table1[[#This Row],[Profit]]/Table1[[#This Row],[Sales]]</f>
        <v>0.37484612892776159</v>
      </c>
      <c r="K1977" s="5" t="str">
        <f t="shared" si="30"/>
        <v>Low</v>
      </c>
      <c r="L1977" s="5" t="str">
        <f>TEXT(Table1[[#This Row],[Order_Date]],"MMM")</f>
        <v>Jun</v>
      </c>
      <c r="M1977" s="5" t="str">
        <f>IF(Table1[[#This Row],[Profit]]&gt;=1000,"Excellent",IF(Table1[[#This Row],[Profit]]&gt;=500,"Good", IF(Table1[[#This Row],[Profit]]&lt;500,"Low")))</f>
        <v>Low</v>
      </c>
      <c r="N1977" s="7" t="str">
        <f>TEXT(Table1[[#This Row],[Order_Date]],"YYY")</f>
        <v>2026</v>
      </c>
    </row>
    <row r="1978" spans="1:14" x14ac:dyDescent="0.3">
      <c r="A1978" s="4">
        <v>46197</v>
      </c>
      <c r="B1978" s="5" t="s">
        <v>8</v>
      </c>
      <c r="C1978" s="5" t="s">
        <v>14</v>
      </c>
      <c r="D1978" s="23">
        <v>295.14999999999998</v>
      </c>
      <c r="E1978" s="23">
        <v>117.71</v>
      </c>
      <c r="F1978" s="23">
        <v>177.44</v>
      </c>
      <c r="G1978" s="5" t="s">
        <v>6</v>
      </c>
      <c r="H1978" s="5" t="s">
        <v>21</v>
      </c>
      <c r="I1978" s="5" t="s">
        <v>4</v>
      </c>
      <c r="J1978" s="6">
        <f>Table1[[#This Row],[Profit]]/Table1[[#This Row],[Sales]]</f>
        <v>0.60118583770963918</v>
      </c>
      <c r="K1978" s="5" t="str">
        <f t="shared" si="30"/>
        <v>Low</v>
      </c>
      <c r="L1978" s="5" t="str">
        <f>TEXT(Table1[[#This Row],[Order_Date]],"MMM")</f>
        <v>Jun</v>
      </c>
      <c r="M1978" s="5" t="str">
        <f>IF(Table1[[#This Row],[Profit]]&gt;=1000,"Excellent",IF(Table1[[#This Row],[Profit]]&gt;=500,"Good", IF(Table1[[#This Row],[Profit]]&lt;500,"Low")))</f>
        <v>Low</v>
      </c>
      <c r="N1978" s="7" t="str">
        <f>TEXT(Table1[[#This Row],[Order_Date]],"YYY")</f>
        <v>2026</v>
      </c>
    </row>
    <row r="1979" spans="1:14" x14ac:dyDescent="0.3">
      <c r="A1979" s="4">
        <v>46199</v>
      </c>
      <c r="B1979" s="5" t="s">
        <v>0</v>
      </c>
      <c r="C1979" s="5" t="s">
        <v>14</v>
      </c>
      <c r="D1979" s="23">
        <v>206.97</v>
      </c>
      <c r="E1979" s="23">
        <v>110.73</v>
      </c>
      <c r="F1979" s="23">
        <v>96.24</v>
      </c>
      <c r="G1979" s="5" t="s">
        <v>9</v>
      </c>
      <c r="H1979" s="5" t="s">
        <v>33</v>
      </c>
      <c r="I1979" s="5" t="s">
        <v>27</v>
      </c>
      <c r="J1979" s="6">
        <f>Table1[[#This Row],[Profit]]/Table1[[#This Row],[Sales]]</f>
        <v>0.46499492680098564</v>
      </c>
      <c r="K1979" s="5" t="str">
        <f t="shared" si="30"/>
        <v>Low</v>
      </c>
      <c r="L1979" s="5" t="str">
        <f>TEXT(Table1[[#This Row],[Order_Date]],"MMM")</f>
        <v>Jun</v>
      </c>
      <c r="M1979" s="5" t="str">
        <f>IF(Table1[[#This Row],[Profit]]&gt;=1000,"Excellent",IF(Table1[[#This Row],[Profit]]&gt;=500,"Good", IF(Table1[[#This Row],[Profit]]&lt;500,"Low")))</f>
        <v>Low</v>
      </c>
      <c r="N1979" s="7" t="str">
        <f>TEXT(Table1[[#This Row],[Order_Date]],"YYY")</f>
        <v>2026</v>
      </c>
    </row>
    <row r="1980" spans="1:14" x14ac:dyDescent="0.3">
      <c r="A1980" s="4">
        <v>46199</v>
      </c>
      <c r="B1980" s="5" t="s">
        <v>16</v>
      </c>
      <c r="C1980" s="5" t="s">
        <v>14</v>
      </c>
      <c r="D1980" s="23">
        <v>194.04</v>
      </c>
      <c r="E1980" s="23">
        <v>79.2</v>
      </c>
      <c r="F1980" s="23">
        <v>114.84</v>
      </c>
      <c r="G1980" s="5" t="s">
        <v>6</v>
      </c>
      <c r="H1980" s="5" t="s">
        <v>37</v>
      </c>
      <c r="I1980" s="5" t="s">
        <v>27</v>
      </c>
      <c r="J1980" s="6">
        <f>Table1[[#This Row],[Profit]]/Table1[[#This Row],[Sales]]</f>
        <v>0.59183673469387754</v>
      </c>
      <c r="K1980" s="5" t="str">
        <f t="shared" si="30"/>
        <v>Low</v>
      </c>
      <c r="L1980" s="5" t="str">
        <f>TEXT(Table1[[#This Row],[Order_Date]],"MMM")</f>
        <v>Jun</v>
      </c>
      <c r="M1980" s="5" t="str">
        <f>IF(Table1[[#This Row],[Profit]]&gt;=1000,"Excellent",IF(Table1[[#This Row],[Profit]]&gt;=500,"Good", IF(Table1[[#This Row],[Profit]]&lt;500,"Low")))</f>
        <v>Low</v>
      </c>
      <c r="N1980" s="7" t="str">
        <f>TEXT(Table1[[#This Row],[Order_Date]],"YYY")</f>
        <v>2026</v>
      </c>
    </row>
    <row r="1981" spans="1:14" x14ac:dyDescent="0.3">
      <c r="A1981" s="4">
        <v>46201</v>
      </c>
      <c r="B1981" s="5" t="s">
        <v>18</v>
      </c>
      <c r="C1981" s="5" t="s">
        <v>14</v>
      </c>
      <c r="D1981" s="23">
        <v>327.69</v>
      </c>
      <c r="E1981" s="23">
        <v>123.16</v>
      </c>
      <c r="F1981" s="23">
        <v>204.53</v>
      </c>
      <c r="G1981" s="5" t="s">
        <v>32</v>
      </c>
      <c r="H1981" s="5" t="s">
        <v>29</v>
      </c>
      <c r="I1981" s="5" t="s">
        <v>17</v>
      </c>
      <c r="J1981" s="6">
        <f>Table1[[#This Row],[Profit]]/Table1[[#This Row],[Sales]]</f>
        <v>0.62415697763129785</v>
      </c>
      <c r="K1981" s="5" t="str">
        <f t="shared" si="30"/>
        <v>Low</v>
      </c>
      <c r="L1981" s="5" t="str">
        <f>TEXT(Table1[[#This Row],[Order_Date]],"MMM")</f>
        <v>Jun</v>
      </c>
      <c r="M1981" s="5" t="str">
        <f>IF(Table1[[#This Row],[Profit]]&gt;=1000,"Excellent",IF(Table1[[#This Row],[Profit]]&gt;=500,"Good", IF(Table1[[#This Row],[Profit]]&lt;500,"Low")))</f>
        <v>Low</v>
      </c>
      <c r="N1981" s="7" t="str">
        <f>TEXT(Table1[[#This Row],[Order_Date]],"YYY")</f>
        <v>2026</v>
      </c>
    </row>
    <row r="1982" spans="1:14" x14ac:dyDescent="0.3">
      <c r="A1982" s="4">
        <v>46202</v>
      </c>
      <c r="B1982" s="5" t="s">
        <v>16</v>
      </c>
      <c r="C1982" s="5" t="s">
        <v>23</v>
      </c>
      <c r="D1982" s="23">
        <v>132.24</v>
      </c>
      <c r="E1982" s="23">
        <v>52.09</v>
      </c>
      <c r="F1982" s="23">
        <v>80.150000000000006</v>
      </c>
      <c r="G1982" s="5" t="s">
        <v>9</v>
      </c>
      <c r="H1982" s="5" t="s">
        <v>10</v>
      </c>
      <c r="I1982" s="5" t="s">
        <v>4</v>
      </c>
      <c r="J1982" s="6">
        <f>Table1[[#This Row],[Profit]]/Table1[[#This Row],[Sales]]</f>
        <v>0.60609497882637631</v>
      </c>
      <c r="K1982" s="5" t="str">
        <f t="shared" si="30"/>
        <v>Low</v>
      </c>
      <c r="L1982" s="5" t="str">
        <f>TEXT(Table1[[#This Row],[Order_Date]],"MMM")</f>
        <v>Jun</v>
      </c>
      <c r="M1982" s="5" t="str">
        <f>IF(Table1[[#This Row],[Profit]]&gt;=1000,"Excellent",IF(Table1[[#This Row],[Profit]]&gt;=500,"Good", IF(Table1[[#This Row],[Profit]]&lt;500,"Low")))</f>
        <v>Low</v>
      </c>
      <c r="N1982" s="7" t="str">
        <f>TEXT(Table1[[#This Row],[Order_Date]],"YYY")</f>
        <v>2026</v>
      </c>
    </row>
    <row r="1983" spans="1:14" x14ac:dyDescent="0.3">
      <c r="A1983" s="4">
        <v>46203</v>
      </c>
      <c r="B1983" s="5" t="s">
        <v>16</v>
      </c>
      <c r="C1983" s="5" t="s">
        <v>5</v>
      </c>
      <c r="D1983" s="23">
        <v>1184.75</v>
      </c>
      <c r="E1983" s="23">
        <v>505.14</v>
      </c>
      <c r="F1983" s="23">
        <v>679.61</v>
      </c>
      <c r="G1983" s="5" t="s">
        <v>32</v>
      </c>
      <c r="H1983" s="5" t="s">
        <v>34</v>
      </c>
      <c r="I1983" s="5" t="s">
        <v>17</v>
      </c>
      <c r="J1983" s="6">
        <f>Table1[[#This Row],[Profit]]/Table1[[#This Row],[Sales]]</f>
        <v>0.57363156784131675</v>
      </c>
      <c r="K1983" s="5" t="str">
        <f t="shared" si="30"/>
        <v>Low</v>
      </c>
      <c r="L1983" s="5" t="str">
        <f>TEXT(Table1[[#This Row],[Order_Date]],"MMM")</f>
        <v>Jun</v>
      </c>
      <c r="M1983" s="5" t="str">
        <f>IF(Table1[[#This Row],[Profit]]&gt;=1000,"Excellent",IF(Table1[[#This Row],[Profit]]&gt;=500,"Good", IF(Table1[[#This Row],[Profit]]&lt;500,"Low")))</f>
        <v>Good</v>
      </c>
      <c r="N1983" s="7" t="str">
        <f>TEXT(Table1[[#This Row],[Order_Date]],"YYY")</f>
        <v>2026</v>
      </c>
    </row>
    <row r="1984" spans="1:14" x14ac:dyDescent="0.3">
      <c r="A1984" s="4">
        <v>46203</v>
      </c>
      <c r="B1984" s="5" t="s">
        <v>16</v>
      </c>
      <c r="C1984" s="5" t="s">
        <v>14</v>
      </c>
      <c r="D1984" s="23">
        <v>307.63</v>
      </c>
      <c r="E1984" s="23">
        <v>119.73</v>
      </c>
      <c r="F1984" s="23">
        <v>187.9</v>
      </c>
      <c r="G1984" s="5" t="s">
        <v>6</v>
      </c>
      <c r="H1984" s="5" t="s">
        <v>15</v>
      </c>
      <c r="I1984" s="5" t="s">
        <v>22</v>
      </c>
      <c r="J1984" s="6">
        <f>Table1[[#This Row],[Profit]]/Table1[[#This Row],[Sales]]</f>
        <v>0.61079868673406368</v>
      </c>
      <c r="K1984" s="5" t="str">
        <f t="shared" si="30"/>
        <v>Low</v>
      </c>
      <c r="L1984" s="5" t="str">
        <f>TEXT(Table1[[#This Row],[Order_Date]],"MMM")</f>
        <v>Jun</v>
      </c>
      <c r="M1984" s="5" t="str">
        <f>IF(Table1[[#This Row],[Profit]]&gt;=1000,"Excellent",IF(Table1[[#This Row],[Profit]]&gt;=500,"Good", IF(Table1[[#This Row],[Profit]]&lt;500,"Low")))</f>
        <v>Low</v>
      </c>
      <c r="N1984" s="7" t="str">
        <f>TEXT(Table1[[#This Row],[Order_Date]],"YYY")</f>
        <v>2026</v>
      </c>
    </row>
    <row r="1985" spans="1:14" x14ac:dyDescent="0.3">
      <c r="A1985" s="4">
        <v>46204</v>
      </c>
      <c r="B1985" s="5" t="s">
        <v>8</v>
      </c>
      <c r="C1985" s="5" t="s">
        <v>14</v>
      </c>
      <c r="D1985" s="23">
        <v>25.28</v>
      </c>
      <c r="E1985" s="23">
        <v>12.7</v>
      </c>
      <c r="F1985" s="23">
        <v>12.58</v>
      </c>
      <c r="G1985" s="5" t="s">
        <v>32</v>
      </c>
      <c r="H1985" s="5" t="s">
        <v>33</v>
      </c>
      <c r="I1985" s="5" t="s">
        <v>17</v>
      </c>
      <c r="J1985" s="6">
        <f>Table1[[#This Row],[Profit]]/Table1[[#This Row],[Sales]]</f>
        <v>0.497626582278481</v>
      </c>
      <c r="K1985" s="5" t="str">
        <f t="shared" si="30"/>
        <v>Low</v>
      </c>
      <c r="L1985" s="5" t="str">
        <f>TEXT(Table1[[#This Row],[Order_Date]],"MMM")</f>
        <v>Jul</v>
      </c>
      <c r="M1985" s="5" t="str">
        <f>IF(Table1[[#This Row],[Profit]]&gt;=1000,"Excellent",IF(Table1[[#This Row],[Profit]]&gt;=500,"Good", IF(Table1[[#This Row],[Profit]]&lt;500,"Low")))</f>
        <v>Low</v>
      </c>
      <c r="N1985" s="7" t="str">
        <f>TEXT(Table1[[#This Row],[Order_Date]],"YYY")</f>
        <v>2026</v>
      </c>
    </row>
    <row r="1986" spans="1:14" x14ac:dyDescent="0.3">
      <c r="A1986" s="4">
        <v>46204</v>
      </c>
      <c r="B1986" s="5" t="s">
        <v>18</v>
      </c>
      <c r="C1986" s="5" t="s">
        <v>31</v>
      </c>
      <c r="D1986" s="23">
        <v>259.13</v>
      </c>
      <c r="E1986" s="23">
        <v>78.010000000000005</v>
      </c>
      <c r="F1986" s="23">
        <v>181.12</v>
      </c>
      <c r="G1986" s="5" t="s">
        <v>2</v>
      </c>
      <c r="H1986" s="5" t="s">
        <v>12</v>
      </c>
      <c r="I1986" s="5" t="s">
        <v>17</v>
      </c>
      <c r="J1986" s="6">
        <f>Table1[[#This Row],[Profit]]/Table1[[#This Row],[Sales]]</f>
        <v>0.69895419287616256</v>
      </c>
      <c r="K1986" s="5" t="str">
        <f t="shared" ref="K1986:K2001" si="31">IF(D1986&gt;=2000,"High",IF(D1986&gt;=1500,"Medium","Low"))</f>
        <v>Low</v>
      </c>
      <c r="L1986" s="5" t="str">
        <f>TEXT(Table1[[#This Row],[Order_Date]],"MMM")</f>
        <v>Jul</v>
      </c>
      <c r="M1986" s="5" t="str">
        <f>IF(Table1[[#This Row],[Profit]]&gt;=1000,"Excellent",IF(Table1[[#This Row],[Profit]]&gt;=500,"Good", IF(Table1[[#This Row],[Profit]]&lt;500,"Low")))</f>
        <v>Low</v>
      </c>
      <c r="N1986" s="7" t="str">
        <f>TEXT(Table1[[#This Row],[Order_Date]],"YYY")</f>
        <v>2026</v>
      </c>
    </row>
    <row r="1987" spans="1:14" x14ac:dyDescent="0.3">
      <c r="A1987" s="4">
        <v>46204</v>
      </c>
      <c r="B1987" s="5" t="s">
        <v>18</v>
      </c>
      <c r="C1987" s="5" t="s">
        <v>1</v>
      </c>
      <c r="D1987" s="23">
        <v>1014.83</v>
      </c>
      <c r="E1987" s="23">
        <v>515.04</v>
      </c>
      <c r="F1987" s="23">
        <v>499.79</v>
      </c>
      <c r="G1987" s="5" t="s">
        <v>20</v>
      </c>
      <c r="H1987" s="5" t="s">
        <v>10</v>
      </c>
      <c r="I1987" s="5" t="s">
        <v>27</v>
      </c>
      <c r="J1987" s="6">
        <f>Table1[[#This Row],[Profit]]/Table1[[#This Row],[Sales]]</f>
        <v>0.49248642629800066</v>
      </c>
      <c r="K1987" s="5" t="str">
        <f t="shared" si="31"/>
        <v>Low</v>
      </c>
      <c r="L1987" s="5" t="str">
        <f>TEXT(Table1[[#This Row],[Order_Date]],"MMM")</f>
        <v>Jul</v>
      </c>
      <c r="M1987" s="5" t="str">
        <f>IF(Table1[[#This Row],[Profit]]&gt;=1000,"Excellent",IF(Table1[[#This Row],[Profit]]&gt;=500,"Good", IF(Table1[[#This Row],[Profit]]&lt;500,"Low")))</f>
        <v>Low</v>
      </c>
      <c r="N1987" s="7" t="str">
        <f>TEXT(Table1[[#This Row],[Order_Date]],"YYY")</f>
        <v>2026</v>
      </c>
    </row>
    <row r="1988" spans="1:14" x14ac:dyDescent="0.3">
      <c r="A1988" s="4">
        <v>46205</v>
      </c>
      <c r="B1988" s="5" t="s">
        <v>13</v>
      </c>
      <c r="C1988" s="5" t="s">
        <v>19</v>
      </c>
      <c r="D1988" s="23">
        <v>38.409999999999997</v>
      </c>
      <c r="E1988" s="23">
        <v>8.92</v>
      </c>
      <c r="F1988" s="23">
        <v>29.49</v>
      </c>
      <c r="G1988" s="5" t="s">
        <v>20</v>
      </c>
      <c r="H1988" s="5" t="s">
        <v>37</v>
      </c>
      <c r="I1988" s="5" t="s">
        <v>27</v>
      </c>
      <c r="J1988" s="6">
        <f>Table1[[#This Row],[Profit]]/Table1[[#This Row],[Sales]]</f>
        <v>0.76776881020567567</v>
      </c>
      <c r="K1988" s="5" t="str">
        <f t="shared" si="31"/>
        <v>Low</v>
      </c>
      <c r="L1988" s="5" t="str">
        <f>TEXT(Table1[[#This Row],[Order_Date]],"MMM")</f>
        <v>Jul</v>
      </c>
      <c r="M1988" s="5" t="str">
        <f>IF(Table1[[#This Row],[Profit]]&gt;=1000,"Excellent",IF(Table1[[#This Row],[Profit]]&gt;=500,"Good", IF(Table1[[#This Row],[Profit]]&lt;500,"Low")))</f>
        <v>Low</v>
      </c>
      <c r="N1988" s="7" t="str">
        <f>TEXT(Table1[[#This Row],[Order_Date]],"YYY")</f>
        <v>2026</v>
      </c>
    </row>
    <row r="1989" spans="1:14" x14ac:dyDescent="0.3">
      <c r="A1989" s="4">
        <v>46206</v>
      </c>
      <c r="B1989" s="5" t="s">
        <v>18</v>
      </c>
      <c r="C1989" s="5" t="s">
        <v>5</v>
      </c>
      <c r="D1989" s="23">
        <v>1604.32</v>
      </c>
      <c r="E1989" s="23">
        <v>517.41</v>
      </c>
      <c r="F1989" s="23">
        <v>1086.9100000000001</v>
      </c>
      <c r="G1989" s="5" t="s">
        <v>2</v>
      </c>
      <c r="H1989" s="5" t="s">
        <v>35</v>
      </c>
      <c r="I1989" s="5" t="s">
        <v>4</v>
      </c>
      <c r="J1989" s="6">
        <f>Table1[[#This Row],[Profit]]/Table1[[#This Row],[Sales]]</f>
        <v>0.67748952827366116</v>
      </c>
      <c r="K1989" s="5" t="str">
        <f t="shared" si="31"/>
        <v>Medium</v>
      </c>
      <c r="L1989" s="5" t="str">
        <f>TEXT(Table1[[#This Row],[Order_Date]],"MMM")</f>
        <v>Jul</v>
      </c>
      <c r="M1989" s="5" t="str">
        <f>IF(Table1[[#This Row],[Profit]]&gt;=1000,"Excellent",IF(Table1[[#This Row],[Profit]]&gt;=500,"Good", IF(Table1[[#This Row],[Profit]]&lt;500,"Low")))</f>
        <v>Excellent</v>
      </c>
      <c r="N1989" s="7" t="str">
        <f>TEXT(Table1[[#This Row],[Order_Date]],"YYY")</f>
        <v>2026</v>
      </c>
    </row>
    <row r="1990" spans="1:14" x14ac:dyDescent="0.3">
      <c r="A1990" s="4">
        <v>46206</v>
      </c>
      <c r="B1990" s="5" t="s">
        <v>8</v>
      </c>
      <c r="C1990" s="5" t="s">
        <v>19</v>
      </c>
      <c r="D1990" s="23">
        <v>97.94</v>
      </c>
      <c r="E1990" s="23">
        <v>30.74</v>
      </c>
      <c r="F1990" s="23">
        <v>67.2</v>
      </c>
      <c r="G1990" s="5" t="s">
        <v>20</v>
      </c>
      <c r="H1990" s="5" t="s">
        <v>37</v>
      </c>
      <c r="I1990" s="5" t="s">
        <v>22</v>
      </c>
      <c r="J1990" s="6">
        <f>Table1[[#This Row],[Profit]]/Table1[[#This Row],[Sales]]</f>
        <v>0.68613436798039618</v>
      </c>
      <c r="K1990" s="5" t="str">
        <f t="shared" si="31"/>
        <v>Low</v>
      </c>
      <c r="L1990" s="5" t="str">
        <f>TEXT(Table1[[#This Row],[Order_Date]],"MMM")</f>
        <v>Jul</v>
      </c>
      <c r="M1990" s="5" t="str">
        <f>IF(Table1[[#This Row],[Profit]]&gt;=1000,"Excellent",IF(Table1[[#This Row],[Profit]]&gt;=500,"Good", IF(Table1[[#This Row],[Profit]]&lt;500,"Low")))</f>
        <v>Low</v>
      </c>
      <c r="N1990" s="7" t="str">
        <f>TEXT(Table1[[#This Row],[Order_Date]],"YYY")</f>
        <v>2026</v>
      </c>
    </row>
    <row r="1991" spans="1:14" x14ac:dyDescent="0.3">
      <c r="A1991" s="4">
        <v>46206</v>
      </c>
      <c r="B1991" s="5" t="s">
        <v>8</v>
      </c>
      <c r="C1991" s="5" t="s">
        <v>1</v>
      </c>
      <c r="D1991" s="23">
        <v>144.93</v>
      </c>
      <c r="E1991" s="23">
        <v>77.16</v>
      </c>
      <c r="F1991" s="23">
        <v>67.77</v>
      </c>
      <c r="G1991" s="5" t="s">
        <v>9</v>
      </c>
      <c r="H1991" s="5" t="s">
        <v>35</v>
      </c>
      <c r="I1991" s="5" t="s">
        <v>11</v>
      </c>
      <c r="J1991" s="6">
        <f>Table1[[#This Row],[Profit]]/Table1[[#This Row],[Sales]]</f>
        <v>0.46760505071413783</v>
      </c>
      <c r="K1991" s="5" t="str">
        <f t="shared" si="31"/>
        <v>Low</v>
      </c>
      <c r="L1991" s="5" t="str">
        <f>TEXT(Table1[[#This Row],[Order_Date]],"MMM")</f>
        <v>Jul</v>
      </c>
      <c r="M1991" s="5" t="str">
        <f>IF(Table1[[#This Row],[Profit]]&gt;=1000,"Excellent",IF(Table1[[#This Row],[Profit]]&gt;=500,"Good", IF(Table1[[#This Row],[Profit]]&lt;500,"Low")))</f>
        <v>Low</v>
      </c>
      <c r="N1991" s="7" t="str">
        <f>TEXT(Table1[[#This Row],[Order_Date]],"YYY")</f>
        <v>2026</v>
      </c>
    </row>
    <row r="1992" spans="1:14" x14ac:dyDescent="0.3">
      <c r="A1992" s="4">
        <v>46206</v>
      </c>
      <c r="B1992" s="5" t="s">
        <v>16</v>
      </c>
      <c r="C1992" s="5" t="s">
        <v>31</v>
      </c>
      <c r="D1992" s="23">
        <v>111.6</v>
      </c>
      <c r="E1992" s="23">
        <v>38.29</v>
      </c>
      <c r="F1992" s="23">
        <v>73.31</v>
      </c>
      <c r="G1992" s="5" t="s">
        <v>20</v>
      </c>
      <c r="H1992" s="5" t="s">
        <v>7</v>
      </c>
      <c r="I1992" s="5" t="s">
        <v>22</v>
      </c>
      <c r="J1992" s="6">
        <f>Table1[[#This Row],[Profit]]/Table1[[#This Row],[Sales]]</f>
        <v>0.65689964157706093</v>
      </c>
      <c r="K1992" s="5" t="str">
        <f t="shared" si="31"/>
        <v>Low</v>
      </c>
      <c r="L1992" s="5" t="str">
        <f>TEXT(Table1[[#This Row],[Order_Date]],"MMM")</f>
        <v>Jul</v>
      </c>
      <c r="M1992" s="5" t="str">
        <f>IF(Table1[[#This Row],[Profit]]&gt;=1000,"Excellent",IF(Table1[[#This Row],[Profit]]&gt;=500,"Good", IF(Table1[[#This Row],[Profit]]&lt;500,"Low")))</f>
        <v>Low</v>
      </c>
      <c r="N1992" s="7" t="str">
        <f>TEXT(Table1[[#This Row],[Order_Date]],"YYY")</f>
        <v>2026</v>
      </c>
    </row>
    <row r="1993" spans="1:14" x14ac:dyDescent="0.3">
      <c r="A1993" s="4">
        <v>46206</v>
      </c>
      <c r="B1993" s="5" t="s">
        <v>16</v>
      </c>
      <c r="C1993" s="5" t="s">
        <v>5</v>
      </c>
      <c r="D1993" s="23">
        <v>1064.31</v>
      </c>
      <c r="E1993" s="23">
        <v>522.58000000000004</v>
      </c>
      <c r="F1993" s="23">
        <v>541.73</v>
      </c>
      <c r="G1993" s="5" t="s">
        <v>32</v>
      </c>
      <c r="H1993" s="5" t="s">
        <v>15</v>
      </c>
      <c r="I1993" s="5" t="s">
        <v>17</v>
      </c>
      <c r="J1993" s="6">
        <f>Table1[[#This Row],[Profit]]/Table1[[#This Row],[Sales]]</f>
        <v>0.50899643900743208</v>
      </c>
      <c r="K1993" s="5" t="str">
        <f t="shared" si="31"/>
        <v>Low</v>
      </c>
      <c r="L1993" s="5" t="str">
        <f>TEXT(Table1[[#This Row],[Order_Date]],"MMM")</f>
        <v>Jul</v>
      </c>
      <c r="M1993" s="5" t="str">
        <f>IF(Table1[[#This Row],[Profit]]&gt;=1000,"Excellent",IF(Table1[[#This Row],[Profit]]&gt;=500,"Good", IF(Table1[[#This Row],[Profit]]&lt;500,"Low")))</f>
        <v>Good</v>
      </c>
      <c r="N1993" s="7" t="str">
        <f>TEXT(Table1[[#This Row],[Order_Date]],"YYY")</f>
        <v>2026</v>
      </c>
    </row>
    <row r="1994" spans="1:14" x14ac:dyDescent="0.3">
      <c r="A1994" s="4">
        <v>46207</v>
      </c>
      <c r="B1994" s="5" t="s">
        <v>13</v>
      </c>
      <c r="C1994" s="5" t="s">
        <v>5</v>
      </c>
      <c r="D1994" s="23">
        <v>1255.96</v>
      </c>
      <c r="E1994" s="23">
        <v>570.92999999999995</v>
      </c>
      <c r="F1994" s="23">
        <v>685.03</v>
      </c>
      <c r="G1994" s="5" t="s">
        <v>32</v>
      </c>
      <c r="H1994" s="5" t="s">
        <v>29</v>
      </c>
      <c r="I1994" s="5" t="s">
        <v>27</v>
      </c>
      <c r="J1994" s="6">
        <f>Table1[[#This Row],[Profit]]/Table1[[#This Row],[Sales]]</f>
        <v>0.54542342112806141</v>
      </c>
      <c r="K1994" s="5" t="str">
        <f t="shared" si="31"/>
        <v>Low</v>
      </c>
      <c r="L1994" s="5" t="str">
        <f>TEXT(Table1[[#This Row],[Order_Date]],"MMM")</f>
        <v>Jul</v>
      </c>
      <c r="M1994" s="5" t="str">
        <f>IF(Table1[[#This Row],[Profit]]&gt;=1000,"Excellent",IF(Table1[[#This Row],[Profit]]&gt;=500,"Good", IF(Table1[[#This Row],[Profit]]&lt;500,"Low")))</f>
        <v>Good</v>
      </c>
      <c r="N1994" s="7" t="str">
        <f>TEXT(Table1[[#This Row],[Order_Date]],"YYY")</f>
        <v>2026</v>
      </c>
    </row>
    <row r="1995" spans="1:14" x14ac:dyDescent="0.3">
      <c r="A1995" s="4">
        <v>46207</v>
      </c>
      <c r="B1995" s="5" t="s">
        <v>8</v>
      </c>
      <c r="C1995" s="5" t="s">
        <v>5</v>
      </c>
      <c r="D1995" s="23">
        <v>1271.94</v>
      </c>
      <c r="E1995" s="23">
        <v>447.61</v>
      </c>
      <c r="F1995" s="23">
        <v>824.33</v>
      </c>
      <c r="G1995" s="5" t="s">
        <v>20</v>
      </c>
      <c r="H1995" s="5" t="s">
        <v>24</v>
      </c>
      <c r="I1995" s="5" t="s">
        <v>22</v>
      </c>
      <c r="J1995" s="6">
        <f>Table1[[#This Row],[Profit]]/Table1[[#This Row],[Sales]]</f>
        <v>0.64808874632451219</v>
      </c>
      <c r="K1995" s="5" t="str">
        <f t="shared" si="31"/>
        <v>Low</v>
      </c>
      <c r="L1995" s="5" t="str">
        <f>TEXT(Table1[[#This Row],[Order_Date]],"MMM")</f>
        <v>Jul</v>
      </c>
      <c r="M1995" s="5" t="str">
        <f>IF(Table1[[#This Row],[Profit]]&gt;=1000,"Excellent",IF(Table1[[#This Row],[Profit]]&gt;=500,"Good", IF(Table1[[#This Row],[Profit]]&lt;500,"Low")))</f>
        <v>Good</v>
      </c>
      <c r="N1995" s="7" t="str">
        <f>TEXT(Table1[[#This Row],[Order_Date]],"YYY")</f>
        <v>2026</v>
      </c>
    </row>
    <row r="1996" spans="1:14" x14ac:dyDescent="0.3">
      <c r="A1996" s="4">
        <v>46208</v>
      </c>
      <c r="B1996" s="5" t="s">
        <v>18</v>
      </c>
      <c r="C1996" s="5" t="s">
        <v>31</v>
      </c>
      <c r="D1996" s="23">
        <v>32.5</v>
      </c>
      <c r="E1996" s="23">
        <v>8.0399999999999991</v>
      </c>
      <c r="F1996" s="23">
        <v>24.46</v>
      </c>
      <c r="G1996" s="5" t="s">
        <v>6</v>
      </c>
      <c r="H1996" s="5" t="s">
        <v>37</v>
      </c>
      <c r="I1996" s="5" t="s">
        <v>17</v>
      </c>
      <c r="J1996" s="6">
        <f>Table1[[#This Row],[Profit]]/Table1[[#This Row],[Sales]]</f>
        <v>0.75261538461538469</v>
      </c>
      <c r="K1996" s="5" t="str">
        <f t="shared" si="31"/>
        <v>Low</v>
      </c>
      <c r="L1996" s="5" t="str">
        <f>TEXT(Table1[[#This Row],[Order_Date]],"MMM")</f>
        <v>Jul</v>
      </c>
      <c r="M1996" s="5" t="str">
        <f>IF(Table1[[#This Row],[Profit]]&gt;=1000,"Excellent",IF(Table1[[#This Row],[Profit]]&gt;=500,"Good", IF(Table1[[#This Row],[Profit]]&lt;500,"Low")))</f>
        <v>Low</v>
      </c>
      <c r="N1996" s="7" t="str">
        <f>TEXT(Table1[[#This Row],[Order_Date]],"YYY")</f>
        <v>2026</v>
      </c>
    </row>
    <row r="1997" spans="1:14" x14ac:dyDescent="0.3">
      <c r="A1997" s="4">
        <v>46208</v>
      </c>
      <c r="B1997" s="5" t="s">
        <v>18</v>
      </c>
      <c r="C1997" s="5" t="s">
        <v>26</v>
      </c>
      <c r="D1997" s="23">
        <v>985.32</v>
      </c>
      <c r="E1997" s="23">
        <v>377.81</v>
      </c>
      <c r="F1997" s="23">
        <v>607.51</v>
      </c>
      <c r="G1997" s="5" t="s">
        <v>9</v>
      </c>
      <c r="H1997" s="5" t="s">
        <v>10</v>
      </c>
      <c r="I1997" s="5" t="s">
        <v>4</v>
      </c>
      <c r="J1997" s="6">
        <f>Table1[[#This Row],[Profit]]/Table1[[#This Row],[Sales]]</f>
        <v>0.61656111720050333</v>
      </c>
      <c r="K1997" s="5" t="str">
        <f t="shared" si="31"/>
        <v>Low</v>
      </c>
      <c r="L1997" s="5" t="str">
        <f>TEXT(Table1[[#This Row],[Order_Date]],"MMM")</f>
        <v>Jul</v>
      </c>
      <c r="M1997" s="5" t="str">
        <f>IF(Table1[[#This Row],[Profit]]&gt;=1000,"Excellent",IF(Table1[[#This Row],[Profit]]&gt;=500,"Good", IF(Table1[[#This Row],[Profit]]&lt;500,"Low")))</f>
        <v>Good</v>
      </c>
      <c r="N1997" s="7" t="str">
        <f>TEXT(Table1[[#This Row],[Order_Date]],"YYY")</f>
        <v>2026</v>
      </c>
    </row>
    <row r="1998" spans="1:14" x14ac:dyDescent="0.3">
      <c r="A1998" s="4">
        <v>46208</v>
      </c>
      <c r="B1998" s="5" t="s">
        <v>13</v>
      </c>
      <c r="C1998" s="5" t="s">
        <v>31</v>
      </c>
      <c r="D1998" s="23">
        <v>298.32</v>
      </c>
      <c r="E1998" s="23">
        <v>79.88</v>
      </c>
      <c r="F1998" s="23">
        <v>218.44</v>
      </c>
      <c r="G1998" s="5" t="s">
        <v>20</v>
      </c>
      <c r="H1998" s="5" t="s">
        <v>7</v>
      </c>
      <c r="I1998" s="5" t="s">
        <v>4</v>
      </c>
      <c r="J1998" s="6">
        <f>Table1[[#This Row],[Profit]]/Table1[[#This Row],[Sales]]</f>
        <v>0.73223384285331183</v>
      </c>
      <c r="K1998" s="5" t="str">
        <f t="shared" si="31"/>
        <v>Low</v>
      </c>
      <c r="L1998" s="5" t="str">
        <f>TEXT(Table1[[#This Row],[Order_Date]],"MMM")</f>
        <v>Jul</v>
      </c>
      <c r="M1998" s="5" t="str">
        <f>IF(Table1[[#This Row],[Profit]]&gt;=1000,"Excellent",IF(Table1[[#This Row],[Profit]]&gt;=500,"Good", IF(Table1[[#This Row],[Profit]]&lt;500,"Low")))</f>
        <v>Low</v>
      </c>
      <c r="N1998" s="7" t="str">
        <f>TEXT(Table1[[#This Row],[Order_Date]],"YYY")</f>
        <v>2026</v>
      </c>
    </row>
    <row r="1999" spans="1:14" x14ac:dyDescent="0.3">
      <c r="A1999" s="4">
        <v>46208</v>
      </c>
      <c r="B1999" s="5" t="s">
        <v>8</v>
      </c>
      <c r="C1999" s="5" t="s">
        <v>26</v>
      </c>
      <c r="D1999" s="23">
        <v>831.08</v>
      </c>
      <c r="E1999" s="23">
        <v>268.82</v>
      </c>
      <c r="F1999" s="23">
        <v>562.26</v>
      </c>
      <c r="G1999" s="5" t="s">
        <v>6</v>
      </c>
      <c r="H1999" s="5" t="s">
        <v>15</v>
      </c>
      <c r="I1999" s="5" t="s">
        <v>25</v>
      </c>
      <c r="J1999" s="6">
        <f>Table1[[#This Row],[Profit]]/Table1[[#This Row],[Sales]]</f>
        <v>0.6765413678586899</v>
      </c>
      <c r="K1999" s="5" t="str">
        <f t="shared" si="31"/>
        <v>Low</v>
      </c>
      <c r="L1999" s="5" t="str">
        <f>TEXT(Table1[[#This Row],[Order_Date]],"MMM")</f>
        <v>Jul</v>
      </c>
      <c r="M1999" s="5" t="str">
        <f>IF(Table1[[#This Row],[Profit]]&gt;=1000,"Excellent",IF(Table1[[#This Row],[Profit]]&gt;=500,"Good", IF(Table1[[#This Row],[Profit]]&lt;500,"Low")))</f>
        <v>Good</v>
      </c>
      <c r="N1999" s="7" t="str">
        <f>TEXT(Table1[[#This Row],[Order_Date]],"YYY")</f>
        <v>2026</v>
      </c>
    </row>
    <row r="2000" spans="1:14" x14ac:dyDescent="0.3">
      <c r="A2000" s="4">
        <v>46208</v>
      </c>
      <c r="B2000" s="5" t="s">
        <v>8</v>
      </c>
      <c r="C2000" s="5" t="s">
        <v>26</v>
      </c>
      <c r="D2000" s="23">
        <v>1165.1099999999999</v>
      </c>
      <c r="E2000" s="23">
        <v>434.61</v>
      </c>
      <c r="F2000" s="23">
        <v>730.5</v>
      </c>
      <c r="G2000" s="5" t="s">
        <v>6</v>
      </c>
      <c r="H2000" s="5" t="s">
        <v>28</v>
      </c>
      <c r="I2000" s="5" t="s">
        <v>25</v>
      </c>
      <c r="J2000" s="6">
        <f>Table1[[#This Row],[Profit]]/Table1[[#This Row],[Sales]]</f>
        <v>0.62697942683523444</v>
      </c>
      <c r="K2000" s="5" t="str">
        <f t="shared" si="31"/>
        <v>Low</v>
      </c>
      <c r="L2000" s="5" t="str">
        <f>TEXT(Table1[[#This Row],[Order_Date]],"MMM")</f>
        <v>Jul</v>
      </c>
      <c r="M2000" s="5" t="str">
        <f>IF(Table1[[#This Row],[Profit]]&gt;=1000,"Excellent",IF(Table1[[#This Row],[Profit]]&gt;=500,"Good", IF(Table1[[#This Row],[Profit]]&lt;500,"Low")))</f>
        <v>Good</v>
      </c>
      <c r="N2000" s="7" t="str">
        <f>TEXT(Table1[[#This Row],[Order_Date]],"YYY")</f>
        <v>2026</v>
      </c>
    </row>
    <row r="2001" spans="1:14" x14ac:dyDescent="0.3">
      <c r="A2001" s="8">
        <v>46209</v>
      </c>
      <c r="B2001" s="9" t="s">
        <v>8</v>
      </c>
      <c r="C2001" s="9" t="s">
        <v>31</v>
      </c>
      <c r="D2001" s="24">
        <v>220.77</v>
      </c>
      <c r="E2001" s="24">
        <v>60.36</v>
      </c>
      <c r="F2001" s="24">
        <v>160.41</v>
      </c>
      <c r="G2001" s="9" t="s">
        <v>2</v>
      </c>
      <c r="H2001" s="9" t="s">
        <v>10</v>
      </c>
      <c r="I2001" s="9" t="s">
        <v>27</v>
      </c>
      <c r="J2001" s="10">
        <f>Table1[[#This Row],[Profit]]/Table1[[#This Row],[Sales]]</f>
        <v>0.7265932871314037</v>
      </c>
      <c r="K2001" s="9" t="str">
        <f t="shared" si="31"/>
        <v>Low</v>
      </c>
      <c r="L2001" s="9" t="str">
        <f>TEXT(Table1[[#This Row],[Order_Date]],"MMM")</f>
        <v>Jul</v>
      </c>
      <c r="M2001" s="9" t="str">
        <f>IF(Table1[[#This Row],[Profit]]&gt;=1000,"Excellent",IF(Table1[[#This Row],[Profit]]&gt;=500,"Good", IF(Table1[[#This Row],[Profit]]&lt;500,"Low")))</f>
        <v>Low</v>
      </c>
      <c r="N2001" s="11" t="str">
        <f>TEXT(Table1[[#This Row],[Order_Date]],"YYY")</f>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B36C-9444-451B-842F-37B4DF0F636E}">
  <dimension ref="A1:M28"/>
  <sheetViews>
    <sheetView topLeftCell="B1" workbookViewId="0">
      <selection activeCell="L13" sqref="L13"/>
    </sheetView>
  </sheetViews>
  <sheetFormatPr defaultRowHeight="14.4" x14ac:dyDescent="0.3"/>
  <cols>
    <col min="1" max="1" width="17.6640625" bestFit="1" customWidth="1"/>
    <col min="2" max="2" width="12.109375" style="25" bestFit="1" customWidth="1"/>
    <col min="4" max="4" width="14.6640625" bestFit="1" customWidth="1"/>
    <col min="5" max="5" width="13.21875" bestFit="1" customWidth="1"/>
    <col min="6" max="6" width="15.33203125" bestFit="1" customWidth="1"/>
    <col min="7" max="7" width="11.21875" bestFit="1" customWidth="1"/>
    <col min="8" max="8" width="12.109375" bestFit="1" customWidth="1"/>
    <col min="9" max="9" width="12.77734375" bestFit="1" customWidth="1"/>
    <col min="10" max="10" width="14.109375" bestFit="1" customWidth="1"/>
    <col min="11" max="11" width="14.33203125" bestFit="1" customWidth="1"/>
    <col min="12" max="12" width="24.44140625" bestFit="1" customWidth="1"/>
    <col min="13" max="13" width="12.77734375" bestFit="1" customWidth="1"/>
  </cols>
  <sheetData>
    <row r="1" spans="1:13" x14ac:dyDescent="0.3">
      <c r="A1" s="12" t="s">
        <v>52</v>
      </c>
      <c r="D1" s="12" t="s">
        <v>53</v>
      </c>
      <c r="I1" s="12" t="s">
        <v>54</v>
      </c>
    </row>
    <row r="2" spans="1:13" x14ac:dyDescent="0.3">
      <c r="A2" s="20" t="s">
        <v>55</v>
      </c>
      <c r="B2" s="23" t="s">
        <v>56</v>
      </c>
      <c r="C2" s="19"/>
      <c r="D2" s="20" t="s">
        <v>55</v>
      </c>
      <c r="E2" s="5" t="s">
        <v>56</v>
      </c>
      <c r="F2" s="31" t="s">
        <v>55</v>
      </c>
      <c r="G2" s="31" t="s">
        <v>56</v>
      </c>
      <c r="H2" s="19"/>
      <c r="I2" s="20" t="s">
        <v>55</v>
      </c>
      <c r="J2" s="27" t="s">
        <v>56</v>
      </c>
    </row>
    <row r="3" spans="1:13" x14ac:dyDescent="0.3">
      <c r="A3" s="13" t="s">
        <v>13</v>
      </c>
      <c r="B3" s="23">
        <v>203133.96999999988</v>
      </c>
      <c r="D3" s="13" t="s">
        <v>24</v>
      </c>
      <c r="E3" s="23">
        <v>61748.280000000021</v>
      </c>
      <c r="F3" s="30" t="str">
        <f>D3</f>
        <v>Aditi Sharma</v>
      </c>
      <c r="G3" s="30">
        <f>GETPIVOTDATA("Sales",$E$3,"Salesperson",F3)</f>
        <v>61748.280000000021</v>
      </c>
      <c r="I3" s="13" t="s">
        <v>32</v>
      </c>
      <c r="J3" s="27">
        <v>214910.44999999984</v>
      </c>
    </row>
    <row r="4" spans="1:13" x14ac:dyDescent="0.3">
      <c r="A4" s="13" t="s">
        <v>0</v>
      </c>
      <c r="B4" s="23">
        <v>209603.58999999985</v>
      </c>
      <c r="D4" s="13" t="s">
        <v>33</v>
      </c>
      <c r="E4" s="23">
        <v>62475.620000000017</v>
      </c>
      <c r="F4" s="30" t="str">
        <f t="shared" ref="F4:F17" si="0">D4</f>
        <v>Anna Kowalski</v>
      </c>
      <c r="G4" s="30">
        <f t="shared" ref="G4:G17" si="1">GETPIVOTDATA("Sales",$E$3,"Salesperson",F4)</f>
        <v>62475.620000000017</v>
      </c>
      <c r="I4" s="13" t="s">
        <v>9</v>
      </c>
      <c r="J4" s="27">
        <v>197728.97999999992</v>
      </c>
      <c r="L4" s="31" t="s">
        <v>55</v>
      </c>
      <c r="M4" s="29" t="s">
        <v>56</v>
      </c>
    </row>
    <row r="5" spans="1:13" x14ac:dyDescent="0.3">
      <c r="A5" s="36" t="s">
        <v>18</v>
      </c>
      <c r="B5" s="34">
        <v>249747.28000000006</v>
      </c>
      <c r="D5" s="13" t="s">
        <v>21</v>
      </c>
      <c r="E5" s="23">
        <v>77933.830000000016</v>
      </c>
      <c r="F5" s="30" t="str">
        <f t="shared" si="0"/>
        <v>Carlos Rodriguez</v>
      </c>
      <c r="G5" s="30">
        <f t="shared" si="1"/>
        <v>77933.830000000016</v>
      </c>
      <c r="I5" s="13" t="s">
        <v>20</v>
      </c>
      <c r="J5" s="27">
        <v>199516.37999999989</v>
      </c>
      <c r="L5" t="str">
        <f>I3</f>
        <v>Consumer</v>
      </c>
      <c r="M5" s="43">
        <f>GETPIVOTDATA("Sales",$I$2,"Customer_Segment",L5)</f>
        <v>214910.44999999984</v>
      </c>
    </row>
    <row r="6" spans="1:13" x14ac:dyDescent="0.3">
      <c r="A6" s="37" t="s">
        <v>16</v>
      </c>
      <c r="B6" s="35">
        <v>177343.23999999993</v>
      </c>
      <c r="D6" s="13" t="s">
        <v>12</v>
      </c>
      <c r="E6" s="23">
        <v>78091.039999999964</v>
      </c>
      <c r="F6" s="30" t="str">
        <f t="shared" si="0"/>
        <v>David Kim</v>
      </c>
      <c r="G6" s="30">
        <f t="shared" si="1"/>
        <v>78091.039999999964</v>
      </c>
      <c r="I6" s="13" t="s">
        <v>6</v>
      </c>
      <c r="J6" s="27">
        <v>216572.12999999992</v>
      </c>
      <c r="L6" t="str">
        <f>I4</f>
        <v>Corporate</v>
      </c>
      <c r="M6" s="43">
        <f t="shared" ref="M6:M9" si="2">GETPIVOTDATA("Sales",$I$2,"Customer_Segment",L6)</f>
        <v>197728.97999999992</v>
      </c>
    </row>
    <row r="7" spans="1:13" x14ac:dyDescent="0.3">
      <c r="A7" s="38" t="s">
        <v>8</v>
      </c>
      <c r="B7" s="22">
        <v>219451.50999999995</v>
      </c>
      <c r="D7" s="13" t="s">
        <v>29</v>
      </c>
      <c r="E7" s="23">
        <v>67786.929999999993</v>
      </c>
      <c r="F7" s="30" t="str">
        <f t="shared" si="0"/>
        <v>Fatima Al-Farsi</v>
      </c>
      <c r="G7" s="30">
        <f t="shared" si="1"/>
        <v>67786.929999999993</v>
      </c>
      <c r="I7" s="15" t="s">
        <v>2</v>
      </c>
      <c r="J7" s="28">
        <v>230551.64999999988</v>
      </c>
      <c r="L7" t="str">
        <f>I5</f>
        <v>Enterprise</v>
      </c>
      <c r="M7" s="43">
        <f t="shared" si="2"/>
        <v>199516.37999999989</v>
      </c>
    </row>
    <row r="8" spans="1:13" x14ac:dyDescent="0.3">
      <c r="A8" s="38" t="s">
        <v>57</v>
      </c>
      <c r="B8" s="22">
        <v>1059279.5899999996</v>
      </c>
      <c r="D8" s="13" t="s">
        <v>35</v>
      </c>
      <c r="E8" s="23">
        <v>76703.309999999983</v>
      </c>
      <c r="F8" s="30" t="str">
        <f t="shared" si="0"/>
        <v>Grace Okafor</v>
      </c>
      <c r="G8" s="30">
        <f t="shared" si="1"/>
        <v>76703.309999999983</v>
      </c>
      <c r="I8" s="13" t="s">
        <v>57</v>
      </c>
      <c r="J8" s="27">
        <v>1059279.5899999994</v>
      </c>
      <c r="L8" t="str">
        <f>I6</f>
        <v>Home Office</v>
      </c>
      <c r="M8" s="43">
        <f t="shared" si="2"/>
        <v>216572.12999999992</v>
      </c>
    </row>
    <row r="9" spans="1:13" x14ac:dyDescent="0.3">
      <c r="D9" s="13" t="s">
        <v>28</v>
      </c>
      <c r="E9" s="23">
        <v>70467.110000000044</v>
      </c>
      <c r="F9" s="30" t="str">
        <f t="shared" si="0"/>
        <v>James O'Brien</v>
      </c>
      <c r="G9" s="30">
        <f t="shared" si="1"/>
        <v>70467.110000000044</v>
      </c>
      <c r="L9" t="str">
        <f>I7</f>
        <v>Small Business</v>
      </c>
      <c r="M9" s="43">
        <f t="shared" si="2"/>
        <v>230551.64999999988</v>
      </c>
    </row>
    <row r="10" spans="1:13" x14ac:dyDescent="0.3">
      <c r="A10" s="17" t="s">
        <v>58</v>
      </c>
      <c r="D10" s="13" t="s">
        <v>30</v>
      </c>
      <c r="E10" s="23">
        <v>65128.599999999962</v>
      </c>
      <c r="F10" s="30" t="str">
        <f t="shared" si="0"/>
        <v>John Mitchell</v>
      </c>
      <c r="G10" s="30">
        <f t="shared" si="1"/>
        <v>65128.599999999962</v>
      </c>
    </row>
    <row r="11" spans="1:13" x14ac:dyDescent="0.3">
      <c r="A11" s="20" t="s">
        <v>55</v>
      </c>
      <c r="B11" s="23" t="s">
        <v>59</v>
      </c>
      <c r="C11" s="19"/>
      <c r="D11" s="13" t="s">
        <v>36</v>
      </c>
      <c r="E11" s="23">
        <v>62846.35</v>
      </c>
      <c r="F11" s="30" t="str">
        <f t="shared" si="0"/>
        <v>Liam Walsh</v>
      </c>
      <c r="G11" s="30">
        <f t="shared" si="1"/>
        <v>62846.35</v>
      </c>
      <c r="H11" s="19"/>
      <c r="I11" s="21" t="s">
        <v>60</v>
      </c>
      <c r="J11" s="21"/>
    </row>
    <row r="12" spans="1:13" x14ac:dyDescent="0.3">
      <c r="A12" s="13" t="s">
        <v>14</v>
      </c>
      <c r="B12" s="23">
        <v>35895.65</v>
      </c>
      <c r="D12" s="13" t="s">
        <v>34</v>
      </c>
      <c r="E12" s="23">
        <v>69322.210000000006</v>
      </c>
      <c r="F12" s="30" t="str">
        <f t="shared" si="0"/>
        <v>Maria Garcia</v>
      </c>
      <c r="G12" s="30">
        <f t="shared" si="1"/>
        <v>69322.210000000006</v>
      </c>
      <c r="I12" s="39" t="s">
        <v>61</v>
      </c>
      <c r="K12" s="39" t="s">
        <v>68</v>
      </c>
    </row>
    <row r="13" spans="1:13" x14ac:dyDescent="0.3">
      <c r="A13" s="13" t="s">
        <v>26</v>
      </c>
      <c r="B13" s="23">
        <v>119678.31999999996</v>
      </c>
      <c r="D13" s="13" t="s">
        <v>7</v>
      </c>
      <c r="E13" s="23">
        <v>73290.12</v>
      </c>
      <c r="F13" s="30" t="str">
        <f t="shared" si="0"/>
        <v>Michael Brown</v>
      </c>
      <c r="G13" s="30">
        <f t="shared" si="1"/>
        <v>73290.12</v>
      </c>
      <c r="I13" s="18">
        <v>529.63979500000028</v>
      </c>
      <c r="K13" s="18">
        <v>223.70872499999939</v>
      </c>
    </row>
    <row r="14" spans="1:13" x14ac:dyDescent="0.3">
      <c r="A14" s="13" t="s">
        <v>19</v>
      </c>
      <c r="B14" s="23">
        <v>13333.409999999985</v>
      </c>
      <c r="D14" s="15" t="s">
        <v>3</v>
      </c>
      <c r="E14" s="26">
        <v>81808.719999999943</v>
      </c>
      <c r="F14" s="30" t="str">
        <f t="shared" si="0"/>
        <v>Priya Nair</v>
      </c>
      <c r="G14" s="30">
        <f t="shared" si="1"/>
        <v>81808.719999999943</v>
      </c>
    </row>
    <row r="15" spans="1:13" x14ac:dyDescent="0.3">
      <c r="A15" s="15" t="s">
        <v>5</v>
      </c>
      <c r="B15" s="26">
        <v>229841.36999999991</v>
      </c>
      <c r="D15" s="13" t="s">
        <v>10</v>
      </c>
      <c r="E15" s="23">
        <v>75506.570000000007</v>
      </c>
      <c r="F15" s="30" t="str">
        <f t="shared" si="0"/>
        <v>Ravi Patel</v>
      </c>
      <c r="G15" s="30">
        <f t="shared" si="1"/>
        <v>75506.570000000007</v>
      </c>
      <c r="I15" s="17" t="s">
        <v>62</v>
      </c>
    </row>
    <row r="16" spans="1:13" x14ac:dyDescent="0.3">
      <c r="A16" s="13" t="s">
        <v>23</v>
      </c>
      <c r="B16" s="23">
        <v>84519.099999999977</v>
      </c>
      <c r="D16" s="13" t="s">
        <v>15</v>
      </c>
      <c r="E16" s="23">
        <v>61563.02</v>
      </c>
      <c r="F16" s="30" t="str">
        <f t="shared" si="0"/>
        <v>Sarah Thompson</v>
      </c>
      <c r="G16" s="30">
        <f t="shared" si="1"/>
        <v>61563.02</v>
      </c>
    </row>
    <row r="17" spans="1:12" x14ac:dyDescent="0.3">
      <c r="A17" s="13" t="s">
        <v>31</v>
      </c>
      <c r="B17" s="23">
        <v>30556.81</v>
      </c>
      <c r="D17" s="13" t="s">
        <v>37</v>
      </c>
      <c r="E17" s="23">
        <v>74607.880000000019</v>
      </c>
      <c r="F17" s="30" t="str">
        <f t="shared" si="0"/>
        <v>Wei Chen</v>
      </c>
      <c r="G17" s="30">
        <f t="shared" si="1"/>
        <v>74607.880000000019</v>
      </c>
    </row>
    <row r="18" spans="1:12" x14ac:dyDescent="0.3">
      <c r="A18" s="13" t="s">
        <v>1</v>
      </c>
      <c r="B18" s="23">
        <v>98037.48000000004</v>
      </c>
      <c r="D18" s="13" t="s">
        <v>57</v>
      </c>
      <c r="E18" s="23">
        <v>1059279.5900000001</v>
      </c>
      <c r="F18" s="30"/>
      <c r="G18" s="30"/>
    </row>
    <row r="19" spans="1:12" x14ac:dyDescent="0.3">
      <c r="A19" s="13" t="s">
        <v>57</v>
      </c>
      <c r="B19" s="23">
        <v>611862.1399999999</v>
      </c>
      <c r="G19" s="39" t="s">
        <v>67</v>
      </c>
      <c r="I19" s="17"/>
    </row>
    <row r="20" spans="1:12" x14ac:dyDescent="0.3">
      <c r="D20" s="17" t="s">
        <v>64</v>
      </c>
      <c r="G20" s="42">
        <v>305.93106999999986</v>
      </c>
      <c r="I20" s="39" t="s">
        <v>65</v>
      </c>
    </row>
    <row r="21" spans="1:12" x14ac:dyDescent="0.3">
      <c r="D21" s="20" t="s">
        <v>55</v>
      </c>
      <c r="E21" s="5" t="s">
        <v>66</v>
      </c>
      <c r="I21" s="40">
        <v>1625.64</v>
      </c>
      <c r="K21" s="31" t="s">
        <v>55</v>
      </c>
      <c r="L21" s="31" t="s">
        <v>66</v>
      </c>
    </row>
    <row r="22" spans="1:12" x14ac:dyDescent="0.3">
      <c r="D22" s="13" t="s">
        <v>22</v>
      </c>
      <c r="E22" s="14">
        <v>347</v>
      </c>
      <c r="K22" t="str">
        <f>D22</f>
        <v>Bank Transfer</v>
      </c>
      <c r="L22">
        <f>GETPIVOTDATA("Payment_Method",$D$21,"Payment_Method",K22)</f>
        <v>347</v>
      </c>
    </row>
    <row r="23" spans="1:12" x14ac:dyDescent="0.3">
      <c r="D23" s="15" t="s">
        <v>17</v>
      </c>
      <c r="E23" s="16">
        <v>356</v>
      </c>
      <c r="I23" s="39" t="s">
        <v>59</v>
      </c>
      <c r="K23" t="str">
        <f t="shared" ref="K23:K27" si="3">D23</f>
        <v>Cash</v>
      </c>
      <c r="L23">
        <f t="shared" ref="L23:L27" si="4">GETPIVOTDATA("Payment_Method",$D$21,"Payment_Method",K23)</f>
        <v>356</v>
      </c>
    </row>
    <row r="24" spans="1:12" x14ac:dyDescent="0.3">
      <c r="D24" s="13" t="s">
        <v>4</v>
      </c>
      <c r="E24" s="14">
        <v>317</v>
      </c>
      <c r="G24" s="32">
        <v>305.93106999999986</v>
      </c>
      <c r="I24" s="41">
        <v>611862.13999999978</v>
      </c>
      <c r="K24" t="str">
        <f t="shared" si="3"/>
        <v>Check</v>
      </c>
      <c r="L24">
        <f t="shared" si="4"/>
        <v>317</v>
      </c>
    </row>
    <row r="25" spans="1:12" x14ac:dyDescent="0.3">
      <c r="D25" s="13" t="s">
        <v>25</v>
      </c>
      <c r="E25" s="14">
        <v>318</v>
      </c>
      <c r="K25" t="str">
        <f t="shared" si="3"/>
        <v>Credit Card</v>
      </c>
      <c r="L25">
        <f t="shared" si="4"/>
        <v>318</v>
      </c>
    </row>
    <row r="26" spans="1:12" x14ac:dyDescent="0.3">
      <c r="D26" s="13" t="s">
        <v>11</v>
      </c>
      <c r="E26" s="14">
        <v>342</v>
      </c>
      <c r="G26" s="39" t="s">
        <v>63</v>
      </c>
      <c r="K26" t="str">
        <f t="shared" si="3"/>
        <v>Digital Wallet</v>
      </c>
      <c r="L26">
        <f t="shared" si="4"/>
        <v>342</v>
      </c>
    </row>
    <row r="27" spans="1:12" x14ac:dyDescent="0.3">
      <c r="D27" s="13" t="s">
        <v>27</v>
      </c>
      <c r="E27" s="14">
        <v>320</v>
      </c>
      <c r="G27" s="18">
        <v>6.08</v>
      </c>
      <c r="K27" t="str">
        <f t="shared" si="3"/>
        <v>PayPal</v>
      </c>
      <c r="L27">
        <f t="shared" si="4"/>
        <v>320</v>
      </c>
    </row>
    <row r="28" spans="1:12" x14ac:dyDescent="0.3">
      <c r="D28" s="13" t="s">
        <v>57</v>
      </c>
      <c r="E28" s="14">
        <v>2000</v>
      </c>
    </row>
  </sheetData>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9AB4-6443-483B-8BBB-50B4D716333A}">
  <dimension ref="A1"/>
  <sheetViews>
    <sheetView showGridLines="0" zoomScale="90" zoomScaleNormal="90" workbookViewId="0">
      <selection activeCell="V11" sqref="V11"/>
    </sheetView>
  </sheetViews>
  <sheetFormatPr defaultRowHeight="14.4" x14ac:dyDescent="0.3"/>
  <cols>
    <col min="1" max="16384" width="8.88671875" style="3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Financial Dataset</vt:lpstr>
      <vt:lpstr>Pivot Analysis</vt:lpstr>
      <vt:lpstr>Dashboard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2026-07-07T10:12:27Z</dcterms:created>
  <dcterms:modified xsi:type="dcterms:W3CDTF">2026-08-26T09:38:51Z</dcterms:modified>
</cp:coreProperties>
</file>